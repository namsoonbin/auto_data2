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데이터 자동화\"/>
    </mc:Choice>
  </mc:AlternateContent>
  <xr:revisionPtr revIDLastSave="0" documentId="13_ncr:1_{E09D99E7-D573-4402-BE97-13030A93D361}" xr6:coauthVersionLast="47" xr6:coauthVersionMax="47" xr10:uidLastSave="{00000000-0000-0000-0000-000000000000}"/>
  <bookViews>
    <workbookView xWindow="-120" yWindow="-120" windowWidth="29040" windowHeight="15840" activeTab="1" xr2:uid="{00000000-000D-0000-FFFF-FFFF00000000}"/>
  </bookViews>
  <sheets>
    <sheet name="헤몬스토어" sheetId="1" r:id="rId1"/>
    <sheet name="헤몬라이프" sheetId="2" r:id="rId2"/>
    <sheet name="헤누스" sheetId="3" r:id="rId3"/>
    <sheet name="헤이슨" sheetId="4" r:id="rId4"/>
    <sheet name="헤이버" sheetId="5" r:id="rId5"/>
    <sheet name="헤이즈" sheetId="6" r:id="rId6"/>
    <sheet name="헬릭스케어" sheetId="7" r:id="rId7"/>
    <sheet name="우다다" sheetId="8" r:id="rId8"/>
    <sheet name="휴비" sheetId="9" r:id="rId9"/>
    <sheet name="휴멜" sheetId="10" r:id="rId10"/>
    <sheet name="한진 계산기" sheetId="11" r:id="rId11"/>
    <sheet name="공용"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 i="12" l="1"/>
  <c r="AB26" i="12" s="1"/>
  <c r="R26" i="12"/>
  <c r="Q26" i="12"/>
  <c r="H26" i="12"/>
  <c r="I26" i="12" s="1"/>
  <c r="K26" i="12" s="1"/>
  <c r="T26" i="12" s="1"/>
  <c r="M26" i="12" s="1"/>
  <c r="G26" i="12"/>
  <c r="AB25" i="12"/>
  <c r="AA25" i="12"/>
  <c r="Q25" i="12"/>
  <c r="R25" i="12" s="1"/>
  <c r="I25" i="12"/>
  <c r="K25" i="12" s="1"/>
  <c r="T25" i="12" s="1"/>
  <c r="H25" i="12"/>
  <c r="G25" i="12"/>
  <c r="AA24" i="12"/>
  <c r="AB24" i="12" s="1"/>
  <c r="R24" i="12"/>
  <c r="Q24" i="12"/>
  <c r="H24" i="12"/>
  <c r="I24" i="12" s="1"/>
  <c r="K24" i="12" s="1"/>
  <c r="T24" i="12" s="1"/>
  <c r="M24" i="12" s="1"/>
  <c r="G24" i="12"/>
  <c r="AB23" i="12"/>
  <c r="AA23" i="12"/>
  <c r="Q23" i="12"/>
  <c r="R23" i="12" s="1"/>
  <c r="I23" i="12"/>
  <c r="K23" i="12" s="1"/>
  <c r="T23" i="12" s="1"/>
  <c r="M23" i="12" s="1"/>
  <c r="H23" i="12"/>
  <c r="G23" i="12"/>
  <c r="T22" i="12"/>
  <c r="R22" i="12"/>
  <c r="Q22" i="12"/>
  <c r="M22" i="12"/>
  <c r="J22" i="12"/>
  <c r="L22" i="12" s="1"/>
  <c r="U22" i="12" s="1"/>
  <c r="I22" i="12"/>
  <c r="K22" i="12" s="1"/>
  <c r="H22" i="12"/>
  <c r="G22" i="12"/>
  <c r="Q21" i="12"/>
  <c r="R21" i="12" s="1"/>
  <c r="G21" i="12"/>
  <c r="H21" i="12" s="1"/>
  <c r="I21" i="12" s="1"/>
  <c r="AA20" i="12"/>
  <c r="AB20" i="12" s="1"/>
  <c r="S20" i="12"/>
  <c r="R20" i="12"/>
  <c r="Q20" i="12"/>
  <c r="H20" i="12"/>
  <c r="I20" i="12" s="1"/>
  <c r="G20" i="12"/>
  <c r="AB19" i="12"/>
  <c r="AA19" i="12"/>
  <c r="Q19" i="12"/>
  <c r="R19" i="12" s="1"/>
  <c r="K19" i="12"/>
  <c r="T19" i="12" s="1"/>
  <c r="M19" i="12" s="1"/>
  <c r="J19" i="12"/>
  <c r="L19" i="12" s="1"/>
  <c r="U19" i="12" s="1"/>
  <c r="I19" i="12"/>
  <c r="H19" i="12"/>
  <c r="G19" i="12"/>
  <c r="AA18" i="12"/>
  <c r="AB18" i="12" s="1"/>
  <c r="S18" i="12"/>
  <c r="R18" i="12"/>
  <c r="Q18" i="12"/>
  <c r="H18" i="12"/>
  <c r="I18" i="12" s="1"/>
  <c r="G18" i="12"/>
  <c r="AB17" i="12"/>
  <c r="AA17" i="12"/>
  <c r="U17" i="12"/>
  <c r="Q17" i="12"/>
  <c r="R17" i="12" s="1"/>
  <c r="K17" i="12"/>
  <c r="T17" i="12" s="1"/>
  <c r="I17" i="12"/>
  <c r="J17" i="12" s="1"/>
  <c r="L17" i="12" s="1"/>
  <c r="H17" i="12"/>
  <c r="G17" i="12"/>
  <c r="AA16" i="12"/>
  <c r="AB16" i="12" s="1"/>
  <c r="R16" i="12"/>
  <c r="Q16" i="12"/>
  <c r="H16" i="12"/>
  <c r="I16" i="12" s="1"/>
  <c r="G16" i="12"/>
  <c r="AB15" i="12"/>
  <c r="AA15" i="12"/>
  <c r="Q15" i="12"/>
  <c r="R15" i="12" s="1"/>
  <c r="K15" i="12"/>
  <c r="I15" i="12"/>
  <c r="J15" i="12" s="1"/>
  <c r="L15" i="12" s="1"/>
  <c r="U14" i="12" s="1"/>
  <c r="H15" i="12"/>
  <c r="G15" i="12"/>
  <c r="AA14" i="12"/>
  <c r="AB14" i="12" s="1"/>
  <c r="T14" i="12"/>
  <c r="M15" i="12" s="1"/>
  <c r="R14" i="12"/>
  <c r="Q14" i="12"/>
  <c r="H14" i="12"/>
  <c r="I14" i="12" s="1"/>
  <c r="G14" i="12"/>
  <c r="AB13" i="12"/>
  <c r="AA13" i="12"/>
  <c r="Q13" i="12"/>
  <c r="R13" i="12" s="1"/>
  <c r="K13" i="12"/>
  <c r="T13" i="12" s="1"/>
  <c r="I13" i="12"/>
  <c r="J13" i="12" s="1"/>
  <c r="L13" i="12" s="1"/>
  <c r="U13" i="12" s="1"/>
  <c r="H13" i="12"/>
  <c r="G13" i="12"/>
  <c r="AA12" i="12"/>
  <c r="AB12" i="12" s="1"/>
  <c r="R12" i="12"/>
  <c r="Q12" i="12"/>
  <c r="H12" i="12"/>
  <c r="I12" i="12" s="1"/>
  <c r="G12" i="12"/>
  <c r="AB11" i="12"/>
  <c r="AA11" i="12"/>
  <c r="Q11" i="12"/>
  <c r="R11" i="12" s="1"/>
  <c r="K11" i="12"/>
  <c r="T11" i="12" s="1"/>
  <c r="M11" i="12" s="1"/>
  <c r="I11" i="12"/>
  <c r="J11" i="12" s="1"/>
  <c r="L11" i="12" s="1"/>
  <c r="U11" i="12" s="1"/>
  <c r="H11" i="12"/>
  <c r="G11" i="12"/>
  <c r="AA10" i="12"/>
  <c r="AB10" i="12" s="1"/>
  <c r="R10" i="12"/>
  <c r="Q10" i="12"/>
  <c r="H10" i="12"/>
  <c r="I10" i="12" s="1"/>
  <c r="G10" i="12"/>
  <c r="AB9" i="12"/>
  <c r="AA9" i="12"/>
  <c r="U9" i="12"/>
  <c r="Q9" i="12"/>
  <c r="R9" i="12" s="1"/>
  <c r="K9" i="12"/>
  <c r="T9" i="12" s="1"/>
  <c r="I9" i="12"/>
  <c r="J9" i="12" s="1"/>
  <c r="L9" i="12" s="1"/>
  <c r="H9" i="12"/>
  <c r="G9" i="12"/>
  <c r="AA8" i="12"/>
  <c r="AB8" i="12" s="1"/>
  <c r="R8" i="12"/>
  <c r="Q8" i="12"/>
  <c r="H8" i="12"/>
  <c r="I8" i="12" s="1"/>
  <c r="G8" i="12"/>
  <c r="AB7" i="12"/>
  <c r="AA7" i="12"/>
  <c r="Q7" i="12"/>
  <c r="R7" i="12" s="1"/>
  <c r="K7" i="12"/>
  <c r="T7" i="12" s="1"/>
  <c r="M7" i="12" s="1"/>
  <c r="I7" i="12"/>
  <c r="J7" i="12" s="1"/>
  <c r="L7" i="12" s="1"/>
  <c r="U7" i="12" s="1"/>
  <c r="H7" i="12"/>
  <c r="G7" i="12"/>
  <c r="Z73" i="11"/>
  <c r="AA73" i="11" s="1"/>
  <c r="Q73" i="11"/>
  <c r="R73" i="11" s="1"/>
  <c r="K73" i="11"/>
  <c r="G73" i="11"/>
  <c r="H73" i="11" s="1"/>
  <c r="I73" i="11" s="1"/>
  <c r="J73" i="11" s="1"/>
  <c r="Z72" i="11"/>
  <c r="AA72" i="11" s="1"/>
  <c r="Q72" i="11"/>
  <c r="R72" i="11" s="1"/>
  <c r="G72" i="11"/>
  <c r="H72" i="11" s="1"/>
  <c r="I72" i="11" s="1"/>
  <c r="Z71" i="11"/>
  <c r="AA71" i="11" s="1"/>
  <c r="Q71" i="11"/>
  <c r="R71" i="11" s="1"/>
  <c r="G71" i="11"/>
  <c r="H71" i="11" s="1"/>
  <c r="I71" i="11" s="1"/>
  <c r="Z68" i="11"/>
  <c r="AA68" i="11" s="1"/>
  <c r="Q68" i="11"/>
  <c r="R68" i="11" s="1"/>
  <c r="G68" i="11"/>
  <c r="H68" i="11" s="1"/>
  <c r="I68" i="11" s="1"/>
  <c r="K68" i="11" s="1"/>
  <c r="Z67" i="11"/>
  <c r="AA67" i="11" s="1"/>
  <c r="R67" i="11"/>
  <c r="Q67" i="11"/>
  <c r="G67" i="11"/>
  <c r="H67" i="11" s="1"/>
  <c r="I67" i="11" s="1"/>
  <c r="AA62" i="11"/>
  <c r="Z62" i="11"/>
  <c r="R62" i="11"/>
  <c r="Q62" i="11"/>
  <c r="O62" i="11"/>
  <c r="I62" i="11"/>
  <c r="H62" i="11"/>
  <c r="G62" i="11"/>
  <c r="Z61" i="11"/>
  <c r="AA61" i="11" s="1"/>
  <c r="Q61" i="11"/>
  <c r="R61" i="11" s="1"/>
  <c r="G61" i="11"/>
  <c r="H61" i="11" s="1"/>
  <c r="I61" i="11" s="1"/>
  <c r="Z60" i="11"/>
  <c r="AA60" i="11" s="1"/>
  <c r="Q60" i="11"/>
  <c r="R60" i="11" s="1"/>
  <c r="O60" i="11"/>
  <c r="H60" i="11"/>
  <c r="I60" i="11" s="1"/>
  <c r="G60" i="11"/>
  <c r="Z56" i="11"/>
  <c r="AA56" i="11" s="1"/>
  <c r="R56" i="11"/>
  <c r="Q56" i="11"/>
  <c r="O56" i="11"/>
  <c r="H56" i="11"/>
  <c r="I56" i="11" s="1"/>
  <c r="G56" i="11"/>
  <c r="Z53" i="11"/>
  <c r="AA53" i="11" s="1"/>
  <c r="Q53" i="11"/>
  <c r="R53" i="11" s="1"/>
  <c r="O53" i="11"/>
  <c r="H53" i="11"/>
  <c r="I53" i="11" s="1"/>
  <c r="G53" i="11"/>
  <c r="Z52" i="11"/>
  <c r="AA52" i="11" s="1"/>
  <c r="R52" i="11"/>
  <c r="Q52" i="11"/>
  <c r="O52" i="11"/>
  <c r="G52" i="11"/>
  <c r="H52" i="11" s="1"/>
  <c r="I52" i="11" s="1"/>
  <c r="Z51" i="11"/>
  <c r="AA51" i="11" s="1"/>
  <c r="AB51" i="11" s="1"/>
  <c r="Z50" i="11"/>
  <c r="AA50" i="11" s="1"/>
  <c r="R50" i="11"/>
  <c r="Q50" i="11"/>
  <c r="O50" i="11"/>
  <c r="G50" i="11"/>
  <c r="H50" i="11" s="1"/>
  <c r="I50" i="11" s="1"/>
  <c r="Z47" i="11"/>
  <c r="AA47" i="11" s="1"/>
  <c r="Q47" i="11"/>
  <c r="R47" i="11" s="1"/>
  <c r="G47" i="11"/>
  <c r="H47" i="11" s="1"/>
  <c r="I47" i="11" s="1"/>
  <c r="Z46" i="11"/>
  <c r="AA46" i="11" s="1"/>
  <c r="Q46" i="11"/>
  <c r="R46" i="11" s="1"/>
  <c r="G46" i="11"/>
  <c r="H46" i="11" s="1"/>
  <c r="I46" i="11" s="1"/>
  <c r="Z45" i="11"/>
  <c r="AA45" i="11" s="1"/>
  <c r="Q45" i="11"/>
  <c r="R45" i="11" s="1"/>
  <c r="G45" i="11"/>
  <c r="H45" i="11" s="1"/>
  <c r="I45" i="11" s="1"/>
  <c r="Z44" i="11"/>
  <c r="AA44" i="11" s="1"/>
  <c r="Q44" i="11"/>
  <c r="R44" i="11" s="1"/>
  <c r="G44" i="11"/>
  <c r="H44" i="11" s="1"/>
  <c r="I44" i="11" s="1"/>
  <c r="Z43" i="11"/>
  <c r="AA43" i="11" s="1"/>
  <c r="R43" i="11"/>
  <c r="Q43" i="11"/>
  <c r="H43" i="11"/>
  <c r="I43" i="11" s="1"/>
  <c r="G43" i="11"/>
  <c r="AA42" i="11"/>
  <c r="Z42" i="11"/>
  <c r="Q42" i="11"/>
  <c r="R42" i="11" s="1"/>
  <c r="H42" i="11"/>
  <c r="I42" i="11" s="1"/>
  <c r="G42" i="11"/>
  <c r="Z41" i="11"/>
  <c r="AA41" i="11" s="1"/>
  <c r="R41" i="11"/>
  <c r="S41" i="11" s="1"/>
  <c r="Q41" i="11"/>
  <c r="G41" i="11"/>
  <c r="H41" i="11" s="1"/>
  <c r="I41" i="11" s="1"/>
  <c r="AA40" i="11"/>
  <c r="Z40" i="11"/>
  <c r="R40" i="11"/>
  <c r="S40" i="11" s="1"/>
  <c r="Q40" i="11"/>
  <c r="K40" i="11"/>
  <c r="H40" i="11"/>
  <c r="I40" i="11" s="1"/>
  <c r="J40" i="11" s="1"/>
  <c r="L40" i="11" s="1"/>
  <c r="T40" i="11" s="1"/>
  <c r="M40" i="11" s="1"/>
  <c r="G40" i="11"/>
  <c r="AA39" i="11"/>
  <c r="Z39" i="11"/>
  <c r="R39" i="11"/>
  <c r="Q39" i="11"/>
  <c r="O39" i="11"/>
  <c r="S39" i="11" s="1"/>
  <c r="G39" i="11"/>
  <c r="H39" i="11" s="1"/>
  <c r="I39" i="11" s="1"/>
  <c r="Z38" i="11"/>
  <c r="AA38" i="11" s="1"/>
  <c r="Q38" i="11"/>
  <c r="R38" i="11" s="1"/>
  <c r="O38" i="11"/>
  <c r="H38" i="11"/>
  <c r="I38" i="11" s="1"/>
  <c r="G38" i="11"/>
  <c r="Z37" i="11"/>
  <c r="AA37" i="11" s="1"/>
  <c r="R37" i="11"/>
  <c r="U37" i="11" s="1"/>
  <c r="Q37" i="11"/>
  <c r="J37" i="11"/>
  <c r="L37" i="11" s="1"/>
  <c r="T37" i="11" s="1"/>
  <c r="G37" i="11"/>
  <c r="H37" i="11" s="1"/>
  <c r="I37" i="11" s="1"/>
  <c r="K37" i="11" s="1"/>
  <c r="AA36" i="11"/>
  <c r="Z36" i="11"/>
  <c r="Q36" i="11"/>
  <c r="R36" i="11" s="1"/>
  <c r="H36" i="11"/>
  <c r="I36" i="11" s="1"/>
  <c r="G36" i="11"/>
  <c r="Z35" i="11"/>
  <c r="AA35" i="11" s="1"/>
  <c r="Q35" i="11"/>
  <c r="R35" i="11" s="1"/>
  <c r="K35" i="11"/>
  <c r="H35" i="11"/>
  <c r="I35" i="11" s="1"/>
  <c r="J35" i="11" s="1"/>
  <c r="L35" i="11" s="1"/>
  <c r="T35" i="11" s="1"/>
  <c r="M35" i="11" s="1"/>
  <c r="G35" i="11"/>
  <c r="Z34" i="11"/>
  <c r="AA34" i="11" s="1"/>
  <c r="Q34" i="11"/>
  <c r="R34" i="11" s="1"/>
  <c r="J34" i="11"/>
  <c r="L34" i="11" s="1"/>
  <c r="T34" i="11" s="1"/>
  <c r="M34" i="11" s="1"/>
  <c r="G34" i="11"/>
  <c r="H34" i="11" s="1"/>
  <c r="I34" i="11" s="1"/>
  <c r="K34" i="11" s="1"/>
  <c r="Z33" i="11"/>
  <c r="AA33" i="11" s="1"/>
  <c r="Q33" i="11"/>
  <c r="R33" i="11" s="1"/>
  <c r="G33" i="11"/>
  <c r="H33" i="11" s="1"/>
  <c r="I33" i="11" s="1"/>
  <c r="Z32" i="11"/>
  <c r="AA32" i="11" s="1"/>
  <c r="Q32" i="11"/>
  <c r="R32" i="11" s="1"/>
  <c r="J32" i="11"/>
  <c r="L32" i="11" s="1"/>
  <c r="T32" i="11" s="1"/>
  <c r="M32" i="11" s="1"/>
  <c r="H32" i="11"/>
  <c r="I32" i="11" s="1"/>
  <c r="K32" i="11" s="1"/>
  <c r="G32" i="11"/>
  <c r="Z31" i="11"/>
  <c r="AA31" i="11" s="1"/>
  <c r="Q31" i="11"/>
  <c r="R31" i="11" s="1"/>
  <c r="J31" i="11"/>
  <c r="L31" i="11" s="1"/>
  <c r="T31" i="11" s="1"/>
  <c r="M31" i="11" s="1"/>
  <c r="G31" i="11"/>
  <c r="H31" i="11" s="1"/>
  <c r="I31" i="11" s="1"/>
  <c r="K31" i="11" s="1"/>
  <c r="Z30" i="11"/>
  <c r="AA30" i="11" s="1"/>
  <c r="T30" i="11"/>
  <c r="M30" i="11" s="1"/>
  <c r="Q30" i="11"/>
  <c r="R30" i="11" s="1"/>
  <c r="J30" i="11"/>
  <c r="L30" i="11" s="1"/>
  <c r="G30" i="11"/>
  <c r="H30" i="11" s="1"/>
  <c r="I30" i="11" s="1"/>
  <c r="K30" i="11" s="1"/>
  <c r="Z23" i="11"/>
  <c r="AA23" i="11" s="1"/>
  <c r="R23" i="11"/>
  <c r="Q23" i="11"/>
  <c r="O23" i="11"/>
  <c r="H23" i="11"/>
  <c r="I23" i="11" s="1"/>
  <c r="G23" i="11"/>
  <c r="Z22" i="11"/>
  <c r="AA22" i="11" s="1"/>
  <c r="R22" i="11"/>
  <c r="S22" i="11" s="1"/>
  <c r="Q22" i="11"/>
  <c r="I22" i="11"/>
  <c r="H22" i="11"/>
  <c r="Z21" i="11"/>
  <c r="AA21" i="11" s="1"/>
  <c r="Q21" i="11"/>
  <c r="R21" i="11" s="1"/>
  <c r="I21" i="11"/>
  <c r="K21" i="11" s="1"/>
  <c r="H21" i="11"/>
  <c r="Z20" i="11"/>
  <c r="AA20" i="11" s="1"/>
  <c r="R20" i="11"/>
  <c r="Q20" i="11"/>
  <c r="G20" i="11"/>
  <c r="H20" i="11" s="1"/>
  <c r="I20" i="11" s="1"/>
  <c r="AA19" i="11"/>
  <c r="Z19" i="11"/>
  <c r="S19" i="11"/>
  <c r="Q19" i="11"/>
  <c r="R19" i="11" s="1"/>
  <c r="O19" i="11"/>
  <c r="K19" i="11"/>
  <c r="G19" i="11"/>
  <c r="H19" i="11" s="1"/>
  <c r="I19" i="11" s="1"/>
  <c r="J19" i="11" s="1"/>
  <c r="Z18" i="11"/>
  <c r="AA18" i="11" s="1"/>
  <c r="S18" i="11"/>
  <c r="R18" i="11"/>
  <c r="K18" i="11"/>
  <c r="G18" i="11"/>
  <c r="H18" i="11" s="1"/>
  <c r="I18" i="11" s="1"/>
  <c r="J18" i="11" s="1"/>
  <c r="AA17" i="11"/>
  <c r="Z17" i="11"/>
  <c r="Z16" i="11"/>
  <c r="AA16" i="11" s="1"/>
  <c r="R16" i="11"/>
  <c r="Q16" i="11"/>
  <c r="O16" i="11"/>
  <c r="H16" i="11"/>
  <c r="I16" i="11" s="1"/>
  <c r="G16" i="11"/>
  <c r="AA15" i="11"/>
  <c r="Z15" i="11"/>
  <c r="Z14" i="11"/>
  <c r="AA14" i="11" s="1"/>
  <c r="Q14" i="11"/>
  <c r="R14" i="11" s="1"/>
  <c r="O14" i="11"/>
  <c r="H14" i="11"/>
  <c r="I14" i="11" s="1"/>
  <c r="G14" i="11"/>
  <c r="AA13" i="11"/>
  <c r="Z13" i="11"/>
  <c r="Q13" i="11"/>
  <c r="O13" i="11"/>
  <c r="Z12" i="11"/>
  <c r="AA12" i="11" s="1"/>
  <c r="Q12" i="11"/>
  <c r="R12" i="11" s="1"/>
  <c r="O12" i="11"/>
  <c r="J12" i="11"/>
  <c r="L12" i="11" s="1"/>
  <c r="T12" i="11" s="1"/>
  <c r="M12" i="11" s="1"/>
  <c r="G12" i="11"/>
  <c r="H12" i="11" s="1"/>
  <c r="I12" i="11" s="1"/>
  <c r="K12" i="11" s="1"/>
  <c r="AA11" i="11"/>
  <c r="Z11" i="11"/>
  <c r="R11" i="11"/>
  <c r="Q11" i="11"/>
  <c r="O11" i="11"/>
  <c r="H11" i="11"/>
  <c r="I11" i="11" s="1"/>
  <c r="G11" i="11"/>
  <c r="Z10" i="11"/>
  <c r="AA10" i="11" s="1"/>
  <c r="Q10" i="11"/>
  <c r="AA9" i="11"/>
  <c r="Z9" i="11"/>
  <c r="Q9" i="11"/>
  <c r="R9" i="11" s="1"/>
  <c r="O9" i="11"/>
  <c r="H9" i="11"/>
  <c r="I9" i="11" s="1"/>
  <c r="G9" i="11"/>
  <c r="AA8" i="11"/>
  <c r="Z8" i="11"/>
  <c r="Q8" i="11"/>
  <c r="R8" i="11" s="1"/>
  <c r="O8" i="11"/>
  <c r="S8" i="11" s="1"/>
  <c r="H8" i="11"/>
  <c r="I8" i="11" s="1"/>
  <c r="K8" i="11" s="1"/>
  <c r="G8" i="11"/>
  <c r="Z7" i="11"/>
  <c r="AA7" i="11" s="1"/>
  <c r="R7" i="11"/>
  <c r="Q7" i="11"/>
  <c r="O7" i="11"/>
  <c r="G7" i="11"/>
  <c r="H7" i="11" s="1"/>
  <c r="I7" i="11" s="1"/>
  <c r="K7" i="11" s="1"/>
  <c r="AB7" i="10"/>
  <c r="AC7" i="10" s="1"/>
  <c r="AA7" i="10"/>
  <c r="I7" i="10"/>
  <c r="H7" i="10"/>
  <c r="AD7" i="9"/>
  <c r="AA7" i="9"/>
  <c r="Z7" i="9"/>
  <c r="R7" i="9"/>
  <c r="Q7" i="9"/>
  <c r="O7" i="9"/>
  <c r="H7" i="9"/>
  <c r="I7" i="9" s="1"/>
  <c r="G7" i="9"/>
  <c r="AA9" i="8"/>
  <c r="Z9" i="8"/>
  <c r="Q9" i="8"/>
  <c r="R9" i="8" s="1"/>
  <c r="O9" i="8"/>
  <c r="I9" i="8"/>
  <c r="H9" i="8"/>
  <c r="G9" i="8"/>
  <c r="AA8" i="8"/>
  <c r="Z8" i="8"/>
  <c r="Q8" i="8"/>
  <c r="R8" i="8" s="1"/>
  <c r="O8" i="8"/>
  <c r="G8" i="8"/>
  <c r="H8" i="8" s="1"/>
  <c r="I8" i="8" s="1"/>
  <c r="Z7" i="8"/>
  <c r="AA7" i="8" s="1"/>
  <c r="Q7" i="8"/>
  <c r="R7" i="8" s="1"/>
  <c r="O7" i="8"/>
  <c r="H7" i="8"/>
  <c r="I7" i="8" s="1"/>
  <c r="G7" i="8"/>
  <c r="Z9" i="7"/>
  <c r="AA9" i="7" s="1"/>
  <c r="Y9" i="7"/>
  <c r="Q9" i="7"/>
  <c r="R9" i="7" s="1"/>
  <c r="O9" i="7"/>
  <c r="I9" i="7"/>
  <c r="K9" i="7" s="1"/>
  <c r="G9" i="7"/>
  <c r="H9" i="7" s="1"/>
  <c r="AA8" i="7"/>
  <c r="Z8" i="7"/>
  <c r="Y8" i="7"/>
  <c r="Q8" i="7"/>
  <c r="R8" i="7" s="1"/>
  <c r="O8" i="7"/>
  <c r="S8" i="7" s="1"/>
  <c r="I8" i="7"/>
  <c r="K8" i="7" s="1"/>
  <c r="H8" i="7"/>
  <c r="G8" i="7"/>
  <c r="AA7" i="7"/>
  <c r="Z7" i="7"/>
  <c r="Y7" i="7"/>
  <c r="Q7" i="7"/>
  <c r="R7" i="7" s="1"/>
  <c r="O7" i="7"/>
  <c r="I7" i="7"/>
  <c r="G7" i="7"/>
  <c r="H7" i="7" s="1"/>
  <c r="AA10" i="5"/>
  <c r="Z10" i="5"/>
  <c r="Y10" i="5"/>
  <c r="R10" i="5"/>
  <c r="Q10" i="5"/>
  <c r="O10" i="5"/>
  <c r="S10" i="5" s="1"/>
  <c r="AB10" i="5" s="1"/>
  <c r="K10" i="5"/>
  <c r="L10" i="5" s="1"/>
  <c r="T10" i="5" s="1"/>
  <c r="M10" i="5" s="1"/>
  <c r="G10" i="5"/>
  <c r="H10" i="5" s="1"/>
  <c r="I10" i="5" s="1"/>
  <c r="J10" i="5" s="1"/>
  <c r="Z9" i="5"/>
  <c r="AA9" i="5" s="1"/>
  <c r="Y9" i="5"/>
  <c r="R9" i="5"/>
  <c r="Q9" i="5"/>
  <c r="O9" i="5"/>
  <c r="S9" i="5" s="1"/>
  <c r="I9" i="5"/>
  <c r="J9" i="5" s="1"/>
  <c r="H9" i="5"/>
  <c r="G9" i="5"/>
  <c r="Y8" i="5"/>
  <c r="Z8" i="5" s="1"/>
  <c r="AA8" i="5" s="1"/>
  <c r="Q8" i="5"/>
  <c r="R8" i="5" s="1"/>
  <c r="O8" i="5"/>
  <c r="H8" i="5"/>
  <c r="I8" i="5" s="1"/>
  <c r="G8" i="5"/>
  <c r="AA7" i="5"/>
  <c r="Z7" i="5"/>
  <c r="Y7" i="5"/>
  <c r="Q7" i="5"/>
  <c r="R7" i="5" s="1"/>
  <c r="O7" i="5"/>
  <c r="G7" i="5"/>
  <c r="H7" i="5" s="1"/>
  <c r="I7" i="5" s="1"/>
  <c r="AD17" i="4"/>
  <c r="AD16" i="4"/>
  <c r="AD15" i="4"/>
  <c r="AD14" i="4"/>
  <c r="AD13" i="4"/>
  <c r="AD12" i="4"/>
  <c r="AD11" i="4"/>
  <c r="AD10" i="4"/>
  <c r="AA9" i="4"/>
  <c r="Z9" i="4"/>
  <c r="Y9" i="4"/>
  <c r="R9" i="4"/>
  <c r="Q9" i="4"/>
  <c r="O9" i="4"/>
  <c r="K9" i="4"/>
  <c r="J9" i="4"/>
  <c r="G9" i="4"/>
  <c r="H9" i="4" s="1"/>
  <c r="I9" i="4" s="1"/>
  <c r="Z8" i="4"/>
  <c r="AA8" i="4" s="1"/>
  <c r="R8" i="4"/>
  <c r="Q8" i="4"/>
  <c r="O8" i="4"/>
  <c r="S8" i="4" s="1"/>
  <c r="G8" i="4"/>
  <c r="H8" i="4" s="1"/>
  <c r="I8" i="4" s="1"/>
  <c r="Y7" i="4"/>
  <c r="Z7" i="4" s="1"/>
  <c r="AA7" i="4" s="1"/>
  <c r="Q7" i="4"/>
  <c r="R7" i="4" s="1"/>
  <c r="O7" i="4"/>
  <c r="S7" i="4" s="1"/>
  <c r="H7" i="4"/>
  <c r="I7" i="4" s="1"/>
  <c r="G7" i="4"/>
  <c r="Y24" i="3"/>
  <c r="Z24" i="3" s="1"/>
  <c r="AA24" i="3" s="1"/>
  <c r="Q24" i="3"/>
  <c r="R24" i="3" s="1"/>
  <c r="S24" i="3" s="1"/>
  <c r="K24" i="3"/>
  <c r="H24" i="3"/>
  <c r="I24" i="3" s="1"/>
  <c r="J24" i="3" s="1"/>
  <c r="G24" i="3"/>
  <c r="Z22" i="3"/>
  <c r="AA22" i="3" s="1"/>
  <c r="Y22" i="3"/>
  <c r="Q22" i="3"/>
  <c r="R22" i="3" s="1"/>
  <c r="G22" i="3"/>
  <c r="H22" i="3" s="1"/>
  <c r="I22" i="3" s="1"/>
  <c r="J22" i="3" s="1"/>
  <c r="Y21" i="3"/>
  <c r="Z21" i="3" s="1"/>
  <c r="AA21" i="3" s="1"/>
  <c r="Q21" i="3"/>
  <c r="R21" i="3" s="1"/>
  <c r="H21" i="3"/>
  <c r="I21" i="3" s="1"/>
  <c r="G21" i="3"/>
  <c r="Y19" i="3"/>
  <c r="Z19" i="3" s="1"/>
  <c r="AA19" i="3" s="1"/>
  <c r="R19" i="3"/>
  <c r="S19" i="3" s="1"/>
  <c r="Q19" i="3"/>
  <c r="I19" i="3"/>
  <c r="H19" i="3"/>
  <c r="G19" i="3"/>
  <c r="Z17" i="3"/>
  <c r="AA17" i="3" s="1"/>
  <c r="Y17" i="3"/>
  <c r="Q17" i="3"/>
  <c r="R17" i="3" s="1"/>
  <c r="O17" i="3"/>
  <c r="G17" i="3"/>
  <c r="H17" i="3" s="1"/>
  <c r="I17" i="3" s="1"/>
  <c r="Z15" i="3"/>
  <c r="AA15" i="3" s="1"/>
  <c r="Y15" i="3"/>
  <c r="R15" i="3"/>
  <c r="Q15" i="3"/>
  <c r="O15" i="3"/>
  <c r="H15" i="3"/>
  <c r="I15" i="3" s="1"/>
  <c r="G15" i="3"/>
  <c r="Z13" i="3"/>
  <c r="AA13" i="3" s="1"/>
  <c r="Y13" i="3"/>
  <c r="Q13" i="3"/>
  <c r="R13" i="3" s="1"/>
  <c r="O13" i="3"/>
  <c r="I13" i="3"/>
  <c r="H13" i="3"/>
  <c r="G13" i="3"/>
  <c r="AA12" i="3"/>
  <c r="Z12" i="3"/>
  <c r="T12" i="3"/>
  <c r="M12" i="3" s="1"/>
  <c r="Q12" i="3"/>
  <c r="R12" i="3" s="1"/>
  <c r="J12" i="3"/>
  <c r="G12" i="3"/>
  <c r="H12" i="3" s="1"/>
  <c r="I12" i="3" s="1"/>
  <c r="K12" i="3" s="1"/>
  <c r="AA11" i="3"/>
  <c r="Z11" i="3"/>
  <c r="Q11" i="3"/>
  <c r="R11" i="3" s="1"/>
  <c r="S11" i="3" s="1"/>
  <c r="K11" i="3"/>
  <c r="T11" i="3" s="1"/>
  <c r="M11" i="3" s="1"/>
  <c r="G11" i="3"/>
  <c r="H11" i="3" s="1"/>
  <c r="I11" i="3" s="1"/>
  <c r="J11" i="3" s="1"/>
  <c r="Z10" i="3"/>
  <c r="AA10" i="3" s="1"/>
  <c r="T10" i="3"/>
  <c r="M10" i="3" s="1"/>
  <c r="Q10" i="3"/>
  <c r="R10" i="3" s="1"/>
  <c r="K10" i="3"/>
  <c r="I10" i="3"/>
  <c r="J10" i="3" s="1"/>
  <c r="H10" i="3"/>
  <c r="G10" i="3"/>
  <c r="AA9" i="3"/>
  <c r="Q9" i="3"/>
  <c r="N9" i="3"/>
  <c r="Y9" i="3" s="1"/>
  <c r="Z9" i="3" s="1"/>
  <c r="Q8" i="3"/>
  <c r="R8" i="3" s="1"/>
  <c r="O8" i="3"/>
  <c r="S8" i="3" s="1"/>
  <c r="N8" i="3"/>
  <c r="Y8" i="3" s="1"/>
  <c r="Z8" i="3" s="1"/>
  <c r="AA8" i="3" s="1"/>
  <c r="I8" i="3"/>
  <c r="K8" i="3" s="1"/>
  <c r="T8" i="3" s="1"/>
  <c r="M8" i="3" s="1"/>
  <c r="G8" i="3"/>
  <c r="H8" i="3" s="1"/>
  <c r="Z7" i="3"/>
  <c r="AA7" i="3" s="1"/>
  <c r="Y7" i="3"/>
  <c r="Q7" i="3"/>
  <c r="R7" i="3" s="1"/>
  <c r="O7" i="3"/>
  <c r="S7" i="3" s="1"/>
  <c r="H7" i="3"/>
  <c r="I7" i="3" s="1"/>
  <c r="G7" i="3"/>
  <c r="AA25" i="2"/>
  <c r="Z25" i="2"/>
  <c r="Y25" i="2"/>
  <c r="Q25" i="2"/>
  <c r="R25" i="2" s="1"/>
  <c r="O25" i="2"/>
  <c r="I25" i="2"/>
  <c r="J25" i="2" s="1"/>
  <c r="G25" i="2"/>
  <c r="H25" i="2" s="1"/>
  <c r="Z24" i="2"/>
  <c r="AA24" i="2" s="1"/>
  <c r="Y24" i="2"/>
  <c r="S24" i="2"/>
  <c r="R24" i="2"/>
  <c r="Q24" i="2"/>
  <c r="K24" i="2"/>
  <c r="L24" i="2" s="1"/>
  <c r="T24" i="2" s="1"/>
  <c r="M24" i="2" s="1"/>
  <c r="J24" i="2"/>
  <c r="H24" i="2"/>
  <c r="I24" i="2" s="1"/>
  <c r="G24" i="2"/>
  <c r="Y23" i="2"/>
  <c r="Z23" i="2" s="1"/>
  <c r="AA23" i="2" s="1"/>
  <c r="R23" i="2"/>
  <c r="S23" i="2" s="1"/>
  <c r="Q23" i="2"/>
  <c r="G23" i="2"/>
  <c r="H23" i="2" s="1"/>
  <c r="I23" i="2" s="1"/>
  <c r="AA22" i="2"/>
  <c r="Z22" i="2"/>
  <c r="Y22" i="2"/>
  <c r="R22" i="2"/>
  <c r="Q22" i="2"/>
  <c r="I22" i="2"/>
  <c r="J22" i="2" s="1"/>
  <c r="H22" i="2"/>
  <c r="G22" i="2"/>
  <c r="Y21" i="2"/>
  <c r="Z21" i="2" s="1"/>
  <c r="AA21" i="2" s="1"/>
  <c r="S21" i="2"/>
  <c r="Q21" i="2"/>
  <c r="R21" i="2" s="1"/>
  <c r="K21" i="2"/>
  <c r="L21" i="2" s="1"/>
  <c r="T21" i="2" s="1"/>
  <c r="G21" i="2"/>
  <c r="H21" i="2" s="1"/>
  <c r="I21" i="2" s="1"/>
  <c r="J21" i="2" s="1"/>
  <c r="Z20" i="2"/>
  <c r="AA20" i="2" s="1"/>
  <c r="Y20" i="2"/>
  <c r="T20" i="2"/>
  <c r="M20" i="2" s="1"/>
  <c r="S20" i="2"/>
  <c r="R20" i="2"/>
  <c r="Q20" i="2"/>
  <c r="K20" i="2"/>
  <c r="J20" i="2"/>
  <c r="L20" i="2" s="1"/>
  <c r="H20" i="2"/>
  <c r="I20" i="2" s="1"/>
  <c r="G20" i="2"/>
  <c r="Y19" i="2"/>
  <c r="Z19" i="2" s="1"/>
  <c r="AA19" i="2" s="1"/>
  <c r="R19" i="2"/>
  <c r="Q19" i="2"/>
  <c r="H19" i="2"/>
  <c r="I19" i="2" s="1"/>
  <c r="G19" i="2"/>
  <c r="Y18" i="2"/>
  <c r="Z18" i="2" s="1"/>
  <c r="AA18" i="2" s="1"/>
  <c r="R18" i="2"/>
  <c r="Q18" i="2"/>
  <c r="K18" i="2"/>
  <c r="J18" i="2"/>
  <c r="L18" i="2" s="1"/>
  <c r="T18" i="2" s="1"/>
  <c r="M18" i="2" s="1"/>
  <c r="G18" i="2"/>
  <c r="H18" i="2" s="1"/>
  <c r="I18" i="2" s="1"/>
  <c r="Y17" i="2"/>
  <c r="Z17" i="2" s="1"/>
  <c r="AA17" i="2" s="1"/>
  <c r="R17" i="2"/>
  <c r="Q17" i="2"/>
  <c r="G17" i="2"/>
  <c r="H17" i="2" s="1"/>
  <c r="I17" i="2" s="1"/>
  <c r="U16" i="2"/>
  <c r="T16" i="2"/>
  <c r="R16" i="2"/>
  <c r="Q16" i="2"/>
  <c r="Y15" i="2"/>
  <c r="Z15" i="2" s="1"/>
  <c r="AA15" i="2" s="1"/>
  <c r="R15" i="2"/>
  <c r="Q15" i="2"/>
  <c r="O15" i="2"/>
  <c r="K15" i="2"/>
  <c r="I15" i="2"/>
  <c r="J15" i="2" s="1"/>
  <c r="L15" i="2" s="1"/>
  <c r="T15" i="2" s="1"/>
  <c r="M15" i="2" s="1"/>
  <c r="G15" i="2"/>
  <c r="H15" i="2" s="1"/>
  <c r="R14" i="2"/>
  <c r="Q14" i="2"/>
  <c r="O14" i="2"/>
  <c r="H14" i="2"/>
  <c r="I14" i="2" s="1"/>
  <c r="G14" i="2"/>
  <c r="R13" i="2"/>
  <c r="U13" i="2" s="1"/>
  <c r="Q13" i="2"/>
  <c r="O13" i="2"/>
  <c r="J13" i="2"/>
  <c r="L13" i="2" s="1"/>
  <c r="T13" i="2" s="1"/>
  <c r="I13" i="2"/>
  <c r="K13" i="2" s="1"/>
  <c r="H13" i="2"/>
  <c r="G13" i="2"/>
  <c r="R12" i="2"/>
  <c r="Q12" i="2"/>
  <c r="O12" i="2"/>
  <c r="G12" i="2"/>
  <c r="H12" i="2" s="1"/>
  <c r="I12" i="2" s="1"/>
  <c r="K12" i="2" s="1"/>
  <c r="Q11" i="2"/>
  <c r="R11" i="2" s="1"/>
  <c r="O11" i="2"/>
  <c r="J11" i="2"/>
  <c r="L11" i="2" s="1"/>
  <c r="T11" i="2" s="1"/>
  <c r="G11" i="2"/>
  <c r="H11" i="2" s="1"/>
  <c r="I11" i="2" s="1"/>
  <c r="K11" i="2" s="1"/>
  <c r="Q10" i="2"/>
  <c r="R10" i="2" s="1"/>
  <c r="O10" i="2"/>
  <c r="G10" i="2"/>
  <c r="H10" i="2" s="1"/>
  <c r="I10" i="2" s="1"/>
  <c r="J10" i="2" s="1"/>
  <c r="R9" i="2"/>
  <c r="Q9" i="2"/>
  <c r="O9" i="2"/>
  <c r="H9" i="2"/>
  <c r="I9" i="2" s="1"/>
  <c r="G9" i="2"/>
  <c r="Q8" i="2"/>
  <c r="R8" i="2" s="1"/>
  <c r="O8" i="2"/>
  <c r="I8" i="2"/>
  <c r="H8" i="2"/>
  <c r="G8" i="2"/>
  <c r="AA7" i="2"/>
  <c r="Z7" i="2"/>
  <c r="Q7" i="2"/>
  <c r="R7" i="2" s="1"/>
  <c r="O7" i="2"/>
  <c r="H7" i="2"/>
  <c r="I7" i="2" s="1"/>
  <c r="G7" i="2"/>
  <c r="Z28" i="1"/>
  <c r="AA28" i="1" s="1"/>
  <c r="R28" i="1"/>
  <c r="Q28" i="1"/>
  <c r="O28" i="1"/>
  <c r="S28" i="1" s="1"/>
  <c r="G28" i="1"/>
  <c r="H28" i="1" s="1"/>
  <c r="I28" i="1" s="1"/>
  <c r="Z27" i="1"/>
  <c r="AA27" i="1" s="1"/>
  <c r="Q27" i="1"/>
  <c r="R27" i="1" s="1"/>
  <c r="O27" i="1"/>
  <c r="H27" i="1"/>
  <c r="I27" i="1" s="1"/>
  <c r="G27" i="1"/>
  <c r="Z26" i="1"/>
  <c r="AA26" i="1" s="1"/>
  <c r="R26" i="1"/>
  <c r="Q26" i="1"/>
  <c r="O26" i="1"/>
  <c r="H26" i="1"/>
  <c r="I26" i="1" s="1"/>
  <c r="G26" i="1"/>
  <c r="Z25" i="1"/>
  <c r="AA25" i="1" s="1"/>
  <c r="Q25" i="1"/>
  <c r="R25" i="1" s="1"/>
  <c r="S25" i="1" s="1"/>
  <c r="H25" i="1"/>
  <c r="I25" i="1" s="1"/>
  <c r="G25" i="1"/>
  <c r="Z24" i="1"/>
  <c r="AA24" i="1" s="1"/>
  <c r="Q24" i="1"/>
  <c r="R24" i="1" s="1"/>
  <c r="K24" i="1"/>
  <c r="L24" i="1" s="1"/>
  <c r="T24" i="1" s="1"/>
  <c r="M24" i="1" s="1"/>
  <c r="G24" i="1"/>
  <c r="H24" i="1" s="1"/>
  <c r="I24" i="1" s="1"/>
  <c r="J24" i="1" s="1"/>
  <c r="Z23" i="1"/>
  <c r="AA23" i="1" s="1"/>
  <c r="Q23" i="1"/>
  <c r="R23" i="1" s="1"/>
  <c r="O23" i="1"/>
  <c r="H23" i="1"/>
  <c r="I23" i="1" s="1"/>
  <c r="G23" i="1"/>
  <c r="Z22" i="1"/>
  <c r="AA22" i="1" s="1"/>
  <c r="AB22" i="1" s="1"/>
  <c r="Q22" i="1"/>
  <c r="P22" i="1"/>
  <c r="Z21" i="1"/>
  <c r="AA21" i="1" s="1"/>
  <c r="Q21" i="1"/>
  <c r="R21" i="1" s="1"/>
  <c r="O21" i="1"/>
  <c r="G21" i="1"/>
  <c r="H21" i="1" s="1"/>
  <c r="I21" i="1" s="1"/>
  <c r="AA20" i="1"/>
  <c r="Z20" i="1"/>
  <c r="Q20" i="1"/>
  <c r="R20" i="1" s="1"/>
  <c r="O20" i="1"/>
  <c r="H20" i="1"/>
  <c r="I20" i="1" s="1"/>
  <c r="G20" i="1"/>
  <c r="Z19" i="1"/>
  <c r="AA19" i="1" s="1"/>
  <c r="T19" i="1"/>
  <c r="Q19" i="1"/>
  <c r="R19" i="1" s="1"/>
  <c r="O19" i="1"/>
  <c r="AA18" i="1"/>
  <c r="Z18" i="1"/>
  <c r="Q18" i="1"/>
  <c r="R18" i="1" s="1"/>
  <c r="O18" i="1"/>
  <c r="H18" i="1"/>
  <c r="I18" i="1" s="1"/>
  <c r="G18" i="1"/>
  <c r="Z17" i="1"/>
  <c r="AA17" i="1" s="1"/>
  <c r="Q17" i="1"/>
  <c r="R17" i="1" s="1"/>
  <c r="O17" i="1"/>
  <c r="G17" i="1"/>
  <c r="H17" i="1" s="1"/>
  <c r="I17" i="1" s="1"/>
  <c r="Z16" i="1"/>
  <c r="AA16" i="1" s="1"/>
  <c r="AB16" i="1" s="1"/>
  <c r="Z15" i="1"/>
  <c r="AA15" i="1" s="1"/>
  <c r="Q15" i="1"/>
  <c r="R15" i="1" s="1"/>
  <c r="O15" i="1"/>
  <c r="G15" i="1"/>
  <c r="H15" i="1" s="1"/>
  <c r="I15" i="1" s="1"/>
  <c r="Z14" i="1"/>
  <c r="AA14" i="1" s="1"/>
  <c r="Q14" i="1"/>
  <c r="R14" i="1" s="1"/>
  <c r="O14" i="1"/>
  <c r="H14" i="1"/>
  <c r="I14" i="1" s="1"/>
  <c r="G14" i="1"/>
  <c r="Z13" i="1"/>
  <c r="AA13" i="1" s="1"/>
  <c r="Q13" i="1"/>
  <c r="R13" i="1" s="1"/>
  <c r="O13" i="1"/>
  <c r="G13" i="1"/>
  <c r="H13" i="1" s="1"/>
  <c r="I13" i="1" s="1"/>
  <c r="Z12" i="1"/>
  <c r="AA12" i="1" s="1"/>
  <c r="Q12" i="1"/>
  <c r="R12" i="1" s="1"/>
  <c r="O12" i="1"/>
  <c r="G12" i="1"/>
  <c r="H12" i="1" s="1"/>
  <c r="I12" i="1" s="1"/>
  <c r="Z11" i="1"/>
  <c r="AA11" i="1" s="1"/>
  <c r="Q11" i="1"/>
  <c r="R11" i="1" s="1"/>
  <c r="O11" i="1"/>
  <c r="H11" i="1"/>
  <c r="I11" i="1" s="1"/>
  <c r="G11" i="1"/>
  <c r="Z10" i="1"/>
  <c r="AA10" i="1" s="1"/>
  <c r="Q10" i="1"/>
  <c r="R10" i="1" s="1"/>
  <c r="O10" i="1"/>
  <c r="G10" i="1"/>
  <c r="H10" i="1" s="1"/>
  <c r="I10" i="1" s="1"/>
  <c r="Z9" i="1"/>
  <c r="AA9" i="1" s="1"/>
  <c r="Q9" i="1"/>
  <c r="R9" i="1" s="1"/>
  <c r="O9" i="1"/>
  <c r="G9" i="1"/>
  <c r="H9" i="1" s="1"/>
  <c r="I9" i="1" s="1"/>
  <c r="Z8" i="1"/>
  <c r="AA8" i="1" s="1"/>
  <c r="P8" i="1"/>
  <c r="Q8" i="1" s="1"/>
  <c r="R8" i="1" s="1"/>
  <c r="Z7" i="1"/>
  <c r="AA7" i="1" s="1"/>
  <c r="Q7" i="1"/>
  <c r="R7" i="1" s="1"/>
  <c r="O7" i="1"/>
  <c r="H7" i="1"/>
  <c r="I7" i="1" s="1"/>
  <c r="G7" i="1"/>
  <c r="S7" i="8" l="1"/>
  <c r="S25" i="2"/>
  <c r="S15" i="3"/>
  <c r="S50" i="11"/>
  <c r="AB50" i="11" s="1"/>
  <c r="S16" i="11"/>
  <c r="K20" i="1"/>
  <c r="J20" i="1"/>
  <c r="L20" i="1" s="1"/>
  <c r="T20" i="1" s="1"/>
  <c r="M20" i="1" s="1"/>
  <c r="K28" i="1"/>
  <c r="J28" i="1"/>
  <c r="S20" i="1"/>
  <c r="AB20" i="1" s="1"/>
  <c r="S11" i="1"/>
  <c r="U11" i="1" s="1"/>
  <c r="K9" i="1"/>
  <c r="J9" i="1"/>
  <c r="L9" i="1" s="1"/>
  <c r="T9" i="1" s="1"/>
  <c r="M9" i="1" s="1"/>
  <c r="K18" i="1"/>
  <c r="J18" i="1"/>
  <c r="L18" i="1" s="1"/>
  <c r="T18" i="1" s="1"/>
  <c r="M18" i="1" s="1"/>
  <c r="K12" i="1"/>
  <c r="J12" i="1"/>
  <c r="U11" i="2"/>
  <c r="M11" i="2"/>
  <c r="K21" i="1"/>
  <c r="J21" i="1"/>
  <c r="L21" i="1" s="1"/>
  <c r="T21" i="1" s="1"/>
  <c r="M21" i="1" s="1"/>
  <c r="S17" i="1"/>
  <c r="J19" i="2"/>
  <c r="L19" i="2" s="1"/>
  <c r="T19" i="2" s="1"/>
  <c r="M19" i="2" s="1"/>
  <c r="K19" i="2"/>
  <c r="AB7" i="8"/>
  <c r="K10" i="1"/>
  <c r="J10" i="1"/>
  <c r="L10" i="1" s="1"/>
  <c r="T10" i="1" s="1"/>
  <c r="M10" i="1" s="1"/>
  <c r="S24" i="1"/>
  <c r="AB24" i="1" s="1"/>
  <c r="K8" i="8"/>
  <c r="J8" i="8"/>
  <c r="K14" i="1"/>
  <c r="J14" i="1"/>
  <c r="J14" i="2"/>
  <c r="K14" i="2"/>
  <c r="S15" i="1"/>
  <c r="J7" i="2"/>
  <c r="K7" i="2"/>
  <c r="K13" i="1"/>
  <c r="J13" i="1"/>
  <c r="K7" i="1"/>
  <c r="K8" i="1" s="1"/>
  <c r="AB8" i="1" s="1"/>
  <c r="J7" i="1"/>
  <c r="J27" i="1"/>
  <c r="L27" i="1" s="1"/>
  <c r="T27" i="1" s="1"/>
  <c r="M27" i="1" s="1"/>
  <c r="K27" i="1"/>
  <c r="S9" i="1"/>
  <c r="AB9" i="1" s="1"/>
  <c r="U9" i="1"/>
  <c r="S13" i="1"/>
  <c r="K17" i="1"/>
  <c r="J17" i="1"/>
  <c r="L17" i="1" s="1"/>
  <c r="T17" i="1" s="1"/>
  <c r="M17" i="1" s="1"/>
  <c r="L10" i="2"/>
  <c r="T10" i="2" s="1"/>
  <c r="M10" i="2" s="1"/>
  <c r="M21" i="2"/>
  <c r="K23" i="2"/>
  <c r="J23" i="2"/>
  <c r="L23" i="2" s="1"/>
  <c r="T23" i="2" s="1"/>
  <c r="M23" i="2" s="1"/>
  <c r="J23" i="1"/>
  <c r="K23" i="1"/>
  <c r="K15" i="1"/>
  <c r="J15" i="1"/>
  <c r="L15" i="1" s="1"/>
  <c r="T15" i="1" s="1"/>
  <c r="M15" i="1" s="1"/>
  <c r="K25" i="1"/>
  <c r="AB25" i="1" s="1"/>
  <c r="J25" i="1"/>
  <c r="J7" i="5"/>
  <c r="K7" i="5"/>
  <c r="K11" i="1"/>
  <c r="J11" i="1"/>
  <c r="L11" i="1" s="1"/>
  <c r="T11" i="1" s="1"/>
  <c r="M11" i="1" s="1"/>
  <c r="K9" i="2"/>
  <c r="J9" i="2"/>
  <c r="L9" i="2" s="1"/>
  <c r="T9" i="2" s="1"/>
  <c r="M9" i="2" s="1"/>
  <c r="M13" i="2"/>
  <c r="S7" i="7"/>
  <c r="U7" i="7" s="1"/>
  <c r="K7" i="8"/>
  <c r="J7" i="8"/>
  <c r="L7" i="8" s="1"/>
  <c r="T7" i="8" s="1"/>
  <c r="M7" i="8" s="1"/>
  <c r="K71" i="11"/>
  <c r="J71" i="11"/>
  <c r="L71" i="11" s="1"/>
  <c r="T71" i="11" s="1"/>
  <c r="M71" i="11" s="1"/>
  <c r="K13" i="3"/>
  <c r="J13" i="3"/>
  <c r="L13" i="3" s="1"/>
  <c r="T13" i="3" s="1"/>
  <c r="M13" i="3" s="1"/>
  <c r="S26" i="1"/>
  <c r="J12" i="2"/>
  <c r="L12" i="2" s="1"/>
  <c r="T12" i="2" s="1"/>
  <c r="M12" i="2" s="1"/>
  <c r="U20" i="2"/>
  <c r="K25" i="2"/>
  <c r="L25" i="2" s="1"/>
  <c r="T25" i="2" s="1"/>
  <c r="S17" i="3"/>
  <c r="S12" i="1"/>
  <c r="S23" i="1"/>
  <c r="U26" i="1"/>
  <c r="U7" i="3"/>
  <c r="K15" i="3"/>
  <c r="J15" i="3"/>
  <c r="J21" i="3"/>
  <c r="K21" i="3"/>
  <c r="L9" i="4"/>
  <c r="T9" i="4" s="1"/>
  <c r="M9" i="4" s="1"/>
  <c r="J9" i="11"/>
  <c r="L9" i="11" s="1"/>
  <c r="T9" i="11" s="1"/>
  <c r="M9" i="11" s="1"/>
  <c r="K9" i="11"/>
  <c r="U10" i="5"/>
  <c r="AC10" i="5" s="1"/>
  <c r="AD10" i="5" s="1"/>
  <c r="S7" i="11"/>
  <c r="U7" i="11" s="1"/>
  <c r="U9" i="2"/>
  <c r="J17" i="2"/>
  <c r="K17" i="2"/>
  <c r="U18" i="2"/>
  <c r="K22" i="2"/>
  <c r="U24" i="2"/>
  <c r="S21" i="3"/>
  <c r="L24" i="3"/>
  <c r="T24" i="3" s="1"/>
  <c r="M24" i="3" s="1"/>
  <c r="K9" i="8"/>
  <c r="J9" i="8"/>
  <c r="L9" i="8" s="1"/>
  <c r="T9" i="8" s="1"/>
  <c r="M9" i="8" s="1"/>
  <c r="K33" i="11"/>
  <c r="J33" i="11"/>
  <c r="L33" i="11" s="1"/>
  <c r="T33" i="11" s="1"/>
  <c r="M33" i="11" s="1"/>
  <c r="S10" i="1"/>
  <c r="AB10" i="1" s="1"/>
  <c r="U11" i="3"/>
  <c r="K8" i="4"/>
  <c r="AB8" i="4" s="1"/>
  <c r="J8" i="4"/>
  <c r="L8" i="4" s="1"/>
  <c r="T8" i="4" s="1"/>
  <c r="M8" i="4" s="1"/>
  <c r="J9" i="7"/>
  <c r="L9" i="7" s="1"/>
  <c r="T9" i="7" s="1"/>
  <c r="M9" i="7" s="1"/>
  <c r="S19" i="1"/>
  <c r="AB19" i="1" s="1"/>
  <c r="U15" i="2"/>
  <c r="K19" i="3"/>
  <c r="J19" i="3"/>
  <c r="S8" i="5"/>
  <c r="U8" i="5" s="1"/>
  <c r="AB8" i="5"/>
  <c r="J8" i="11"/>
  <c r="L8" i="11" s="1"/>
  <c r="T8" i="11" s="1"/>
  <c r="M8" i="11" s="1"/>
  <c r="J8" i="3"/>
  <c r="AB11" i="3"/>
  <c r="S13" i="3"/>
  <c r="U13" i="3" s="1"/>
  <c r="L22" i="3"/>
  <c r="T22" i="3" s="1"/>
  <c r="M22" i="3" s="1"/>
  <c r="S9" i="7"/>
  <c r="AB9" i="7" s="1"/>
  <c r="AB13" i="2"/>
  <c r="AC13" i="2"/>
  <c r="U23" i="2"/>
  <c r="K8" i="5"/>
  <c r="J8" i="5"/>
  <c r="L8" i="5" s="1"/>
  <c r="T8" i="5" s="1"/>
  <c r="M8" i="5" s="1"/>
  <c r="S7" i="1"/>
  <c r="AB7" i="1" s="1"/>
  <c r="S14" i="1"/>
  <c r="AB14" i="1" s="1"/>
  <c r="S21" i="1"/>
  <c r="U21" i="1" s="1"/>
  <c r="S7" i="2"/>
  <c r="K10" i="2"/>
  <c r="K22" i="3"/>
  <c r="AB22" i="3" s="1"/>
  <c r="K23" i="11"/>
  <c r="J23" i="11"/>
  <c r="K8" i="2"/>
  <c r="J8" i="2"/>
  <c r="L8" i="2" s="1"/>
  <c r="T8" i="2" s="1"/>
  <c r="M8" i="2" s="1"/>
  <c r="J26" i="1"/>
  <c r="K26" i="1"/>
  <c r="T26" i="1" s="1"/>
  <c r="M26" i="1" s="1"/>
  <c r="AB28" i="1"/>
  <c r="K17" i="3"/>
  <c r="J17" i="3"/>
  <c r="L17" i="3" s="1"/>
  <c r="T17" i="3" s="1"/>
  <c r="M17" i="3" s="1"/>
  <c r="K7" i="7"/>
  <c r="J7" i="7"/>
  <c r="L7" i="7" s="1"/>
  <c r="T7" i="7" s="1"/>
  <c r="M7" i="7" s="1"/>
  <c r="S8" i="8"/>
  <c r="AB8" i="8" s="1"/>
  <c r="U8" i="11"/>
  <c r="K11" i="11"/>
  <c r="J11" i="11"/>
  <c r="L11" i="11" s="1"/>
  <c r="T11" i="11" s="1"/>
  <c r="M11" i="11" s="1"/>
  <c r="L22" i="2"/>
  <c r="T22" i="2" s="1"/>
  <c r="M22" i="2" s="1"/>
  <c r="S18" i="1"/>
  <c r="U18" i="1" s="1"/>
  <c r="S27" i="1"/>
  <c r="K7" i="3"/>
  <c r="J7" i="3"/>
  <c r="L7" i="3" s="1"/>
  <c r="T7" i="3" s="1"/>
  <c r="M7" i="3" s="1"/>
  <c r="U8" i="3"/>
  <c r="U12" i="3"/>
  <c r="S12" i="3"/>
  <c r="S22" i="3"/>
  <c r="U22" i="3"/>
  <c r="J7" i="4"/>
  <c r="L7" i="4" s="1"/>
  <c r="T7" i="4" s="1"/>
  <c r="M7" i="4" s="1"/>
  <c r="K7" i="4"/>
  <c r="AB7" i="4" s="1"/>
  <c r="S7" i="5"/>
  <c r="U8" i="7"/>
  <c r="AB8" i="7"/>
  <c r="K7" i="9"/>
  <c r="J7" i="9"/>
  <c r="L7" i="9" s="1"/>
  <c r="T7" i="9" s="1"/>
  <c r="M7" i="9" s="1"/>
  <c r="L19" i="11"/>
  <c r="T19" i="11" s="1"/>
  <c r="M19" i="11" s="1"/>
  <c r="K43" i="11"/>
  <c r="J43" i="11"/>
  <c r="K46" i="11"/>
  <c r="J46" i="11"/>
  <c r="L46" i="11" s="1"/>
  <c r="T46" i="11" s="1"/>
  <c r="M46" i="11" s="1"/>
  <c r="S17" i="12"/>
  <c r="V17" i="12" s="1"/>
  <c r="AD17" i="12" s="1"/>
  <c r="AE17" i="12" s="1"/>
  <c r="AC17" i="12"/>
  <c r="S10" i="3"/>
  <c r="U10" i="3" s="1"/>
  <c r="S21" i="11"/>
  <c r="U21" i="11" s="1"/>
  <c r="U33" i="11"/>
  <c r="K52" i="11"/>
  <c r="J52" i="11"/>
  <c r="K8" i="12"/>
  <c r="T8" i="12" s="1"/>
  <c r="M8" i="12" s="1"/>
  <c r="J8" i="12"/>
  <c r="U19" i="11"/>
  <c r="U31" i="11"/>
  <c r="U47" i="11" s="1"/>
  <c r="K38" i="11"/>
  <c r="J38" i="11"/>
  <c r="V25" i="12"/>
  <c r="S25" i="12"/>
  <c r="AC25" i="12" s="1"/>
  <c r="S9" i="11"/>
  <c r="S12" i="11"/>
  <c r="U12" i="11" s="1"/>
  <c r="J14" i="11"/>
  <c r="K14" i="11"/>
  <c r="K16" i="11"/>
  <c r="J16" i="11"/>
  <c r="L16" i="11" s="1"/>
  <c r="T16" i="11" s="1"/>
  <c r="U16" i="11" s="1"/>
  <c r="L18" i="11"/>
  <c r="T18" i="11" s="1"/>
  <c r="M18" i="11" s="1"/>
  <c r="J47" i="11"/>
  <c r="L47" i="11" s="1"/>
  <c r="T47" i="11" s="1"/>
  <c r="M47" i="11" s="1"/>
  <c r="K47" i="11"/>
  <c r="AB73" i="11"/>
  <c r="S73" i="11"/>
  <c r="U73" i="11" s="1"/>
  <c r="AC73" i="11" s="1"/>
  <c r="AD73" i="11" s="1"/>
  <c r="S11" i="11"/>
  <c r="U11" i="11" s="1"/>
  <c r="K36" i="11"/>
  <c r="J36" i="11"/>
  <c r="S9" i="4"/>
  <c r="U9" i="4" s="1"/>
  <c r="AD7" i="10"/>
  <c r="AE7" i="10" s="1"/>
  <c r="AF7" i="10" s="1"/>
  <c r="J20" i="11"/>
  <c r="L20" i="11" s="1"/>
  <c r="T20" i="11" s="1"/>
  <c r="M20" i="11" s="1"/>
  <c r="K20" i="11"/>
  <c r="K22" i="11"/>
  <c r="AB22" i="11" s="1"/>
  <c r="J22" i="11"/>
  <c r="L22" i="11" s="1"/>
  <c r="T22" i="11" s="1"/>
  <c r="K44" i="11"/>
  <c r="J44" i="11"/>
  <c r="L44" i="11" s="1"/>
  <c r="T44" i="11" s="1"/>
  <c r="M44" i="11" s="1"/>
  <c r="V14" i="12"/>
  <c r="K9" i="5"/>
  <c r="AB9" i="5" s="1"/>
  <c r="U34" i="11"/>
  <c r="S44" i="11"/>
  <c r="K50" i="11"/>
  <c r="J50" i="11"/>
  <c r="L50" i="11" s="1"/>
  <c r="T50" i="11" s="1"/>
  <c r="M50" i="11" s="1"/>
  <c r="U7" i="8"/>
  <c r="AC7" i="8" s="1"/>
  <c r="AD7" i="8" s="1"/>
  <c r="S9" i="8"/>
  <c r="AB9" i="8" s="1"/>
  <c r="S7" i="9"/>
  <c r="AB7" i="9" s="1"/>
  <c r="S14" i="11"/>
  <c r="S22" i="2"/>
  <c r="U22" i="2" s="1"/>
  <c r="J8" i="7"/>
  <c r="L8" i="7" s="1"/>
  <c r="T8" i="7" s="1"/>
  <c r="M8" i="7" s="1"/>
  <c r="U20" i="11"/>
  <c r="AC20" i="11" s="1"/>
  <c r="AD20" i="11" s="1"/>
  <c r="S20" i="11"/>
  <c r="AB20" i="11"/>
  <c r="K45" i="11"/>
  <c r="J45" i="11"/>
  <c r="J7" i="11"/>
  <c r="L7" i="11" s="1"/>
  <c r="T7" i="11" s="1"/>
  <c r="M7" i="11" s="1"/>
  <c r="U32" i="11"/>
  <c r="AB32" i="11" s="1"/>
  <c r="M37" i="11"/>
  <c r="S45" i="11"/>
  <c r="V20" i="12"/>
  <c r="AC24" i="12"/>
  <c r="S42" i="11"/>
  <c r="S56" i="11"/>
  <c r="K61" i="11"/>
  <c r="AB61" i="11" s="1"/>
  <c r="J61" i="11"/>
  <c r="L61" i="11" s="1"/>
  <c r="T61" i="11" s="1"/>
  <c r="M61" i="11" s="1"/>
  <c r="S71" i="11"/>
  <c r="AB71" i="11" s="1"/>
  <c r="S11" i="12"/>
  <c r="V11" i="12" s="1"/>
  <c r="K16" i="12"/>
  <c r="J16" i="12"/>
  <c r="L16" i="12" s="1"/>
  <c r="J21" i="11"/>
  <c r="L21" i="11" s="1"/>
  <c r="T21" i="11" s="1"/>
  <c r="M21" i="11" s="1"/>
  <c r="AB37" i="11"/>
  <c r="AC37" i="11" s="1"/>
  <c r="AD37" i="11" s="1"/>
  <c r="K41" i="11"/>
  <c r="J41" i="11"/>
  <c r="L41" i="11" s="1"/>
  <c r="T41" i="11" s="1"/>
  <c r="M41" i="11" s="1"/>
  <c r="K53" i="11"/>
  <c r="J53" i="11"/>
  <c r="S61" i="11"/>
  <c r="K67" i="11"/>
  <c r="J67" i="11"/>
  <c r="L67" i="11" s="1"/>
  <c r="T67" i="11" s="1"/>
  <c r="M67" i="11" s="1"/>
  <c r="J24" i="12"/>
  <c r="L24" i="12" s="1"/>
  <c r="U24" i="12" s="1"/>
  <c r="S23" i="11"/>
  <c r="U61" i="11"/>
  <c r="K10" i="12"/>
  <c r="T10" i="12" s="1"/>
  <c r="M10" i="12" s="1"/>
  <c r="J10" i="12"/>
  <c r="M14" i="12"/>
  <c r="M13" i="12"/>
  <c r="K39" i="11"/>
  <c r="J39" i="11"/>
  <c r="S47" i="11"/>
  <c r="S67" i="11"/>
  <c r="U67" i="11" s="1"/>
  <c r="V13" i="12"/>
  <c r="AD13" i="12" s="1"/>
  <c r="AE13" i="12" s="1"/>
  <c r="S13" i="12"/>
  <c r="AC13" i="12"/>
  <c r="K18" i="12"/>
  <c r="T18" i="12" s="1"/>
  <c r="M18" i="12" s="1"/>
  <c r="J18" i="12"/>
  <c r="V19" i="12"/>
  <c r="S19" i="12"/>
  <c r="AC19" i="12"/>
  <c r="K21" i="12"/>
  <c r="T21" i="12" s="1"/>
  <c r="M21" i="12" s="1"/>
  <c r="J21" i="12"/>
  <c r="L21" i="12" s="1"/>
  <c r="U21" i="12" s="1"/>
  <c r="K72" i="11"/>
  <c r="AB72" i="11" s="1"/>
  <c r="J72" i="11"/>
  <c r="AC16" i="12"/>
  <c r="S21" i="12"/>
  <c r="S53" i="11"/>
  <c r="K60" i="11"/>
  <c r="J60" i="11"/>
  <c r="L60" i="11" s="1"/>
  <c r="T60" i="11" s="1"/>
  <c r="M60" i="11" s="1"/>
  <c r="AC10" i="12"/>
  <c r="K12" i="12"/>
  <c r="T12" i="12" s="1"/>
  <c r="M12" i="12" s="1"/>
  <c r="J12" i="12"/>
  <c r="L12" i="12" s="1"/>
  <c r="U12" i="12" s="1"/>
  <c r="U35" i="11"/>
  <c r="AB35" i="11" s="1"/>
  <c r="K62" i="11"/>
  <c r="J62" i="11"/>
  <c r="L62" i="11" s="1"/>
  <c r="T62" i="11" s="1"/>
  <c r="M62" i="11" s="1"/>
  <c r="J68" i="11"/>
  <c r="L68" i="11" s="1"/>
  <c r="T68" i="11" s="1"/>
  <c r="M68" i="11" s="1"/>
  <c r="S7" i="12"/>
  <c r="V7" i="12" s="1"/>
  <c r="AD7" i="12" s="1"/>
  <c r="AE7" i="12" s="1"/>
  <c r="AC7" i="12"/>
  <c r="V18" i="12"/>
  <c r="AD18" i="12" s="1"/>
  <c r="AE18" i="12" s="1"/>
  <c r="V23" i="12"/>
  <c r="J26" i="12"/>
  <c r="L26" i="12" s="1"/>
  <c r="U26" i="12" s="1"/>
  <c r="AB19" i="11"/>
  <c r="S43" i="11"/>
  <c r="S46" i="11"/>
  <c r="S68" i="11"/>
  <c r="U68" i="11" s="1"/>
  <c r="AC68" i="11" s="1"/>
  <c r="AD68" i="11" s="1"/>
  <c r="AB68" i="11"/>
  <c r="S72" i="11"/>
  <c r="S15" i="12"/>
  <c r="AC15" i="12"/>
  <c r="S23" i="12"/>
  <c r="AC23" i="12" s="1"/>
  <c r="S52" i="11"/>
  <c r="AB52" i="11" s="1"/>
  <c r="M9" i="12"/>
  <c r="K14" i="12"/>
  <c r="J14" i="12"/>
  <c r="L14" i="12" s="1"/>
  <c r="AC18" i="12"/>
  <c r="K20" i="12"/>
  <c r="T20" i="12" s="1"/>
  <c r="M20" i="12" s="1"/>
  <c r="J20" i="12"/>
  <c r="L20" i="12" s="1"/>
  <c r="U20" i="12" s="1"/>
  <c r="U30" i="11"/>
  <c r="U40" i="11" s="1"/>
  <c r="S38" i="11"/>
  <c r="K42" i="11"/>
  <c r="J42" i="11"/>
  <c r="K56" i="11"/>
  <c r="J56" i="11"/>
  <c r="L56" i="11" s="1"/>
  <c r="T56" i="11" s="1"/>
  <c r="M56" i="11" s="1"/>
  <c r="S60" i="11"/>
  <c r="U60" i="11" s="1"/>
  <c r="L73" i="11"/>
  <c r="T73" i="11" s="1"/>
  <c r="M73" i="11" s="1"/>
  <c r="S9" i="12"/>
  <c r="V9" i="12" s="1"/>
  <c r="M17" i="12"/>
  <c r="M25" i="12"/>
  <c r="S62" i="11"/>
  <c r="U62" i="11" s="1"/>
  <c r="S8" i="12"/>
  <c r="S10" i="12"/>
  <c r="S12" i="12"/>
  <c r="AC12" i="12" s="1"/>
  <c r="S14" i="12"/>
  <c r="AC14" i="12" s="1"/>
  <c r="S16" i="12"/>
  <c r="J23" i="12"/>
  <c r="L23" i="12" s="1"/>
  <c r="U23" i="12" s="1"/>
  <c r="S24" i="12"/>
  <c r="V24" i="12" s="1"/>
  <c r="AD24" i="12" s="1"/>
  <c r="AE24" i="12" s="1"/>
  <c r="J25" i="12"/>
  <c r="L25" i="12" s="1"/>
  <c r="U25" i="12" s="1"/>
  <c r="S26" i="12"/>
  <c r="V26" i="12" s="1"/>
  <c r="V8" i="12"/>
  <c r="V10" i="12"/>
  <c r="S22" i="12"/>
  <c r="V22" i="12" s="1"/>
  <c r="U10" i="1" l="1"/>
  <c r="U9" i="8"/>
  <c r="AB7" i="7"/>
  <c r="AB7" i="3"/>
  <c r="U9" i="7"/>
  <c r="AC9" i="7" s="1"/>
  <c r="AD9" i="7" s="1"/>
  <c r="U20" i="1"/>
  <c r="AB15" i="1"/>
  <c r="AB53" i="11"/>
  <c r="AC8" i="5"/>
  <c r="AD8" i="5" s="1"/>
  <c r="AC7" i="7"/>
  <c r="AD7" i="7" s="1"/>
  <c r="AB62" i="11"/>
  <c r="AC62" i="11" s="1"/>
  <c r="AD62" i="11" s="1"/>
  <c r="AC19" i="11"/>
  <c r="AD19" i="11" s="1"/>
  <c r="AB12" i="1"/>
  <c r="AB13" i="1"/>
  <c r="AB13" i="3"/>
  <c r="AB7" i="5"/>
  <c r="AB18" i="1"/>
  <c r="AC18" i="1" s="1"/>
  <c r="AD18" i="1" s="1"/>
  <c r="AB60" i="11"/>
  <c r="AC60" i="11" s="1"/>
  <c r="AD60" i="11" s="1"/>
  <c r="AB56" i="11"/>
  <c r="AB17" i="1"/>
  <c r="U17" i="11"/>
  <c r="AC13" i="3"/>
  <c r="AD13" i="3" s="1"/>
  <c r="U13" i="11"/>
  <c r="AB10" i="3"/>
  <c r="AC10" i="3" s="1"/>
  <c r="AD10" i="3" s="1"/>
  <c r="AB40" i="11"/>
  <c r="AC40" i="11" s="1"/>
  <c r="AD40" i="11" s="1"/>
  <c r="AB22" i="2"/>
  <c r="AC22" i="2" s="1"/>
  <c r="AD22" i="2" s="1"/>
  <c r="AB11" i="11"/>
  <c r="AC11" i="11" s="1"/>
  <c r="AD11" i="11" s="1"/>
  <c r="M25" i="2"/>
  <c r="U25" i="2"/>
  <c r="U22" i="1"/>
  <c r="AC22" i="1" s="1"/>
  <c r="AD22" i="1" s="1"/>
  <c r="U46" i="11"/>
  <c r="AB47" i="11"/>
  <c r="AC47" i="11" s="1"/>
  <c r="AD47" i="11" s="1"/>
  <c r="AC9" i="8"/>
  <c r="AD9" i="8" s="1"/>
  <c r="U71" i="11"/>
  <c r="AC71" i="11" s="1"/>
  <c r="AD71" i="11" s="1"/>
  <c r="AC8" i="7"/>
  <c r="AD8" i="7" s="1"/>
  <c r="L7" i="5"/>
  <c r="T7" i="5" s="1"/>
  <c r="L14" i="2"/>
  <c r="T14" i="2" s="1"/>
  <c r="AB11" i="1"/>
  <c r="AC11" i="1" s="1"/>
  <c r="AD11" i="1" s="1"/>
  <c r="U9" i="11"/>
  <c r="AC10" i="1"/>
  <c r="AD10" i="1" s="1"/>
  <c r="L19" i="3"/>
  <c r="T19" i="3" s="1"/>
  <c r="AC11" i="3"/>
  <c r="AD11" i="3" s="1"/>
  <c r="L25" i="1"/>
  <c r="T25" i="1" s="1"/>
  <c r="L7" i="1"/>
  <c r="L14" i="1"/>
  <c r="T14" i="1" s="1"/>
  <c r="AC20" i="1"/>
  <c r="AD20" i="1" s="1"/>
  <c r="AB67" i="11"/>
  <c r="AC67" i="11" s="1"/>
  <c r="AD67" i="11" s="1"/>
  <c r="L42" i="11"/>
  <c r="T42" i="11" s="1"/>
  <c r="V12" i="12"/>
  <c r="U44" i="11" s="1"/>
  <c r="U7" i="9"/>
  <c r="AC7" i="9" s="1"/>
  <c r="L8" i="12"/>
  <c r="U8" i="12" s="1"/>
  <c r="U12" i="2"/>
  <c r="AC24" i="2"/>
  <c r="AD24" i="2" s="1"/>
  <c r="AB24" i="2"/>
  <c r="AB23" i="1"/>
  <c r="AB11" i="2"/>
  <c r="AC11" i="2" s="1"/>
  <c r="U56" i="11"/>
  <c r="AD25" i="12"/>
  <c r="AE25" i="12" s="1"/>
  <c r="U8" i="4"/>
  <c r="AC8" i="4" s="1"/>
  <c r="AD8" i="4" s="1"/>
  <c r="U27" i="1"/>
  <c r="AB21" i="1"/>
  <c r="AC21" i="1" s="1"/>
  <c r="AD21" i="1" s="1"/>
  <c r="L8" i="8"/>
  <c r="T8" i="8" s="1"/>
  <c r="U17" i="1"/>
  <c r="U8" i="2"/>
  <c r="AD19" i="12"/>
  <c r="AE19" i="12" s="1"/>
  <c r="M22" i="11"/>
  <c r="U22" i="11"/>
  <c r="AC22" i="11" s="1"/>
  <c r="AD22" i="11" s="1"/>
  <c r="U52" i="11"/>
  <c r="AC52" i="11" s="1"/>
  <c r="AD52" i="11" s="1"/>
  <c r="L18" i="12"/>
  <c r="U18" i="12" s="1"/>
  <c r="L39" i="11"/>
  <c r="T39" i="11" s="1"/>
  <c r="AC20" i="12"/>
  <c r="AD20" i="12" s="1"/>
  <c r="AE20" i="12" s="1"/>
  <c r="L52" i="11"/>
  <c r="T52" i="11" s="1"/>
  <c r="M52" i="11" s="1"/>
  <c r="U19" i="1"/>
  <c r="AC19" i="1" s="1"/>
  <c r="AD19" i="1" s="1"/>
  <c r="L23" i="11"/>
  <c r="T23" i="11" s="1"/>
  <c r="M23" i="11" s="1"/>
  <c r="AB18" i="2"/>
  <c r="AC18" i="2" s="1"/>
  <c r="AD18" i="2" s="1"/>
  <c r="U19" i="2"/>
  <c r="L13" i="1"/>
  <c r="T13" i="1" s="1"/>
  <c r="M13" i="1" s="1"/>
  <c r="L12" i="1"/>
  <c r="T12" i="1" s="1"/>
  <c r="AC8" i="3"/>
  <c r="AD8" i="3" s="1"/>
  <c r="U9" i="3"/>
  <c r="AC20" i="2"/>
  <c r="AD20" i="2" s="1"/>
  <c r="AB20" i="2"/>
  <c r="AC26" i="12"/>
  <c r="AD26" i="12" s="1"/>
  <c r="AE26" i="12" s="1"/>
  <c r="AC9" i="12"/>
  <c r="AD9" i="12" s="1"/>
  <c r="AE9" i="12" s="1"/>
  <c r="L45" i="11"/>
  <c r="T45" i="11" s="1"/>
  <c r="M45" i="11" s="1"/>
  <c r="AB46" i="11"/>
  <c r="L43" i="11"/>
  <c r="T43" i="11" s="1"/>
  <c r="AB23" i="11"/>
  <c r="AB15" i="2"/>
  <c r="AC15" i="2" s="1"/>
  <c r="AD15" i="2" s="1"/>
  <c r="U7" i="4"/>
  <c r="AC7" i="4" s="1"/>
  <c r="AD7" i="4" s="1"/>
  <c r="AB9" i="4"/>
  <c r="AC9" i="4" s="1"/>
  <c r="AD9" i="4" s="1"/>
  <c r="U10" i="2"/>
  <c r="AD14" i="12"/>
  <c r="AE14" i="12" s="1"/>
  <c r="AB31" i="11"/>
  <c r="AC31" i="11" s="1"/>
  <c r="AD31" i="11" s="1"/>
  <c r="AC22" i="3"/>
  <c r="AD22" i="3" s="1"/>
  <c r="AC23" i="2"/>
  <c r="AD23" i="2" s="1"/>
  <c r="AB23" i="2"/>
  <c r="L17" i="2"/>
  <c r="T17" i="2" s="1"/>
  <c r="L9" i="5"/>
  <c r="T9" i="5" s="1"/>
  <c r="L23" i="1"/>
  <c r="T23" i="1" s="1"/>
  <c r="M23" i="1" s="1"/>
  <c r="U24" i="1"/>
  <c r="AC24" i="1" s="1"/>
  <c r="AD24" i="1" s="1"/>
  <c r="L28" i="1"/>
  <c r="T28" i="1" s="1"/>
  <c r="AC32" i="11"/>
  <c r="AD32" i="11" s="1"/>
  <c r="U41" i="11"/>
  <c r="AB41" i="11" s="1"/>
  <c r="T15" i="12"/>
  <c r="V15" i="12" s="1"/>
  <c r="AD15" i="12" s="1"/>
  <c r="AE15" i="12" s="1"/>
  <c r="T16" i="12"/>
  <c r="AB8" i="11"/>
  <c r="AC8" i="11" s="1"/>
  <c r="AD8" i="11" s="1"/>
  <c r="M16" i="11"/>
  <c r="T17" i="11"/>
  <c r="AC33" i="11"/>
  <c r="AD33" i="11" s="1"/>
  <c r="AB8" i="3"/>
  <c r="AB9" i="2"/>
  <c r="AC9" i="2" s="1"/>
  <c r="L21" i="3"/>
  <c r="T21" i="3" s="1"/>
  <c r="M21" i="3" s="1"/>
  <c r="AB27" i="1"/>
  <c r="AC9" i="1"/>
  <c r="AD9" i="1" s="1"/>
  <c r="L7" i="2"/>
  <c r="T7" i="2" s="1"/>
  <c r="M7" i="2" s="1"/>
  <c r="V21" i="12"/>
  <c r="U16" i="12"/>
  <c r="U15" i="12"/>
  <c r="U18" i="11"/>
  <c r="AC35" i="11"/>
  <c r="AD35" i="11" s="1"/>
  <c r="L72" i="11"/>
  <c r="T72" i="11" s="1"/>
  <c r="M72" i="11" s="1"/>
  <c r="L10" i="12"/>
  <c r="U10" i="12" s="1"/>
  <c r="AC11" i="12"/>
  <c r="AD11" i="12" s="1"/>
  <c r="AE11" i="12" s="1"/>
  <c r="U50" i="11"/>
  <c r="AB34" i="11"/>
  <c r="AC34" i="11" s="1"/>
  <c r="AD34" i="11" s="1"/>
  <c r="AB12" i="11"/>
  <c r="AC12" i="11" s="1"/>
  <c r="AB16" i="11"/>
  <c r="AC16" i="11" s="1"/>
  <c r="AD16" i="11" s="1"/>
  <c r="L38" i="11"/>
  <c r="T38" i="11" s="1"/>
  <c r="AB21" i="11"/>
  <c r="AC21" i="11" s="1"/>
  <c r="AD21" i="11" s="1"/>
  <c r="AB30" i="11"/>
  <c r="AC30" i="11" s="1"/>
  <c r="AD30" i="11" s="1"/>
  <c r="L15" i="3"/>
  <c r="T15" i="3" s="1"/>
  <c r="U17" i="3"/>
  <c r="AB26" i="1"/>
  <c r="AC26" i="1" s="1"/>
  <c r="AD26" i="1" s="1"/>
  <c r="U15" i="1"/>
  <c r="AC61" i="11"/>
  <c r="AD61" i="11" s="1"/>
  <c r="AC7" i="3"/>
  <c r="AD7" i="3" s="1"/>
  <c r="AD10" i="12"/>
  <c r="AE10" i="12" s="1"/>
  <c r="AD23" i="12"/>
  <c r="AE23" i="12" s="1"/>
  <c r="AC8" i="12"/>
  <c r="AD8" i="12" s="1"/>
  <c r="AE8" i="12" s="1"/>
  <c r="L53" i="11"/>
  <c r="T53" i="11" s="1"/>
  <c r="L36" i="11"/>
  <c r="T36" i="11" s="1"/>
  <c r="L14" i="11"/>
  <c r="T14" i="11" s="1"/>
  <c r="U14" i="11" s="1"/>
  <c r="AB33" i="11"/>
  <c r="L26" i="1"/>
  <c r="AB7" i="11"/>
  <c r="AC7" i="11" s="1"/>
  <c r="AD7" i="11" s="1"/>
  <c r="AB12" i="3"/>
  <c r="AC12" i="3" s="1"/>
  <c r="AD12" i="3" s="1"/>
  <c r="AD12" i="11" l="1"/>
  <c r="AC17" i="1"/>
  <c r="AD17" i="1" s="1"/>
  <c r="AC56" i="11"/>
  <c r="AD56" i="11" s="1"/>
  <c r="AB44" i="11"/>
  <c r="AC44" i="11" s="1"/>
  <c r="AD44" i="11" s="1"/>
  <c r="U15" i="11"/>
  <c r="AB14" i="11"/>
  <c r="AC14" i="11" s="1"/>
  <c r="AD14" i="11" s="1"/>
  <c r="M53" i="11"/>
  <c r="U53" i="11"/>
  <c r="AC53" i="11" s="1"/>
  <c r="AD53" i="11" s="1"/>
  <c r="M15" i="3"/>
  <c r="U15" i="3"/>
  <c r="AB18" i="11"/>
  <c r="AC18" i="11" s="1"/>
  <c r="AD18" i="11" s="1"/>
  <c r="M28" i="1"/>
  <c r="U28" i="1"/>
  <c r="AC28" i="1" s="1"/>
  <c r="AD28" i="1" s="1"/>
  <c r="AB10" i="2"/>
  <c r="AC10" i="2" s="1"/>
  <c r="M42" i="11"/>
  <c r="U42" i="11"/>
  <c r="M14" i="2"/>
  <c r="U14" i="2"/>
  <c r="AB9" i="3"/>
  <c r="AC9" i="3" s="1"/>
  <c r="AD9" i="3" s="1"/>
  <c r="M39" i="11"/>
  <c r="U39" i="11"/>
  <c r="M7" i="5"/>
  <c r="U7" i="5"/>
  <c r="AC7" i="5" s="1"/>
  <c r="AD7" i="5" s="1"/>
  <c r="AB13" i="11"/>
  <c r="AC13" i="11" s="1"/>
  <c r="AD13" i="11" s="1"/>
  <c r="M14" i="1"/>
  <c r="U14" i="1"/>
  <c r="AC14" i="1" s="1"/>
  <c r="AD14" i="1" s="1"/>
  <c r="AC46" i="11"/>
  <c r="AD46" i="11" s="1"/>
  <c r="T7" i="1"/>
  <c r="L8" i="1"/>
  <c r="T8" i="1" s="1"/>
  <c r="M38" i="11"/>
  <c r="U38" i="11"/>
  <c r="M17" i="2"/>
  <c r="U17" i="2"/>
  <c r="AB19" i="2"/>
  <c r="AC19" i="2" s="1"/>
  <c r="AD19" i="2" s="1"/>
  <c r="M25" i="1"/>
  <c r="U25" i="1"/>
  <c r="AC25" i="1" s="1"/>
  <c r="AD25" i="1" s="1"/>
  <c r="U72" i="11"/>
  <c r="AC72" i="11" s="1"/>
  <c r="AD72" i="11" s="1"/>
  <c r="U13" i="1"/>
  <c r="AC13" i="1" s="1"/>
  <c r="AD13" i="1" s="1"/>
  <c r="M9" i="5"/>
  <c r="U9" i="5"/>
  <c r="AC9" i="5" s="1"/>
  <c r="AD9" i="5" s="1"/>
  <c r="M12" i="1"/>
  <c r="U12" i="1"/>
  <c r="AC12" i="1" s="1"/>
  <c r="AD12" i="1" s="1"/>
  <c r="M16" i="12"/>
  <c r="V16" i="12"/>
  <c r="AD16" i="12" s="1"/>
  <c r="AE16" i="12" s="1"/>
  <c r="M43" i="11"/>
  <c r="U43" i="11"/>
  <c r="U21" i="3"/>
  <c r="U51" i="11"/>
  <c r="AC51" i="11" s="1"/>
  <c r="AD51" i="11" s="1"/>
  <c r="AC50" i="11"/>
  <c r="AD50" i="11" s="1"/>
  <c r="AC8" i="2"/>
  <c r="AB8" i="2"/>
  <c r="M19" i="3"/>
  <c r="U19" i="3"/>
  <c r="AB12" i="2"/>
  <c r="AC12" i="2"/>
  <c r="AB25" i="2"/>
  <c r="AC25" i="2" s="1"/>
  <c r="AD25" i="2" s="1"/>
  <c r="U23" i="1"/>
  <c r="AC23" i="1" s="1"/>
  <c r="AD23" i="1" s="1"/>
  <c r="AC15" i="1"/>
  <c r="AD15" i="1" s="1"/>
  <c r="U16" i="1"/>
  <c r="AC16" i="1" s="1"/>
  <c r="AD16" i="1" s="1"/>
  <c r="AC41" i="11"/>
  <c r="AD41" i="11" s="1"/>
  <c r="M8" i="8"/>
  <c r="U8" i="8"/>
  <c r="AC8" i="8" s="1"/>
  <c r="AD8" i="8" s="1"/>
  <c r="U10" i="11"/>
  <c r="U45" i="11"/>
  <c r="U23" i="11"/>
  <c r="AC23" i="11" s="1"/>
  <c r="AD23" i="11" s="1"/>
  <c r="T15" i="11"/>
  <c r="M14" i="11"/>
  <c r="AB9" i="11"/>
  <c r="AC9" i="11" s="1"/>
  <c r="AD9" i="11" s="1"/>
  <c r="AB17" i="11"/>
  <c r="AC17" i="11" s="1"/>
  <c r="AD17" i="11" s="1"/>
  <c r="M36" i="11"/>
  <c r="U36" i="11"/>
  <c r="AB17" i="3"/>
  <c r="AC17" i="3" s="1"/>
  <c r="AD17" i="3" s="1"/>
  <c r="AC27" i="1"/>
  <c r="AD27" i="1" s="1"/>
  <c r="AD12" i="12"/>
  <c r="AE12" i="12" s="1"/>
  <c r="U24" i="3"/>
  <c r="U20" i="3" l="1"/>
  <c r="AB19" i="3"/>
  <c r="AC19" i="3" s="1"/>
  <c r="AD19" i="3" s="1"/>
  <c r="AB15" i="3"/>
  <c r="AC15" i="3" s="1"/>
  <c r="AD15" i="3" s="1"/>
  <c r="M7" i="1"/>
  <c r="U7" i="1"/>
  <c r="AC7" i="1" s="1"/>
  <c r="AB14" i="2"/>
  <c r="AC14" i="2" s="1"/>
  <c r="AB36" i="11"/>
  <c r="AC36" i="11" s="1"/>
  <c r="AD36" i="11" s="1"/>
  <c r="AC42" i="11"/>
  <c r="AD42" i="11" s="1"/>
  <c r="AB42" i="11"/>
  <c r="AB38" i="11"/>
  <c r="AC38" i="11" s="1"/>
  <c r="AD38" i="11" s="1"/>
  <c r="AB21" i="3"/>
  <c r="AC21" i="3" s="1"/>
  <c r="AD21" i="3" s="1"/>
  <c r="AB15" i="11"/>
  <c r="AC15" i="11" s="1"/>
  <c r="AD15" i="11" s="1"/>
  <c r="AB43" i="11"/>
  <c r="AC43" i="11" s="1"/>
  <c r="AD43" i="11" s="1"/>
  <c r="AB24" i="3"/>
  <c r="AC24" i="3" s="1"/>
  <c r="AD24" i="3" s="1"/>
  <c r="AB39" i="11"/>
  <c r="AC39" i="11" s="1"/>
  <c r="AD39" i="11" s="1"/>
  <c r="AB45" i="11"/>
  <c r="AC45" i="11" s="1"/>
  <c r="AD45" i="11" s="1"/>
  <c r="AB10" i="11"/>
  <c r="AC10" i="11" s="1"/>
  <c r="AD10" i="11" s="1"/>
  <c r="AB17" i="2"/>
  <c r="AC17" i="2" s="1"/>
  <c r="AD17" i="2" s="1"/>
  <c r="U21" i="2"/>
  <c r="U7" i="2"/>
  <c r="AB21" i="2" l="1"/>
  <c r="AC21" i="2"/>
  <c r="AD21" i="2" s="1"/>
  <c r="AD7" i="1"/>
  <c r="U8" i="1"/>
  <c r="AC8" i="1" s="1"/>
  <c r="AD8" i="1" s="1"/>
  <c r="AB7" i="2"/>
  <c r="AC7" i="2" s="1"/>
  <c r="AD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6" authorId="0" shapeId="0" xr:uid="{00000000-0006-0000-0000-000001000000}">
      <text>
        <r>
          <rPr>
            <sz val="10"/>
            <color rgb="FF000000"/>
            <rFont val="Arial"/>
            <scheme val="minor"/>
          </rPr>
          <t>매출연동 수수료
(N배송 솔루션 사용료1.5%+판매수수료3%)
4.5%+3.63%(네이버페이수수료)=8.13%</t>
        </r>
      </text>
    </comment>
    <comment ref="N17" authorId="0" shapeId="0" xr:uid="{00000000-0006-0000-0000-000002000000}">
      <text>
        <r>
          <rPr>
            <sz val="10"/>
            <color rgb="FF000000"/>
            <rFont val="Arial"/>
            <scheme val="minor"/>
          </rPr>
          <t xml:space="preserve">A19
</t>
        </r>
      </text>
    </comment>
    <comment ref="N18" authorId="0" shapeId="0" xr:uid="{00000000-0006-0000-0000-000003000000}">
      <text>
        <r>
          <rPr>
            <sz val="10"/>
            <color rgb="FF000000"/>
            <rFont val="Arial"/>
            <scheme val="minor"/>
          </rPr>
          <t xml:space="preserve">A19
</t>
        </r>
      </text>
    </comment>
    <comment ref="N19" authorId="0" shapeId="0" xr:uid="{00000000-0006-0000-0000-000004000000}">
      <text>
        <r>
          <rPr>
            <sz val="10"/>
            <color rgb="FF000000"/>
            <rFont val="Arial"/>
            <scheme val="minor"/>
          </rPr>
          <t xml:space="preserve">A19
</t>
        </r>
      </text>
    </comment>
    <comment ref="N21" authorId="0" shapeId="0" xr:uid="{00000000-0006-0000-0000-000005000000}">
      <text>
        <r>
          <rPr>
            <sz val="10"/>
            <color rgb="FF000000"/>
            <rFont val="Arial"/>
            <scheme val="minor"/>
          </rPr>
          <t xml:space="preserve">A16
</t>
        </r>
      </text>
    </comment>
    <comment ref="N22" authorId="0" shapeId="0" xr:uid="{00000000-0006-0000-0000-000006000000}">
      <text>
        <r>
          <rPr>
            <sz val="10"/>
            <color rgb="FF000000"/>
            <rFont val="Arial"/>
            <scheme val="minor"/>
          </rPr>
          <t xml:space="preserve">A16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7" authorId="0" shapeId="0" xr:uid="{00000000-0006-0000-0100-000001000000}">
      <text>
        <r>
          <rPr>
            <sz val="10"/>
            <color rgb="FF000000"/>
            <rFont val="Arial"/>
            <scheme val="minor"/>
          </rPr>
          <t xml:space="preserve">C13
</t>
        </r>
      </text>
    </comment>
    <comment ref="N20" authorId="0" shapeId="0" xr:uid="{00000000-0006-0000-0100-000002000000}">
      <text>
        <r>
          <rPr>
            <sz val="10"/>
            <color rgb="FF000000"/>
            <rFont val="Arial"/>
            <scheme val="minor"/>
          </rPr>
          <t xml:space="preserve">C12
</t>
        </r>
      </text>
    </comment>
    <comment ref="N21" authorId="0" shapeId="0" xr:uid="{00000000-0006-0000-0100-000003000000}">
      <text>
        <r>
          <rPr>
            <sz val="10"/>
            <color rgb="FF000000"/>
            <rFont val="Arial"/>
            <scheme val="minor"/>
          </rPr>
          <t xml:space="preserve">B15
</t>
        </r>
      </text>
    </comment>
    <comment ref="N22" authorId="0" shapeId="0" xr:uid="{00000000-0006-0000-0100-000004000000}">
      <text>
        <r>
          <rPr>
            <sz val="10"/>
            <color rgb="FF000000"/>
            <rFont val="Arial"/>
            <scheme val="minor"/>
          </rPr>
          <t xml:space="preserve">B14
</t>
        </r>
      </text>
    </comment>
    <comment ref="N23" authorId="0" shapeId="0" xr:uid="{00000000-0006-0000-0100-000005000000}">
      <text>
        <r>
          <rPr>
            <sz val="10"/>
            <color rgb="FF000000"/>
            <rFont val="Arial"/>
            <scheme val="minor"/>
          </rPr>
          <t xml:space="preserve">A16
</t>
        </r>
      </text>
    </comment>
    <comment ref="N25" authorId="0" shapeId="0" xr:uid="{00000000-0006-0000-0100-000006000000}">
      <text>
        <r>
          <rPr>
            <sz val="10"/>
            <color rgb="FF000000"/>
            <rFont val="Arial"/>
            <scheme val="minor"/>
          </rPr>
          <t xml:space="preserve">C13
</t>
        </r>
      </text>
    </comment>
    <comment ref="N26" authorId="0" shapeId="0" xr:uid="{00000000-0006-0000-0100-000007000000}">
      <text>
        <r>
          <rPr>
            <sz val="10"/>
            <color rgb="FF000000"/>
            <rFont val="Arial"/>
            <scheme val="minor"/>
          </rPr>
          <t xml:space="preserve">A19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N8" authorId="0" shapeId="0" xr:uid="{00000000-0006-0000-0200-000001000000}">
      <text>
        <r>
          <rPr>
            <sz val="10"/>
            <color rgb="FF000000"/>
            <rFont val="Arial"/>
            <scheme val="minor"/>
          </rPr>
          <t xml:space="preserve">A14
</t>
        </r>
      </text>
    </comment>
    <comment ref="N13" authorId="0" shapeId="0" xr:uid="{00000000-0006-0000-0200-000002000000}">
      <text>
        <r>
          <rPr>
            <sz val="10"/>
            <color rgb="FF000000"/>
            <rFont val="Arial"/>
            <scheme val="minor"/>
          </rPr>
          <t xml:space="preserve">A12
</t>
        </r>
      </text>
    </comment>
    <comment ref="N15" authorId="0" shapeId="0" xr:uid="{00000000-0006-0000-0200-000003000000}">
      <text>
        <r>
          <rPr>
            <sz val="10"/>
            <color rgb="FF000000"/>
            <rFont val="Arial"/>
            <scheme val="minor"/>
          </rPr>
          <t xml:space="preserve">A16
</t>
        </r>
      </text>
    </comment>
    <comment ref="N17" authorId="0" shapeId="0" xr:uid="{00000000-0006-0000-0200-000004000000}">
      <text>
        <r>
          <rPr>
            <sz val="10"/>
            <color rgb="FF000000"/>
            <rFont val="Arial"/>
            <scheme val="minor"/>
          </rPr>
          <t xml:space="preserve">A15
</t>
        </r>
      </text>
    </comment>
    <comment ref="N19" authorId="0" shapeId="0" xr:uid="{00000000-0006-0000-0200-000005000000}">
      <text>
        <r>
          <rPr>
            <sz val="10"/>
            <color rgb="FF000000"/>
            <rFont val="Arial"/>
            <scheme val="minor"/>
          </rPr>
          <t xml:space="preserve">A14
</t>
        </r>
      </text>
    </comment>
    <comment ref="N21" authorId="0" shapeId="0" xr:uid="{00000000-0006-0000-0200-000006000000}">
      <text>
        <r>
          <rPr>
            <sz val="10"/>
            <color rgb="FF000000"/>
            <rFont val="Arial"/>
            <scheme val="minor"/>
          </rPr>
          <t xml:space="preserve">A14
</t>
        </r>
      </text>
    </comment>
    <comment ref="N22" authorId="0" shapeId="0" xr:uid="{00000000-0006-0000-0200-000007000000}">
      <text>
        <r>
          <rPr>
            <sz val="10"/>
            <color rgb="FF000000"/>
            <rFont val="Arial"/>
            <scheme val="minor"/>
          </rPr>
          <t xml:space="preserve">A14
</t>
        </r>
      </text>
    </comment>
    <comment ref="N24" authorId="0" shapeId="0" xr:uid="{00000000-0006-0000-0200-000008000000}">
      <text>
        <r>
          <rPr>
            <sz val="10"/>
            <color rgb="FF000000"/>
            <rFont val="Arial"/>
            <scheme val="minor"/>
          </rPr>
          <t xml:space="preserve">A14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N7" authorId="0" shapeId="0" xr:uid="{00000000-0006-0000-0300-000001000000}">
      <text>
        <r>
          <rPr>
            <sz val="10"/>
            <color rgb="FF000000"/>
            <rFont val="Arial"/>
            <scheme val="minor"/>
          </rPr>
          <t xml:space="preserve">A17
</t>
        </r>
      </text>
    </comment>
    <comment ref="N8" authorId="0" shapeId="0" xr:uid="{00000000-0006-0000-0300-000002000000}">
      <text>
        <r>
          <rPr>
            <sz val="10"/>
            <color rgb="FF000000"/>
            <rFont val="Arial"/>
            <scheme val="minor"/>
          </rPr>
          <t xml:space="preserve">A17
</t>
        </r>
      </text>
    </comment>
    <comment ref="N9" authorId="0" shapeId="0" xr:uid="{00000000-0006-0000-0300-000003000000}">
      <text>
        <r>
          <rPr>
            <sz val="10"/>
            <color rgb="FF000000"/>
            <rFont val="Arial"/>
            <scheme val="minor"/>
          </rPr>
          <t xml:space="preserve">B14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N13" authorId="0" shapeId="0" xr:uid="{00000000-0006-0000-0500-000001000000}">
      <text>
        <r>
          <rPr>
            <sz val="10"/>
            <color rgb="FF000000"/>
            <rFont val="Arial"/>
            <scheme val="minor"/>
          </rPr>
          <t>A12</t>
        </r>
      </text>
    </comment>
    <comment ref="N15" authorId="0" shapeId="0" xr:uid="{00000000-0006-0000-0500-000002000000}">
      <text>
        <r>
          <rPr>
            <sz val="10"/>
            <color rgb="FF000000"/>
            <rFont val="Arial"/>
            <scheme val="minor"/>
          </rPr>
          <t xml:space="preserve">A19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N7" authorId="0" shapeId="0" xr:uid="{00000000-0006-0000-0600-000001000000}">
      <text>
        <r>
          <rPr>
            <sz val="10"/>
            <color rgb="FF000000"/>
            <rFont val="Arial"/>
            <scheme val="minor"/>
          </rPr>
          <t>A19</t>
        </r>
      </text>
    </comment>
    <comment ref="N8" authorId="0" shapeId="0" xr:uid="{00000000-0006-0000-0600-000002000000}">
      <text>
        <r>
          <rPr>
            <sz val="10"/>
            <color rgb="FF000000"/>
            <rFont val="Arial"/>
            <scheme val="minor"/>
          </rPr>
          <t>A18</t>
        </r>
      </text>
    </comment>
    <comment ref="N9" authorId="0" shapeId="0" xr:uid="{00000000-0006-0000-0600-000003000000}">
      <text>
        <r>
          <rPr>
            <sz val="10"/>
            <color rgb="FF000000"/>
            <rFont val="Arial"/>
            <scheme val="minor"/>
          </rPr>
          <t>A18</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N13" authorId="0" shapeId="0" xr:uid="{00000000-0006-0000-0700-000001000000}">
      <text>
        <r>
          <rPr>
            <sz val="10"/>
            <color rgb="FF000000"/>
            <rFont val="Arial"/>
            <scheme val="minor"/>
          </rPr>
          <t>A12</t>
        </r>
      </text>
    </comment>
    <comment ref="N15" authorId="0" shapeId="0" xr:uid="{00000000-0006-0000-0700-000002000000}">
      <text>
        <r>
          <rPr>
            <sz val="10"/>
            <color rgb="FF000000"/>
            <rFont val="Arial"/>
            <scheme val="minor"/>
          </rPr>
          <t xml:space="preserve">A19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N13" authorId="0" shapeId="0" xr:uid="{00000000-0006-0000-0800-000001000000}">
      <text>
        <r>
          <rPr>
            <sz val="10"/>
            <color rgb="FF000000"/>
            <rFont val="Arial"/>
            <scheme val="minor"/>
          </rPr>
          <t>A12</t>
        </r>
      </text>
    </comment>
    <comment ref="N15" authorId="0" shapeId="0" xr:uid="{00000000-0006-0000-0800-000002000000}">
      <text>
        <r>
          <rPr>
            <sz val="10"/>
            <color rgb="FF000000"/>
            <rFont val="Arial"/>
            <scheme val="minor"/>
          </rPr>
          <t xml:space="preserve">A19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W6" authorId="0" shapeId="0" xr:uid="{00000000-0006-0000-0A00-000001000000}">
      <text>
        <r>
          <rPr>
            <sz val="10"/>
            <color rgb="FF000000"/>
            <rFont val="Arial"/>
            <scheme val="minor"/>
          </rPr>
          <t>네이버페이 주문관리 수수료-3.63%( 모든상품)
판매수수료 3% + 주문관리 수수료 3.63%
=6.63%</t>
        </r>
      </text>
    </comment>
  </commentList>
</comments>
</file>

<file path=xl/sharedStrings.xml><?xml version="1.0" encoding="utf-8"?>
<sst xmlns="http://schemas.openxmlformats.org/spreadsheetml/2006/main" count="884" uniqueCount="206">
  <si>
    <t>헤몬 마진계산기
 (2025-08-08 개정본)</t>
  </si>
  <si>
    <t>1. 중국환률(AA)와 미국환률(AB)로 인해 비용차이가 많이 발생할 수 있으니 1달 평균으로 사용하기 바람.
 2. 2개 구성으로 파는 제품은 물류비와 같은 부분은 X2를 해야하니 계산에 참고하기 바람
 3. 사은품 증정되거나 물건이 각각 들어와서 합포장 하는 경우 물류비와 원가를 따로 계산하여 도매가에 포함시켜야 함.(물류비 계산 정확히 하기 위함)</t>
  </si>
  <si>
    <t>중국환률
 (CNY)</t>
  </si>
  <si>
    <t>미국환률
 (USD)</t>
  </si>
  <si>
    <t>자동</t>
  </si>
  <si>
    <t>수동</t>
  </si>
  <si>
    <t>관세율</t>
  </si>
  <si>
    <t>No</t>
  </si>
  <si>
    <t>상품명</t>
  </si>
  <si>
    <t>단위기준</t>
  </si>
  <si>
    <t>넓이</t>
  </si>
  <si>
    <t>폭</t>
  </si>
  <si>
    <t>높이</t>
  </si>
  <si>
    <t>합산</t>
  </si>
  <si>
    <t>개별 박스 CBM</t>
  </si>
  <si>
    <t>1CBM 
 적재가능수량</t>
  </si>
  <si>
    <t>1개당 중국 운임물류비(USD)</t>
  </si>
  <si>
    <t>1개당 한국 운임
 물류비(KRW)</t>
  </si>
  <si>
    <t>1개당 물류비
 (KRW)</t>
  </si>
  <si>
    <t>원가대비
  물류비 비율</t>
  </si>
  <si>
    <t>부자재값
(BOX)</t>
  </si>
  <si>
    <t>순수
 중국원가</t>
  </si>
  <si>
    <t>수수료포함
 중국원가</t>
  </si>
  <si>
    <t>한국원가</t>
  </si>
  <si>
    <t>관세</t>
  </si>
  <si>
    <t>물류비</t>
  </si>
  <si>
    <t>도매가</t>
  </si>
  <si>
    <t>판매가
 택배비 포함</t>
  </si>
  <si>
    <t>마켓수수료</t>
  </si>
  <si>
    <t>N배송
 입출고비용</t>
  </si>
  <si>
    <t>총 수수료(%)</t>
  </si>
  <si>
    <t>총 수수료
 (원)</t>
  </si>
  <si>
    <t>부가세</t>
  </si>
  <si>
    <t>판매마진</t>
  </si>
  <si>
    <t>제품순이익%</t>
  </si>
  <si>
    <t>제품명(영어)</t>
  </si>
  <si>
    <t>제품명(한국)</t>
  </si>
  <si>
    <t>%</t>
  </si>
  <si>
    <t xml:space="preserve">클린스톰 </t>
  </si>
  <si>
    <t>c m</t>
  </si>
  <si>
    <t>SCREWDRIVER</t>
  </si>
  <si>
    <t>클린스톰 1+1</t>
  </si>
  <si>
    <t xml:space="preserve">쉐이버 </t>
  </si>
  <si>
    <t>DOLL</t>
  </si>
  <si>
    <t xml:space="preserve">워터스톰 </t>
  </si>
  <si>
    <t>SILICONE BRACELET</t>
  </si>
  <si>
    <t xml:space="preserve">테이블에어 </t>
  </si>
  <si>
    <t>COURIER BAG</t>
  </si>
  <si>
    <t>전동칫솔</t>
  </si>
  <si>
    <t>CRYOSPHERE</t>
  </si>
  <si>
    <t>애풍이</t>
  </si>
  <si>
    <t>SCISSORES</t>
  </si>
  <si>
    <t xml:space="preserve">에그포그 </t>
  </si>
  <si>
    <t>PILLOWS</t>
  </si>
  <si>
    <t xml:space="preserve">쿨링팬 </t>
  </si>
  <si>
    <t>BIT</t>
  </si>
  <si>
    <t>쿨링팬 1+1</t>
  </si>
  <si>
    <t>버그트랩  (화이트)</t>
  </si>
  <si>
    <t>BAG</t>
  </si>
  <si>
    <t>버그트랩 (블랙)</t>
  </si>
  <si>
    <t>버그트랩 1+1</t>
  </si>
  <si>
    <t>모기패치 스티커</t>
  </si>
  <si>
    <t>폴드스윙</t>
  </si>
  <si>
    <t>CAR CUSHION</t>
  </si>
  <si>
    <t>폴드스윙 1+1</t>
  </si>
  <si>
    <t>넥쿨러 1+1</t>
  </si>
  <si>
    <t>ELECTRIC SAW</t>
  </si>
  <si>
    <t>넥쿨러</t>
  </si>
  <si>
    <t>쿨스카프</t>
  </si>
  <si>
    <t>모기지옥</t>
  </si>
  <si>
    <t>ANGLE GRINDER</t>
  </si>
  <si>
    <t>모기지옥 무선</t>
  </si>
  <si>
    <t>다벤다 예초기 3.0 배터리1개</t>
  </si>
  <si>
    <t>고글</t>
  </si>
  <si>
    <t>예초 모자</t>
  </si>
  <si>
    <t>장갑</t>
  </si>
  <si>
    <t>가방</t>
  </si>
  <si>
    <t xml:space="preserve">예초기 이도날 </t>
  </si>
  <si>
    <t>예초기 원형날</t>
  </si>
  <si>
    <t>예초기 커버</t>
  </si>
  <si>
    <t>예초기 어댑터</t>
  </si>
  <si>
    <t>어댑터kc X</t>
  </si>
  <si>
    <t>배터리1.5(kc)</t>
  </si>
  <si>
    <t>배터리2.0kc)</t>
  </si>
  <si>
    <t>배터리3.0kc)</t>
  </si>
  <si>
    <t>레이저레벨기</t>
  </si>
  <si>
    <t>헤몬 그라인더</t>
  </si>
  <si>
    <t>다쪼아 터보 올인원</t>
  </si>
  <si>
    <t>다쪼아 더원 전동드릴</t>
  </si>
  <si>
    <t>터크원</t>
  </si>
  <si>
    <t>대형 송풍기</t>
  </si>
  <si>
    <t>시거잭</t>
  </si>
  <si>
    <t>블리츠</t>
  </si>
  <si>
    <t>블리츠 1+1</t>
  </si>
  <si>
    <t>필터추가 1개</t>
  </si>
  <si>
    <t>필터추가 2개</t>
  </si>
  <si>
    <t>필터추가 3개</t>
  </si>
  <si>
    <t>원큐</t>
  </si>
  <si>
    <t>라이트 고압세척기</t>
  </si>
  <si>
    <t>광택기</t>
  </si>
  <si>
    <t>불고다떙겨</t>
  </si>
  <si>
    <t>파워쎈</t>
  </si>
  <si>
    <t>SODIC 맥세이프</t>
  </si>
  <si>
    <t>터보건 배터리 2개</t>
  </si>
  <si>
    <t>파워쎈S</t>
  </si>
  <si>
    <t>파워쎈S 필터</t>
  </si>
  <si>
    <t>싸이클론X</t>
  </si>
  <si>
    <t>바리깡 (블랙)</t>
  </si>
  <si>
    <t>바리깡 (실버)</t>
  </si>
  <si>
    <t>에픽쉐이브</t>
  </si>
  <si>
    <t>일자면도기</t>
  </si>
  <si>
    <t>자세교정밴드</t>
  </si>
  <si>
    <t>타이트닝</t>
  </si>
  <si>
    <t>허리보호대</t>
  </si>
  <si>
    <t>없음</t>
  </si>
  <si>
    <t>애견 바리깡</t>
  </si>
  <si>
    <t>바리깡 가위 세트</t>
  </si>
  <si>
    <t>미니 클리퍼</t>
  </si>
  <si>
    <t>쥬시믹서</t>
  </si>
  <si>
    <t>ELECTRIC WRENCH</t>
  </si>
  <si>
    <t>한진택배비</t>
  </si>
  <si>
    <t>파워스톰</t>
  </si>
  <si>
    <t>MOSQUITO REPELLENT WRISTBAND</t>
  </si>
  <si>
    <t>이지믹서</t>
  </si>
  <si>
    <t>FAN</t>
  </si>
  <si>
    <t>쿨방석</t>
  </si>
  <si>
    <t>쿨방석 1+1</t>
  </si>
  <si>
    <t>넥앤숄더</t>
  </si>
  <si>
    <t>건전지 모기채</t>
  </si>
  <si>
    <t>CHARGER ACCESSORIES</t>
  </si>
  <si>
    <t>건전지 모기채 1+1</t>
  </si>
  <si>
    <t>국민포충기 퍼플 1개</t>
  </si>
  <si>
    <t>국민포충기 퍼플 1+1</t>
  </si>
  <si>
    <t>국민포충기 블루 1개</t>
  </si>
  <si>
    <t>국민포충기 블루 1+1</t>
  </si>
  <si>
    <t xml:space="preserve">골전도 이어폰 </t>
  </si>
  <si>
    <t>버그트랩 화이트</t>
  </si>
  <si>
    <t>저속 usb 어댑터 추가</t>
  </si>
  <si>
    <t>저속 usb 어댑터 별도구매</t>
  </si>
  <si>
    <t>배터리1.5 (kc)</t>
  </si>
  <si>
    <t>배터리2.0 (kc)</t>
  </si>
  <si>
    <t>배터리3.0 (kc)</t>
  </si>
  <si>
    <t>배터리1.5 (kc) 추가옵션</t>
  </si>
  <si>
    <t>배터리2.0 (kc) 추가옵션</t>
  </si>
  <si>
    <t>배터리3.0 (kc) 추가옵션</t>
  </si>
  <si>
    <t>공구 어댑터 추가옵션</t>
  </si>
  <si>
    <t>다벤다 예초기 본체만</t>
  </si>
  <si>
    <t>헤몬 다벤다PRO 예초기</t>
  </si>
  <si>
    <t>CLIP</t>
  </si>
  <si>
    <t>헤몬 다벤다PRO 예초기 본체만</t>
  </si>
  <si>
    <t xml:space="preserve">컷소 풀세트 </t>
  </si>
  <si>
    <t>전기톱 15cm</t>
  </si>
  <si>
    <t>전기톱 20cm</t>
  </si>
  <si>
    <t>전기톱 30cm</t>
  </si>
  <si>
    <t>터크 프로 전동 드릴</t>
  </si>
  <si>
    <t>다쪼아 터보 전동 드릴</t>
  </si>
  <si>
    <t>전지가위</t>
  </si>
  <si>
    <t>불고다땡겨</t>
  </si>
  <si>
    <t>불고다땡겨1+1</t>
  </si>
  <si>
    <t>공기압 주입기</t>
  </si>
  <si>
    <t>더블온 면도기</t>
  </si>
  <si>
    <t>손목보호대</t>
  </si>
  <si>
    <t>경추베개</t>
  </si>
  <si>
    <t>스토닉스</t>
  </si>
  <si>
    <t>보조배터리</t>
  </si>
  <si>
    <t>헤몬 마진계산기
(2025-08-08 개정본)</t>
  </si>
  <si>
    <t>1. 중국환률(AA)와 미국환률(AB)로 인해 비용차이가 많이 발생할 수 있으니 1달 평균으로 사용하기 바람.
2. 2개 구성으로 파는 제품은 물류비와 같은 부분은 X2를 해야하니 계산에 참고하기 바람
3. 사은품 증정되거나 물건이 각각 들어와서 합포장 하는 경우 물류비와 원가를 따로 계산하여 도매가에 포함시켜야 함.(물류비 계산 정확히 하기 위함)</t>
  </si>
  <si>
    <t>중국환률
(CNY)</t>
  </si>
  <si>
    <t>미국환률
(USD)</t>
  </si>
  <si>
    <t>1CBM 
적재가능수량</t>
  </si>
  <si>
    <t>1개당 한국 운임
물류비(KRW)</t>
  </si>
  <si>
    <t>1개당 물류비
(KRW)</t>
  </si>
  <si>
    <t>원가대비
 물류비 비율</t>
  </si>
  <si>
    <t>부자재값</t>
  </si>
  <si>
    <t>순수
중국원가</t>
  </si>
  <si>
    <t>수수료포함
중국원가</t>
  </si>
  <si>
    <t>판매가
택배비 포함</t>
  </si>
  <si>
    <t>N배송 물류비</t>
  </si>
  <si>
    <t>총 수수료
(원)</t>
  </si>
  <si>
    <t>공구</t>
  </si>
  <si>
    <t>배터리2.0(kc)</t>
  </si>
  <si>
    <t>인형</t>
  </si>
  <si>
    <t>배터리3.0(kc)</t>
  </si>
  <si>
    <t>실리콘팔찌</t>
  </si>
  <si>
    <t>레이저레벨기
배터리</t>
  </si>
  <si>
    <t>택배 가방</t>
  </si>
  <si>
    <t>임팩 3.0 배터리</t>
  </si>
  <si>
    <t>어댑터kc</t>
  </si>
  <si>
    <t>극저온?</t>
  </si>
  <si>
    <t>가위바위보?</t>
  </si>
  <si>
    <t>예초기
원형날</t>
  </si>
  <si>
    <t>예초기
이도날</t>
  </si>
  <si>
    <t>예초기
커버</t>
  </si>
  <si>
    <t>전기톱</t>
  </si>
  <si>
    <t>다벤다 프로
원형날</t>
  </si>
  <si>
    <t>썸머밴드</t>
  </si>
  <si>
    <t>다벤다 프로
이도날</t>
  </si>
  <si>
    <t>그라인더</t>
  </si>
  <si>
    <t>선풍기</t>
  </si>
  <si>
    <t>모자</t>
  </si>
  <si>
    <t>배터리</t>
  </si>
  <si>
    <t>터크프로 박스만</t>
  </si>
  <si>
    <t>전기렌치</t>
  </si>
  <si>
    <t>폼패드</t>
  </si>
  <si>
    <t>클립</t>
  </si>
  <si>
    <t>양모패드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</si>
</sst>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0.0&quot;cm&quot;"/>
    <numFmt numFmtId="177" formatCode="0.000000\ &quot;㎡&quot;"/>
    <numFmt numFmtId="178" formatCode="[$$]#,##0.00"/>
    <numFmt numFmtId="179" formatCode="&quot;₩&quot;#,##0"/>
    <numFmt numFmtId="180" formatCode="[$₩-412]#,##0"/>
    <numFmt numFmtId="181" formatCode="#,##0.000&quot;cm&quot;"/>
    <numFmt numFmtId="182" formatCode="General\ &quot;㎡&quot;"/>
    <numFmt numFmtId="183" formatCode="[$₩-412]#,##0.00"/>
    <numFmt numFmtId="184" formatCode="#,##0.00&quot;cm&quot;"/>
    <numFmt numFmtId="185" formatCode="_-&quot;₩&quot;* #,##0_-;\-&quot;₩&quot;* #,##0_-;_-&quot;₩&quot;* &quot;-&quot;_-;_-@"/>
    <numFmt numFmtId="186" formatCode="#,##0.0_ &quot;cm&quot;"/>
    <numFmt numFmtId="187" formatCode="0_);[Red]\(0\)"/>
    <numFmt numFmtId="188" formatCode="\$#,##0.00"/>
    <numFmt numFmtId="189" formatCode="&quot;₩&quot;#,##0_);[Red]\(&quot;₩&quot;#,##0\)"/>
    <numFmt numFmtId="190" formatCode="0.0%"/>
    <numFmt numFmtId="191" formatCode="0.00000\ &quot;㎡&quot;"/>
  </numFmts>
  <fonts count="41">
    <font>
      <sz val="10"/>
      <color rgb="FF000000"/>
      <name val="Arial"/>
      <scheme val="minor"/>
    </font>
    <font>
      <b/>
      <sz val="11"/>
      <color rgb="FF000000"/>
      <name val="&quot;Malgun Gothic&quot;"/>
    </font>
    <font>
      <b/>
      <sz val="11"/>
      <color rgb="FF000000"/>
      <name val="&quot;맑은 고딕&quot;"/>
      <family val="3"/>
      <charset val="129"/>
    </font>
    <font>
      <sz val="11"/>
      <color rgb="FF000000"/>
      <name val="&quot;맑은 고딕&quot;"/>
      <family val="3"/>
      <charset val="129"/>
    </font>
    <font>
      <b/>
      <sz val="11"/>
      <color rgb="FF8FABDB"/>
      <name val="&quot;맑은 고딕&quot;"/>
      <family val="3"/>
      <charset val="129"/>
    </font>
    <font>
      <sz val="10"/>
      <name val="Arial"/>
      <family val="2"/>
    </font>
    <font>
      <b/>
      <sz val="11"/>
      <color rgb="FFC55A11"/>
      <name val="&quot;맑은 고딕&quot;"/>
      <family val="3"/>
      <charset val="129"/>
    </font>
    <font>
      <b/>
      <sz val="11"/>
      <color rgb="FF8FABDB"/>
      <name val="&quot;Malgun Gothic&quot;"/>
    </font>
    <font>
      <b/>
      <sz val="11"/>
      <color rgb="FF000000"/>
      <name val="&quot;Noto Sans KR&quot;"/>
    </font>
    <font>
      <b/>
      <sz val="12"/>
      <color rgb="FF000000"/>
      <name val="&quot;Malgun Gothic&quot;"/>
    </font>
    <font>
      <b/>
      <sz val="12"/>
      <color rgb="FF000000"/>
      <name val="돋움"/>
      <family val="3"/>
      <charset val="129"/>
    </font>
    <font>
      <b/>
      <sz val="12"/>
      <color rgb="FF111111"/>
      <name val="Arial"/>
      <family val="2"/>
    </font>
    <font>
      <sz val="12"/>
      <color rgb="FF000000"/>
      <name val="&quot;Malgun Gothic&quot;"/>
    </font>
    <font>
      <sz val="12"/>
      <color rgb="FF000000"/>
      <name val="&quot;맑은 고딕&quot;"/>
      <family val="3"/>
      <charset val="129"/>
    </font>
    <font>
      <sz val="10"/>
      <color theme="1"/>
      <name val="Arial"/>
      <family val="2"/>
      <scheme val="minor"/>
    </font>
    <font>
      <sz val="11"/>
      <color rgb="FF000000"/>
      <name val="&quot;Malgun Gothic&quot;"/>
    </font>
    <font>
      <b/>
      <sz val="12"/>
      <color theme="1"/>
      <name val="Arial"/>
      <family val="2"/>
    </font>
    <font>
      <b/>
      <sz val="11"/>
      <color theme="1"/>
      <name val="Malgun Gothic"/>
      <family val="3"/>
      <charset val="129"/>
    </font>
    <font>
      <sz val="12"/>
      <color theme="1"/>
      <name val="Malgun Gothic"/>
      <family val="3"/>
      <charset val="129"/>
    </font>
    <font>
      <b/>
      <sz val="12"/>
      <color theme="1"/>
      <name val="Malgun Gothic"/>
      <family val="3"/>
      <charset val="129"/>
    </font>
    <font>
      <b/>
      <sz val="12"/>
      <color rgb="FF000000"/>
      <name val="Malgun Gothic"/>
      <family val="3"/>
      <charset val="129"/>
    </font>
    <font>
      <b/>
      <sz val="11"/>
      <color rgb="FF000000"/>
      <name val="Dotum"/>
    </font>
    <font>
      <b/>
      <sz val="12"/>
      <color rgb="FF111111"/>
      <name val="Malgun Gothic"/>
      <family val="3"/>
      <charset val="129"/>
    </font>
    <font>
      <sz val="11"/>
      <color theme="1"/>
      <name val="Calibri"/>
      <family val="2"/>
    </font>
    <font>
      <b/>
      <sz val="12"/>
      <color rgb="FF000000"/>
      <name val="&quot;Noto Sans KR&quot;"/>
    </font>
    <font>
      <sz val="10"/>
      <color theme="1"/>
      <name val="Malgun Gothic"/>
      <family val="3"/>
      <charset val="129"/>
    </font>
    <font>
      <b/>
      <sz val="10"/>
      <color rgb="FF111111"/>
      <name val="Arial"/>
      <family val="2"/>
    </font>
    <font>
      <b/>
      <sz val="11"/>
      <color rgb="FF000000"/>
      <name val="Calibri"/>
      <family val="2"/>
    </font>
    <font>
      <sz val="11"/>
      <color rgb="FF000000"/>
      <name val="Calibri"/>
      <family val="2"/>
    </font>
    <font>
      <sz val="12"/>
      <color theme="1"/>
      <name val="Arial"/>
      <family val="2"/>
      <scheme val="minor"/>
    </font>
    <font>
      <b/>
      <sz val="11"/>
      <color rgb="FF8FABDB"/>
      <name val="Malgun Gothic"/>
      <family val="3"/>
      <charset val="129"/>
    </font>
    <font>
      <b/>
      <sz val="11"/>
      <color rgb="FFC55A11"/>
      <name val="Malgun Gothic"/>
      <family val="3"/>
      <charset val="129"/>
    </font>
    <font>
      <b/>
      <sz val="11"/>
      <color theme="1"/>
      <name val="Noto Sans KR"/>
      <family val="3"/>
      <charset val="129"/>
    </font>
    <font>
      <sz val="11"/>
      <color theme="1"/>
      <name val="Malgun Gothic"/>
      <family val="3"/>
      <charset val="129"/>
    </font>
    <font>
      <b/>
      <sz val="11"/>
      <color theme="1"/>
      <name val="Dotum"/>
    </font>
    <font>
      <sz val="11"/>
      <color rgb="FF000000"/>
      <name val="Malgun Gothic"/>
      <family val="3"/>
      <charset val="129"/>
    </font>
    <font>
      <sz val="11"/>
      <color rgb="FF000000"/>
      <name val="Dotum"/>
    </font>
    <font>
      <sz val="11"/>
      <color theme="1"/>
      <name val="Dotum"/>
    </font>
    <font>
      <b/>
      <sz val="11"/>
      <color rgb="FF111111"/>
      <name val="Arial"/>
      <family val="2"/>
    </font>
    <font>
      <b/>
      <sz val="11"/>
      <color theme="1"/>
      <name val="Calibri"/>
      <family val="2"/>
    </font>
    <font>
      <sz val="8"/>
      <name val="Arial"/>
      <family val="3"/>
      <charset val="129"/>
      <scheme val="minor"/>
    </font>
  </fonts>
  <fills count="13">
    <fill>
      <patternFill patternType="none"/>
    </fill>
    <fill>
      <patternFill patternType="gray125"/>
    </fill>
    <fill>
      <patternFill patternType="solid">
        <fgColor rgb="FFFFF2CC"/>
        <bgColor rgb="FFFFF2CC"/>
      </patternFill>
    </fill>
    <fill>
      <patternFill patternType="solid">
        <fgColor rgb="FFF8CBAC"/>
        <bgColor rgb="FFF8CBAC"/>
      </patternFill>
    </fill>
    <fill>
      <patternFill patternType="solid">
        <fgColor rgb="FFB4C6E7"/>
        <bgColor rgb="FFB4C6E7"/>
      </patternFill>
    </fill>
    <fill>
      <patternFill patternType="solid">
        <fgColor rgb="FFFCD5B5"/>
        <bgColor rgb="FFFCD5B5"/>
      </patternFill>
    </fill>
    <fill>
      <patternFill patternType="solid">
        <fgColor rgb="FFF8CBAD"/>
        <bgColor rgb="FFF8CBAD"/>
      </patternFill>
    </fill>
    <fill>
      <patternFill patternType="solid">
        <fgColor rgb="FFFFE699"/>
        <bgColor rgb="FFFFE699"/>
      </patternFill>
    </fill>
    <fill>
      <patternFill patternType="solid">
        <fgColor rgb="FFFFFFFF"/>
        <bgColor rgb="FFFFFFFF"/>
      </patternFill>
    </fill>
    <fill>
      <patternFill patternType="solid">
        <fgColor rgb="FFC6E0B3"/>
        <bgColor rgb="FFC6E0B3"/>
      </patternFill>
    </fill>
    <fill>
      <patternFill patternType="solid">
        <fgColor rgb="FFFCE5CD"/>
        <bgColor rgb="FFFCE5CD"/>
      </patternFill>
    </fill>
    <fill>
      <patternFill patternType="solid">
        <fgColor rgb="FFD9EAD3"/>
        <bgColor rgb="FFD9EAD3"/>
      </patternFill>
    </fill>
    <fill>
      <patternFill patternType="solid">
        <fgColor rgb="FFF7CAAC"/>
        <bgColor rgb="FFF7CAAC"/>
      </patternFill>
    </fill>
  </fills>
  <borders count="28">
    <border>
      <left/>
      <right/>
      <top/>
      <bottom/>
      <diagonal/>
    </border>
    <border>
      <left style="thin">
        <color rgb="FF000000"/>
      </left>
      <right/>
      <top style="thin">
        <color rgb="FF000000"/>
      </top>
      <bottom/>
      <diagonal/>
    </border>
    <border>
      <left/>
      <right/>
      <top style="thin">
        <color rgb="FF000000"/>
      </top>
      <bottom/>
      <diagonal/>
    </border>
    <border>
      <left style="thin">
        <color rgb="FFB4C6E7"/>
      </left>
      <right style="thin">
        <color rgb="FFB4C6E7"/>
      </right>
      <top style="thin">
        <color rgb="FFB4C6E7"/>
      </top>
      <bottom style="thin">
        <color rgb="FFB4C6E7"/>
      </bottom>
      <diagonal/>
    </border>
    <border>
      <left style="thin">
        <color rgb="FF000000"/>
      </left>
      <right/>
      <top/>
      <bottom/>
      <diagonal/>
    </border>
    <border>
      <left/>
      <right style="thin">
        <color rgb="FF8FABDB"/>
      </right>
      <top/>
      <bottom/>
      <diagonal/>
    </border>
    <border>
      <left/>
      <right style="thin">
        <color rgb="FFB4C6E7"/>
      </right>
      <top style="thin">
        <color rgb="FFB4C6E7"/>
      </top>
      <bottom style="thin">
        <color rgb="FFB4C6E7"/>
      </bottom>
      <diagonal/>
    </border>
    <border>
      <left style="thin">
        <color rgb="FF000000"/>
      </left>
      <right/>
      <top/>
      <bottom style="thin">
        <color rgb="FF000000"/>
      </bottom>
      <diagonal/>
    </border>
    <border>
      <left/>
      <right/>
      <top/>
      <bottom style="thin">
        <color rgb="FF000000"/>
      </bottom>
      <diagonal/>
    </border>
    <border>
      <left/>
      <right style="thin">
        <color rgb="FF8FABDB"/>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B4C6E7"/>
      </left>
      <right style="thin">
        <color rgb="FFB4C6E7"/>
      </right>
      <top style="thin">
        <color rgb="FFB4C6E7"/>
      </top>
      <bottom/>
      <diagonal/>
    </border>
    <border>
      <left style="thin">
        <color rgb="FFB4C6E7"/>
      </left>
      <right style="thin">
        <color rgb="FFB4C6E7"/>
      </right>
      <top/>
      <bottom style="thin">
        <color rgb="FFB4C6E7"/>
      </bottom>
      <diagonal/>
    </border>
    <border>
      <left/>
      <right/>
      <top style="thin">
        <color rgb="FF000000"/>
      </top>
      <bottom/>
      <diagonal/>
    </border>
    <border>
      <left style="thin">
        <color rgb="FF000000"/>
      </left>
      <right/>
      <top/>
      <bottom/>
      <diagonal/>
    </border>
    <border>
      <left/>
      <right/>
      <top/>
      <bottom/>
      <diagonal/>
    </border>
    <border>
      <left/>
      <right/>
      <top/>
      <bottom/>
      <diagonal/>
    </border>
    <border>
      <left style="thin">
        <color rgb="FF000000"/>
      </left>
      <right/>
      <top/>
      <bottom/>
      <diagonal/>
    </border>
    <border>
      <left/>
      <right/>
      <top/>
      <bottom/>
      <diagonal/>
    </border>
    <border>
      <left/>
      <right style="thin">
        <color rgb="FF8FABDB"/>
      </right>
      <top/>
      <bottom/>
      <diagonal/>
    </border>
  </borders>
  <cellStyleXfs count="1">
    <xf numFmtId="0" fontId="0" fillId="0" borderId="0"/>
  </cellStyleXfs>
  <cellXfs count="270">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3" xfId="0" applyFont="1" applyBorder="1" applyAlignment="1">
      <alignment horizontal="center"/>
    </xf>
    <xf numFmtId="0" fontId="3" fillId="0" borderId="3" xfId="0" applyFont="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5" xfId="0" applyFont="1" applyFill="1" applyBorder="1" applyAlignment="1">
      <alignment horizontal="center"/>
    </xf>
    <xf numFmtId="0" fontId="2" fillId="0" borderId="6" xfId="0" applyFont="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4" fillId="0" borderId="12" xfId="0" applyFont="1" applyBorder="1" applyAlignment="1">
      <alignment horizontal="center"/>
    </xf>
    <xf numFmtId="0" fontId="8" fillId="3" borderId="12" xfId="0" applyFont="1" applyFill="1" applyBorder="1" applyAlignment="1">
      <alignment horizontal="center" vertical="center"/>
    </xf>
    <xf numFmtId="0" fontId="8" fillId="4" borderId="12" xfId="0" applyFont="1" applyFill="1" applyBorder="1" applyAlignment="1">
      <alignment horizontal="center" vertical="center"/>
    </xf>
    <xf numFmtId="176" fontId="8" fillId="5" borderId="12" xfId="0" applyNumberFormat="1" applyFont="1" applyFill="1" applyBorder="1" applyAlignment="1">
      <alignment horizontal="center" vertical="center"/>
    </xf>
    <xf numFmtId="176" fontId="8" fillId="4" borderId="12" xfId="0" applyNumberFormat="1" applyFont="1" applyFill="1" applyBorder="1" applyAlignment="1">
      <alignment horizontal="center" vertical="center"/>
    </xf>
    <xf numFmtId="177" fontId="8" fillId="4" borderId="12" xfId="0" applyNumberFormat="1" applyFont="1" applyFill="1" applyBorder="1" applyAlignment="1">
      <alignment horizontal="center" vertical="center"/>
    </xf>
    <xf numFmtId="1" fontId="8" fillId="4" borderId="12" xfId="0" applyNumberFormat="1" applyFont="1" applyFill="1" applyBorder="1" applyAlignment="1">
      <alignment horizontal="center" vertical="center"/>
    </xf>
    <xf numFmtId="0" fontId="8" fillId="6" borderId="12" xfId="0" applyFont="1" applyFill="1" applyBorder="1" applyAlignment="1">
      <alignment horizontal="center" vertical="center"/>
    </xf>
    <xf numFmtId="10" fontId="8" fillId="3" borderId="12" xfId="0" applyNumberFormat="1" applyFont="1" applyFill="1" applyBorder="1" applyAlignment="1">
      <alignment horizontal="center" vertical="center"/>
    </xf>
    <xf numFmtId="0" fontId="8" fillId="7" borderId="12" xfId="0" applyFont="1" applyFill="1" applyBorder="1" applyAlignment="1">
      <alignment horizontal="center" vertical="center"/>
    </xf>
    <xf numFmtId="0" fontId="8" fillId="7" borderId="8" xfId="0" applyFont="1" applyFill="1" applyBorder="1" applyAlignment="1">
      <alignment horizontal="center" vertical="center"/>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9" fillId="8" borderId="12" xfId="0" applyFont="1" applyFill="1" applyBorder="1" applyAlignment="1">
      <alignment horizontal="center" vertical="center"/>
    </xf>
    <xf numFmtId="0" fontId="10" fillId="0" borderId="12" xfId="0" applyFont="1" applyBorder="1" applyAlignment="1">
      <alignment horizontal="center" vertical="center"/>
    </xf>
    <xf numFmtId="176" fontId="10" fillId="0" borderId="12" xfId="0" applyNumberFormat="1" applyFont="1" applyBorder="1" applyAlignment="1">
      <alignment horizontal="center" vertical="center"/>
    </xf>
    <xf numFmtId="177" fontId="10" fillId="0" borderId="12" xfId="0" applyNumberFormat="1" applyFont="1" applyBorder="1" applyAlignment="1">
      <alignment horizontal="center" vertical="center"/>
    </xf>
    <xf numFmtId="1" fontId="10" fillId="0" borderId="12" xfId="0" applyNumberFormat="1" applyFont="1" applyBorder="1" applyAlignment="1">
      <alignment horizontal="center" vertical="center"/>
    </xf>
    <xf numFmtId="178" fontId="10" fillId="0" borderId="12" xfId="0" applyNumberFormat="1" applyFont="1" applyBorder="1" applyAlignment="1">
      <alignment horizontal="center" vertical="center"/>
    </xf>
    <xf numFmtId="179" fontId="10" fillId="0" borderId="12" xfId="0" applyNumberFormat="1" applyFont="1" applyBorder="1" applyAlignment="1">
      <alignment horizontal="center" vertical="center"/>
    </xf>
    <xf numFmtId="10" fontId="11" fillId="8" borderId="12" xfId="0" applyNumberFormat="1" applyFont="1" applyFill="1" applyBorder="1" applyAlignment="1">
      <alignment horizontal="center" vertical="center"/>
    </xf>
    <xf numFmtId="179" fontId="11" fillId="8" borderId="12" xfId="0" applyNumberFormat="1" applyFont="1" applyFill="1" applyBorder="1" applyAlignment="1">
      <alignment horizontal="center" vertical="center"/>
    </xf>
    <xf numFmtId="0" fontId="11" fillId="8" borderId="12" xfId="0" applyFont="1" applyFill="1" applyBorder="1" applyAlignment="1">
      <alignment horizontal="center" vertical="center"/>
    </xf>
    <xf numFmtId="179" fontId="9" fillId="8" borderId="12" xfId="0" applyNumberFormat="1" applyFont="1" applyFill="1" applyBorder="1" applyAlignment="1">
      <alignment horizontal="center" vertical="center"/>
    </xf>
    <xf numFmtId="10" fontId="9" fillId="8" borderId="12" xfId="0" applyNumberFormat="1" applyFont="1" applyFill="1" applyBorder="1" applyAlignment="1">
      <alignment horizontal="center" vertical="center"/>
    </xf>
    <xf numFmtId="180" fontId="9" fillId="8" borderId="12" xfId="0" applyNumberFormat="1" applyFont="1" applyFill="1" applyBorder="1" applyAlignment="1">
      <alignment horizontal="center" vertical="center"/>
    </xf>
    <xf numFmtId="9" fontId="9" fillId="8" borderId="12" xfId="0" applyNumberFormat="1" applyFont="1" applyFill="1" applyBorder="1" applyAlignment="1">
      <alignment horizontal="center" vertical="center"/>
    </xf>
    <xf numFmtId="179" fontId="9" fillId="0" borderId="12" xfId="0" applyNumberFormat="1" applyFont="1" applyBorder="1" applyAlignment="1">
      <alignment horizontal="center" vertical="center"/>
    </xf>
    <xf numFmtId="10" fontId="9" fillId="9" borderId="8" xfId="0" applyNumberFormat="1" applyFont="1" applyFill="1" applyBorder="1" applyAlignment="1">
      <alignment horizontal="center" vertical="center"/>
    </xf>
    <xf numFmtId="0" fontId="9" fillId="8" borderId="3" xfId="0" applyFont="1" applyFill="1" applyBorder="1" applyAlignment="1">
      <alignment horizontal="center" vertical="center"/>
    </xf>
    <xf numFmtId="10" fontId="9" fillId="8" borderId="3" xfId="0" applyNumberFormat="1" applyFont="1" applyFill="1" applyBorder="1" applyAlignment="1">
      <alignment horizontal="center" vertical="center"/>
    </xf>
    <xf numFmtId="0" fontId="12" fillId="8" borderId="3" xfId="0" applyFont="1" applyFill="1" applyBorder="1" applyAlignment="1">
      <alignment horizontal="center" vertical="center"/>
    </xf>
    <xf numFmtId="0" fontId="13" fillId="0" borderId="3" xfId="0" applyFont="1" applyBorder="1" applyAlignment="1">
      <alignment horizontal="center" vertical="center"/>
    </xf>
    <xf numFmtId="10" fontId="12" fillId="8" borderId="3" xfId="0" applyNumberFormat="1" applyFont="1" applyFill="1" applyBorder="1" applyAlignment="1">
      <alignment horizontal="center" vertical="center"/>
    </xf>
    <xf numFmtId="0" fontId="9" fillId="2" borderId="12" xfId="0" applyFont="1" applyFill="1" applyBorder="1" applyAlignment="1">
      <alignment horizontal="center" vertical="center"/>
    </xf>
    <xf numFmtId="0" fontId="9" fillId="10" borderId="12" xfId="0" applyFont="1" applyFill="1" applyBorder="1" applyAlignment="1">
      <alignment horizontal="center" vertical="center"/>
    </xf>
    <xf numFmtId="0" fontId="9" fillId="11" borderId="12" xfId="0" applyFont="1" applyFill="1" applyBorder="1" applyAlignment="1">
      <alignment horizontal="center" vertical="center"/>
    </xf>
    <xf numFmtId="176" fontId="14" fillId="0" borderId="0" xfId="0" applyNumberFormat="1" applyFont="1"/>
    <xf numFmtId="177" fontId="14" fillId="0" borderId="0" xfId="0" applyNumberFormat="1" applyFont="1"/>
    <xf numFmtId="1" fontId="14" fillId="0" borderId="0" xfId="0" applyNumberFormat="1" applyFont="1"/>
    <xf numFmtId="0" fontId="2" fillId="0" borderId="0" xfId="0" applyFont="1" applyAlignment="1">
      <alignment horizontal="center"/>
    </xf>
    <xf numFmtId="176" fontId="2" fillId="0" borderId="0" xfId="0" applyNumberFormat="1" applyFont="1" applyAlignment="1">
      <alignment horizontal="center"/>
    </xf>
    <xf numFmtId="177" fontId="2" fillId="0" borderId="0" xfId="0" applyNumberFormat="1" applyFont="1" applyAlignment="1">
      <alignment horizontal="center"/>
    </xf>
    <xf numFmtId="1" fontId="2" fillId="0" borderId="0" xfId="0" applyNumberFormat="1" applyFont="1" applyAlignment="1">
      <alignment horizontal="center"/>
    </xf>
    <xf numFmtId="10" fontId="2" fillId="0" borderId="0" xfId="0" applyNumberFormat="1" applyFont="1" applyAlignment="1">
      <alignment horizontal="center"/>
    </xf>
    <xf numFmtId="0" fontId="2" fillId="9" borderId="0" xfId="0" applyFont="1" applyFill="1" applyAlignment="1">
      <alignment horizontal="center"/>
    </xf>
    <xf numFmtId="0" fontId="15" fillId="0" borderId="3" xfId="0" applyFont="1" applyBorder="1" applyAlignment="1">
      <alignment horizontal="center"/>
    </xf>
    <xf numFmtId="10" fontId="14" fillId="0" borderId="0" xfId="0" applyNumberFormat="1" applyFont="1"/>
    <xf numFmtId="0" fontId="8" fillId="3" borderId="12" xfId="0" applyFont="1" applyFill="1" applyBorder="1" applyAlignment="1">
      <alignment horizontal="center"/>
    </xf>
    <xf numFmtId="0" fontId="8" fillId="4" borderId="12" xfId="0" applyFont="1" applyFill="1" applyBorder="1" applyAlignment="1">
      <alignment horizontal="center"/>
    </xf>
    <xf numFmtId="176" fontId="8" fillId="5" borderId="12" xfId="0" applyNumberFormat="1" applyFont="1" applyFill="1" applyBorder="1" applyAlignment="1">
      <alignment horizontal="center"/>
    </xf>
    <xf numFmtId="181" fontId="8" fillId="4" borderId="12" xfId="0" applyNumberFormat="1" applyFont="1" applyFill="1" applyBorder="1" applyAlignment="1">
      <alignment horizontal="center"/>
    </xf>
    <xf numFmtId="0" fontId="8" fillId="6" borderId="12" xfId="0" applyFont="1" applyFill="1" applyBorder="1" applyAlignment="1">
      <alignment horizontal="center"/>
    </xf>
    <xf numFmtId="10" fontId="8" fillId="3" borderId="12" xfId="0" applyNumberFormat="1" applyFont="1" applyFill="1" applyBorder="1" applyAlignment="1">
      <alignment horizontal="center"/>
    </xf>
    <xf numFmtId="0" fontId="8" fillId="7" borderId="12" xfId="0" applyFont="1" applyFill="1" applyBorder="1" applyAlignment="1">
      <alignment horizontal="center"/>
    </xf>
    <xf numFmtId="0" fontId="8" fillId="7" borderId="8" xfId="0" applyFont="1" applyFill="1" applyBorder="1" applyAlignment="1">
      <alignment horizontal="center"/>
    </xf>
    <xf numFmtId="0" fontId="9" fillId="8" borderId="12" xfId="0" applyFont="1" applyFill="1" applyBorder="1" applyAlignment="1">
      <alignment horizontal="center" vertical="center" wrapText="1"/>
    </xf>
    <xf numFmtId="181" fontId="10" fillId="0" borderId="12" xfId="0" applyNumberFormat="1" applyFont="1" applyBorder="1" applyAlignment="1">
      <alignment horizontal="center" vertical="center"/>
    </xf>
    <xf numFmtId="182" fontId="10" fillId="0" borderId="12" xfId="0" applyNumberFormat="1" applyFont="1" applyBorder="1" applyAlignment="1">
      <alignment horizontal="center" vertical="center"/>
    </xf>
    <xf numFmtId="183" fontId="9" fillId="8" borderId="12" xfId="0" applyNumberFormat="1" applyFont="1" applyFill="1" applyBorder="1" applyAlignment="1">
      <alignment horizontal="center" vertical="center"/>
    </xf>
    <xf numFmtId="184" fontId="10" fillId="0" borderId="12" xfId="0" applyNumberFormat="1" applyFont="1" applyBorder="1" applyAlignment="1">
      <alignment horizontal="center" vertical="center"/>
    </xf>
    <xf numFmtId="185" fontId="9" fillId="8" borderId="12" xfId="0" applyNumberFormat="1" applyFont="1" applyFill="1" applyBorder="1" applyAlignment="1">
      <alignment horizontal="center" vertical="center"/>
    </xf>
    <xf numFmtId="186" fontId="10" fillId="0" borderId="12" xfId="0" applyNumberFormat="1" applyFont="1" applyBorder="1" applyAlignment="1">
      <alignment horizontal="center" vertical="center"/>
    </xf>
    <xf numFmtId="187" fontId="10" fillId="0" borderId="12" xfId="0" applyNumberFormat="1" applyFont="1" applyBorder="1" applyAlignment="1">
      <alignment horizontal="center" vertical="center"/>
    </xf>
    <xf numFmtId="188" fontId="10" fillId="0" borderId="12" xfId="0" applyNumberFormat="1" applyFont="1" applyBorder="1" applyAlignment="1">
      <alignment horizontal="center" vertical="center"/>
    </xf>
    <xf numFmtId="189" fontId="10" fillId="0" borderId="12" xfId="0" applyNumberFormat="1" applyFont="1" applyBorder="1" applyAlignment="1">
      <alignment horizontal="center" vertical="center"/>
    </xf>
    <xf numFmtId="0" fontId="16" fillId="0" borderId="12" xfId="0" applyFont="1" applyBorder="1" applyAlignment="1">
      <alignment horizontal="center" vertical="center"/>
    </xf>
    <xf numFmtId="176" fontId="16" fillId="8" borderId="12" xfId="0" applyNumberFormat="1" applyFont="1" applyFill="1" applyBorder="1" applyAlignment="1">
      <alignment horizontal="center" vertical="center"/>
    </xf>
    <xf numFmtId="186" fontId="16" fillId="0" borderId="12" xfId="0" applyNumberFormat="1" applyFont="1" applyBorder="1" applyAlignment="1">
      <alignment horizontal="center" vertical="center"/>
    </xf>
    <xf numFmtId="182" fontId="16" fillId="0" borderId="12" xfId="0" applyNumberFormat="1" applyFont="1" applyBorder="1" applyAlignment="1">
      <alignment horizontal="center" vertical="center"/>
    </xf>
    <xf numFmtId="187" fontId="16" fillId="0" borderId="12" xfId="0" applyNumberFormat="1" applyFont="1" applyBorder="1" applyAlignment="1">
      <alignment horizontal="center" vertical="center"/>
    </xf>
    <xf numFmtId="188" fontId="16" fillId="0" borderId="12" xfId="0" applyNumberFormat="1" applyFont="1" applyBorder="1" applyAlignment="1">
      <alignment horizontal="center" vertical="center"/>
    </xf>
    <xf numFmtId="189" fontId="16" fillId="0" borderId="12" xfId="0" applyNumberFormat="1" applyFont="1" applyBorder="1" applyAlignment="1">
      <alignment horizontal="center" vertical="center"/>
    </xf>
    <xf numFmtId="185" fontId="16" fillId="8" borderId="12" xfId="0" applyNumberFormat="1" applyFont="1" applyFill="1" applyBorder="1" applyAlignment="1">
      <alignment horizontal="center" vertical="center"/>
    </xf>
    <xf numFmtId="190" fontId="16" fillId="8" borderId="12" xfId="0" applyNumberFormat="1" applyFont="1" applyFill="1" applyBorder="1" applyAlignment="1">
      <alignment horizontal="center" vertical="center"/>
    </xf>
    <xf numFmtId="190" fontId="17" fillId="8" borderId="16" xfId="0" applyNumberFormat="1" applyFont="1" applyFill="1" applyBorder="1" applyAlignment="1">
      <alignment horizontal="center"/>
    </xf>
    <xf numFmtId="181" fontId="2" fillId="0" borderId="0" xfId="0" applyNumberFormat="1" applyFont="1" applyAlignment="1">
      <alignment horizontal="center"/>
    </xf>
    <xf numFmtId="181" fontId="14" fillId="0" borderId="0" xfId="0" applyNumberFormat="1" applyFont="1"/>
    <xf numFmtId="0" fontId="8" fillId="5" borderId="12" xfId="0" applyFont="1" applyFill="1" applyBorder="1" applyAlignment="1">
      <alignment horizontal="center"/>
    </xf>
    <xf numFmtId="176" fontId="9" fillId="8" borderId="12" xfId="0" applyNumberFormat="1" applyFont="1" applyFill="1" applyBorder="1" applyAlignment="1">
      <alignment horizontal="center" vertical="center"/>
    </xf>
    <xf numFmtId="180" fontId="9" fillId="8" borderId="12" xfId="0" applyNumberFormat="1" applyFont="1" applyFill="1" applyBorder="1" applyAlignment="1">
      <alignment horizontal="center"/>
    </xf>
    <xf numFmtId="0" fontId="3" fillId="0" borderId="0" xfId="0" applyFont="1" applyAlignment="1">
      <alignment horizontal="center"/>
    </xf>
    <xf numFmtId="0" fontId="18" fillId="8" borderId="12" xfId="0" applyFont="1" applyFill="1" applyBorder="1" applyAlignment="1">
      <alignment vertical="center"/>
    </xf>
    <xf numFmtId="180" fontId="19" fillId="8" borderId="12" xfId="0" applyNumberFormat="1" applyFont="1" applyFill="1" applyBorder="1" applyAlignment="1">
      <alignment horizontal="center" vertical="center"/>
    </xf>
    <xf numFmtId="0" fontId="20" fillId="0" borderId="12" xfId="0" applyFont="1" applyBorder="1" applyAlignment="1">
      <alignment horizontal="center" vertical="center"/>
    </xf>
    <xf numFmtId="184" fontId="19" fillId="0" borderId="12" xfId="0" applyNumberFormat="1" applyFont="1" applyBorder="1" applyAlignment="1">
      <alignment horizontal="center" vertical="center"/>
    </xf>
    <xf numFmtId="186" fontId="19" fillId="0" borderId="12" xfId="0" applyNumberFormat="1" applyFont="1" applyBorder="1" applyAlignment="1">
      <alignment horizontal="center" vertical="center"/>
    </xf>
    <xf numFmtId="182" fontId="19" fillId="0" borderId="12" xfId="0" applyNumberFormat="1" applyFont="1" applyBorder="1" applyAlignment="1">
      <alignment horizontal="center" vertical="center"/>
    </xf>
    <xf numFmtId="189" fontId="21" fillId="0" borderId="12" xfId="0" applyNumberFormat="1" applyFont="1" applyBorder="1" applyAlignment="1">
      <alignment horizontal="center" vertical="center"/>
    </xf>
    <xf numFmtId="189" fontId="19" fillId="0" borderId="12" xfId="0" applyNumberFormat="1" applyFont="1" applyBorder="1" applyAlignment="1">
      <alignment horizontal="center" vertical="center"/>
    </xf>
    <xf numFmtId="10" fontId="22" fillId="8" borderId="12" xfId="0" applyNumberFormat="1" applyFont="1" applyFill="1" applyBorder="1" applyAlignment="1">
      <alignment horizontal="center" vertical="center"/>
    </xf>
    <xf numFmtId="10" fontId="22" fillId="8" borderId="17" xfId="0" applyNumberFormat="1" applyFont="1" applyFill="1" applyBorder="1" applyAlignment="1">
      <alignment horizontal="center" vertical="center"/>
    </xf>
    <xf numFmtId="3" fontId="22" fillId="8" borderId="18" xfId="0" applyNumberFormat="1" applyFont="1" applyFill="1" applyBorder="1" applyAlignment="1">
      <alignment horizontal="center" vertical="center"/>
    </xf>
    <xf numFmtId="0" fontId="22" fillId="8" borderId="11" xfId="0" applyFont="1" applyFill="1" applyBorder="1" applyAlignment="1">
      <alignment horizontal="center" vertical="center"/>
    </xf>
    <xf numFmtId="185" fontId="19" fillId="8" borderId="12" xfId="0" applyNumberFormat="1" applyFont="1" applyFill="1" applyBorder="1" applyAlignment="1">
      <alignment horizontal="center" vertical="center"/>
    </xf>
    <xf numFmtId="185" fontId="19" fillId="8" borderId="10" xfId="0" applyNumberFormat="1" applyFont="1" applyFill="1" applyBorder="1" applyAlignment="1">
      <alignment horizontal="center" vertical="center"/>
    </xf>
    <xf numFmtId="10" fontId="19" fillId="8" borderId="17" xfId="0" applyNumberFormat="1" applyFont="1" applyFill="1" applyBorder="1" applyAlignment="1">
      <alignment horizontal="center" vertical="center"/>
    </xf>
    <xf numFmtId="190" fontId="17" fillId="8" borderId="11" xfId="0" applyNumberFormat="1" applyFont="1" applyFill="1" applyBorder="1" applyAlignment="1">
      <alignment horizontal="center" vertical="center"/>
    </xf>
    <xf numFmtId="185" fontId="23" fillId="8" borderId="10" xfId="0" applyNumberFormat="1" applyFont="1" applyFill="1" applyBorder="1" applyAlignment="1">
      <alignment vertical="center"/>
    </xf>
    <xf numFmtId="185" fontId="17" fillId="8" borderId="17" xfId="0" applyNumberFormat="1" applyFont="1" applyFill="1" applyBorder="1" applyAlignment="1">
      <alignment horizontal="center" vertical="center"/>
    </xf>
    <xf numFmtId="9" fontId="17" fillId="8" borderId="11" xfId="0" applyNumberFormat="1" applyFont="1" applyFill="1" applyBorder="1" applyAlignment="1">
      <alignment horizontal="center" vertical="center"/>
    </xf>
    <xf numFmtId="185" fontId="17" fillId="0" borderId="12" xfId="0" applyNumberFormat="1" applyFont="1" applyBorder="1" applyAlignment="1">
      <alignment horizontal="center" vertical="center"/>
    </xf>
    <xf numFmtId="190" fontId="17" fillId="9" borderId="16" xfId="0" applyNumberFormat="1" applyFont="1" applyFill="1" applyBorder="1" applyAlignment="1">
      <alignment horizontal="center" vertical="center"/>
    </xf>
    <xf numFmtId="190" fontId="19" fillId="9" borderId="16" xfId="0" applyNumberFormat="1" applyFont="1" applyFill="1" applyBorder="1" applyAlignment="1">
      <alignment horizontal="center" vertical="center"/>
    </xf>
    <xf numFmtId="9" fontId="19" fillId="8" borderId="3" xfId="0" applyNumberFormat="1" applyFont="1" applyFill="1" applyBorder="1" applyAlignment="1">
      <alignment horizontal="center" vertical="center" wrapText="1"/>
    </xf>
    <xf numFmtId="10" fontId="18" fillId="8" borderId="3" xfId="0" applyNumberFormat="1" applyFont="1" applyFill="1" applyBorder="1" applyAlignment="1">
      <alignment vertical="center"/>
    </xf>
    <xf numFmtId="10" fontId="18" fillId="8" borderId="3" xfId="0" applyNumberFormat="1" applyFont="1" applyFill="1" applyBorder="1" applyAlignment="1">
      <alignment horizontal="center" vertical="center"/>
    </xf>
    <xf numFmtId="9" fontId="18" fillId="8" borderId="3" xfId="0" applyNumberFormat="1" applyFont="1" applyFill="1" applyBorder="1" applyAlignment="1">
      <alignment vertical="center"/>
    </xf>
    <xf numFmtId="9" fontId="18" fillId="0" borderId="3" xfId="0" applyNumberFormat="1" applyFont="1" applyBorder="1" applyAlignment="1">
      <alignment vertical="center"/>
    </xf>
    <xf numFmtId="9" fontId="18" fillId="0" borderId="0" xfId="0" applyNumberFormat="1" applyFont="1" applyAlignment="1">
      <alignment vertical="center"/>
    </xf>
    <xf numFmtId="0" fontId="13" fillId="0" borderId="0" xfId="0" applyFont="1" applyAlignment="1">
      <alignment horizontal="center" vertical="center"/>
    </xf>
    <xf numFmtId="180" fontId="24" fillId="3" borderId="12" xfId="0" applyNumberFormat="1" applyFont="1" applyFill="1" applyBorder="1" applyAlignment="1">
      <alignment horizontal="center" vertical="center"/>
    </xf>
    <xf numFmtId="10" fontId="8" fillId="7" borderId="12" xfId="0" applyNumberFormat="1" applyFont="1" applyFill="1" applyBorder="1" applyAlignment="1">
      <alignment horizontal="center" vertical="center"/>
    </xf>
    <xf numFmtId="0" fontId="2" fillId="0" borderId="0" xfId="0" applyFont="1" applyAlignment="1">
      <alignment horizontal="center" vertical="center"/>
    </xf>
    <xf numFmtId="191" fontId="10" fillId="0" borderId="12" xfId="0" applyNumberFormat="1" applyFont="1" applyBorder="1" applyAlignment="1">
      <alignment horizontal="center" vertical="center"/>
    </xf>
    <xf numFmtId="0" fontId="19" fillId="8" borderId="12" xfId="0" applyFont="1" applyFill="1" applyBorder="1" applyAlignment="1">
      <alignment horizontal="center" vertical="center"/>
    </xf>
    <xf numFmtId="0" fontId="1" fillId="8" borderId="12" xfId="0" applyFont="1" applyFill="1" applyBorder="1" applyAlignment="1">
      <alignment horizontal="center"/>
    </xf>
    <xf numFmtId="0" fontId="1" fillId="8" borderId="3" xfId="0" applyFont="1" applyFill="1" applyBorder="1" applyAlignment="1">
      <alignment horizontal="center"/>
    </xf>
    <xf numFmtId="10" fontId="15" fillId="8" borderId="3" xfId="0" applyNumberFormat="1" applyFont="1" applyFill="1" applyBorder="1" applyAlignment="1">
      <alignment horizontal="center"/>
    </xf>
    <xf numFmtId="0" fontId="15" fillId="8" borderId="3" xfId="0" applyFont="1" applyFill="1" applyBorder="1" applyAlignment="1">
      <alignment horizontal="center"/>
    </xf>
    <xf numFmtId="0" fontId="1" fillId="8" borderId="12" xfId="0" applyFont="1" applyFill="1" applyBorder="1" applyAlignment="1">
      <alignment horizontal="center" vertical="center"/>
    </xf>
    <xf numFmtId="176" fontId="20" fillId="0" borderId="12" xfId="0" applyNumberFormat="1" applyFont="1" applyBorder="1" applyAlignment="1">
      <alignment horizontal="center" vertical="center"/>
    </xf>
    <xf numFmtId="184" fontId="20" fillId="0" borderId="12" xfId="0" applyNumberFormat="1" applyFont="1" applyBorder="1" applyAlignment="1">
      <alignment horizontal="center" vertical="center"/>
    </xf>
    <xf numFmtId="182" fontId="20" fillId="0" borderId="12" xfId="0" applyNumberFormat="1" applyFont="1" applyBorder="1" applyAlignment="1">
      <alignment horizontal="center" vertical="center"/>
    </xf>
    <xf numFmtId="1" fontId="20" fillId="0" borderId="12" xfId="0" applyNumberFormat="1" applyFont="1" applyBorder="1" applyAlignment="1">
      <alignment horizontal="center" vertical="center"/>
    </xf>
    <xf numFmtId="178" fontId="20" fillId="0" borderId="12" xfId="0" applyNumberFormat="1" applyFont="1" applyBorder="1" applyAlignment="1">
      <alignment horizontal="center" vertical="center"/>
    </xf>
    <xf numFmtId="179" fontId="20" fillId="0" borderId="12" xfId="0" applyNumberFormat="1" applyFont="1" applyBorder="1" applyAlignment="1">
      <alignment horizontal="center" vertical="center"/>
    </xf>
    <xf numFmtId="179" fontId="22" fillId="8" borderId="12" xfId="0" applyNumberFormat="1" applyFont="1" applyFill="1" applyBorder="1" applyAlignment="1">
      <alignment horizontal="center"/>
    </xf>
    <xf numFmtId="10" fontId="22" fillId="8" borderId="12" xfId="0" applyNumberFormat="1" applyFont="1" applyFill="1" applyBorder="1" applyAlignment="1">
      <alignment horizontal="center"/>
    </xf>
    <xf numFmtId="0" fontId="22" fillId="8" borderId="12" xfId="0" applyFont="1" applyFill="1" applyBorder="1" applyAlignment="1">
      <alignment horizontal="center"/>
    </xf>
    <xf numFmtId="0" fontId="22" fillId="8" borderId="12" xfId="0" applyFont="1" applyFill="1" applyBorder="1" applyAlignment="1">
      <alignment horizontal="center" vertical="center"/>
    </xf>
    <xf numFmtId="179" fontId="20" fillId="8" borderId="12" xfId="0" applyNumberFormat="1" applyFont="1" applyFill="1" applyBorder="1" applyAlignment="1">
      <alignment horizontal="center" vertical="center"/>
    </xf>
    <xf numFmtId="179" fontId="20" fillId="8" borderId="12" xfId="0" applyNumberFormat="1" applyFont="1" applyFill="1" applyBorder="1" applyAlignment="1">
      <alignment horizontal="center"/>
    </xf>
    <xf numFmtId="10" fontId="20" fillId="8" borderId="12" xfId="0" applyNumberFormat="1" applyFont="1" applyFill="1" applyBorder="1" applyAlignment="1">
      <alignment horizontal="center" vertical="center"/>
    </xf>
    <xf numFmtId="179" fontId="1" fillId="8" borderId="12" xfId="0" applyNumberFormat="1" applyFont="1" applyFill="1" applyBorder="1" applyAlignment="1">
      <alignment horizontal="center"/>
    </xf>
    <xf numFmtId="180" fontId="1" fillId="8" borderId="12" xfId="0" applyNumberFormat="1" applyFont="1" applyFill="1" applyBorder="1" applyAlignment="1">
      <alignment horizontal="center" vertical="center"/>
    </xf>
    <xf numFmtId="186" fontId="20" fillId="0" borderId="12" xfId="0" applyNumberFormat="1" applyFont="1" applyBorder="1" applyAlignment="1">
      <alignment horizontal="center" vertical="center"/>
    </xf>
    <xf numFmtId="0" fontId="1" fillId="8" borderId="19" xfId="0" applyFont="1" applyFill="1" applyBorder="1" applyAlignment="1">
      <alignment horizontal="center"/>
    </xf>
    <xf numFmtId="0" fontId="25" fillId="8" borderId="12" xfId="0" applyFont="1" applyFill="1" applyBorder="1" applyAlignment="1">
      <alignment vertical="center"/>
    </xf>
    <xf numFmtId="0" fontId="19" fillId="0" borderId="12" xfId="0" applyFont="1" applyBorder="1" applyAlignment="1">
      <alignment horizontal="center" vertical="center"/>
    </xf>
    <xf numFmtId="187" fontId="19" fillId="0" borderId="12" xfId="0" applyNumberFormat="1" applyFont="1" applyBorder="1" applyAlignment="1">
      <alignment horizontal="center" vertical="center"/>
    </xf>
    <xf numFmtId="188" fontId="19" fillId="0" borderId="12" xfId="0" applyNumberFormat="1" applyFont="1" applyBorder="1" applyAlignment="1">
      <alignment horizontal="center" vertical="center"/>
    </xf>
    <xf numFmtId="10" fontId="25" fillId="8" borderId="12" xfId="0" applyNumberFormat="1" applyFont="1" applyFill="1" applyBorder="1" applyAlignment="1">
      <alignment vertical="center"/>
    </xf>
    <xf numFmtId="185" fontId="25" fillId="8" borderId="10" xfId="0" applyNumberFormat="1" applyFont="1" applyFill="1" applyBorder="1" applyAlignment="1">
      <alignment vertical="center"/>
    </xf>
    <xf numFmtId="190" fontId="17" fillId="8" borderId="0" xfId="0" applyNumberFormat="1" applyFont="1" applyFill="1" applyAlignment="1">
      <alignment horizontal="center" vertical="center"/>
    </xf>
    <xf numFmtId="190" fontId="19" fillId="8" borderId="0" xfId="0" applyNumberFormat="1" applyFont="1" applyFill="1" applyAlignment="1">
      <alignment horizontal="center" vertical="center"/>
    </xf>
    <xf numFmtId="9" fontId="19" fillId="8" borderId="6" xfId="0" applyNumberFormat="1" applyFont="1" applyFill="1" applyBorder="1" applyAlignment="1">
      <alignment horizontal="center" vertical="center" wrapText="1"/>
    </xf>
    <xf numFmtId="10" fontId="25" fillId="8" borderId="3" xfId="0" applyNumberFormat="1" applyFont="1" applyFill="1" applyBorder="1" applyAlignment="1">
      <alignment vertical="center"/>
    </xf>
    <xf numFmtId="9" fontId="25" fillId="8" borderId="3" xfId="0" applyNumberFormat="1" applyFont="1" applyFill="1" applyBorder="1" applyAlignment="1">
      <alignment vertical="center"/>
    </xf>
    <xf numFmtId="9" fontId="25" fillId="0" borderId="3" xfId="0" applyNumberFormat="1" applyFont="1" applyBorder="1" applyAlignment="1">
      <alignment vertical="center"/>
    </xf>
    <xf numFmtId="9" fontId="25" fillId="0" borderId="0" xfId="0" applyNumberFormat="1" applyFont="1" applyAlignment="1">
      <alignment vertical="center"/>
    </xf>
    <xf numFmtId="0" fontId="1" fillId="8" borderId="20" xfId="0" applyFont="1" applyFill="1" applyBorder="1" applyAlignment="1">
      <alignment horizontal="center"/>
    </xf>
    <xf numFmtId="176" fontId="20" fillId="0" borderId="12" xfId="0" applyNumberFormat="1" applyFont="1" applyBorder="1" applyAlignment="1">
      <alignment horizontal="center"/>
    </xf>
    <xf numFmtId="179" fontId="26" fillId="8" borderId="12" xfId="0" applyNumberFormat="1" applyFont="1" applyFill="1" applyBorder="1" applyAlignment="1">
      <alignment horizontal="center"/>
    </xf>
    <xf numFmtId="176" fontId="20" fillId="8" borderId="12" xfId="0" applyNumberFormat="1" applyFont="1" applyFill="1" applyBorder="1" applyAlignment="1">
      <alignment horizontal="center"/>
    </xf>
    <xf numFmtId="0" fontId="26" fillId="8" borderId="12" xfId="0" applyFont="1" applyFill="1" applyBorder="1" applyAlignment="1">
      <alignment horizontal="center"/>
    </xf>
    <xf numFmtId="0" fontId="27" fillId="8" borderId="12" xfId="0" applyFont="1" applyFill="1" applyBorder="1" applyAlignment="1">
      <alignment horizontal="center"/>
    </xf>
    <xf numFmtId="0" fontId="27" fillId="8" borderId="3" xfId="0" applyFont="1" applyFill="1" applyBorder="1" applyAlignment="1">
      <alignment horizontal="center"/>
    </xf>
    <xf numFmtId="0" fontId="28" fillId="8" borderId="3" xfId="0" applyFont="1" applyFill="1" applyBorder="1" applyAlignment="1">
      <alignment horizontal="center"/>
    </xf>
    <xf numFmtId="176" fontId="1" fillId="8" borderId="12" xfId="0" applyNumberFormat="1" applyFont="1" applyFill="1" applyBorder="1" applyAlignment="1">
      <alignment horizontal="center"/>
    </xf>
    <xf numFmtId="1" fontId="26" fillId="8" borderId="12" xfId="0" applyNumberFormat="1" applyFont="1" applyFill="1" applyBorder="1" applyAlignment="1">
      <alignment horizontal="center"/>
    </xf>
    <xf numFmtId="0" fontId="1" fillId="0" borderId="12" xfId="0" applyFont="1" applyBorder="1" applyAlignment="1">
      <alignment horizontal="center"/>
    </xf>
    <xf numFmtId="0" fontId="1" fillId="9" borderId="8" xfId="0" applyFont="1" applyFill="1" applyBorder="1" applyAlignment="1">
      <alignment horizontal="center"/>
    </xf>
    <xf numFmtId="10" fontId="1" fillId="8" borderId="12" xfId="0" applyNumberFormat="1" applyFont="1" applyFill="1" applyBorder="1" applyAlignment="1">
      <alignment horizontal="center"/>
    </xf>
    <xf numFmtId="184" fontId="1" fillId="8" borderId="12" xfId="0" applyNumberFormat="1" applyFont="1" applyFill="1" applyBorder="1" applyAlignment="1">
      <alignment horizontal="center"/>
    </xf>
    <xf numFmtId="0" fontId="14" fillId="0" borderId="0" xfId="0" applyFont="1" applyAlignment="1">
      <alignment vertical="center"/>
    </xf>
    <xf numFmtId="180" fontId="29" fillId="0" borderId="0" xfId="0" applyNumberFormat="1" applyFont="1"/>
    <xf numFmtId="0" fontId="23" fillId="0" borderId="3" xfId="0" applyFont="1" applyBorder="1"/>
    <xf numFmtId="10" fontId="23" fillId="0" borderId="3" xfId="0" applyNumberFormat="1" applyFont="1" applyBorder="1"/>
    <xf numFmtId="0" fontId="17" fillId="0" borderId="3" xfId="0" applyFont="1" applyBorder="1" applyAlignment="1">
      <alignment horizontal="center" wrapText="1"/>
    </xf>
    <xf numFmtId="0" fontId="17" fillId="0" borderId="3" xfId="0" applyFont="1" applyBorder="1" applyAlignment="1">
      <alignment horizontal="center"/>
    </xf>
    <xf numFmtId="0" fontId="30" fillId="0" borderId="12" xfId="0" applyFont="1" applyBorder="1" applyAlignment="1">
      <alignment horizontal="center"/>
    </xf>
    <xf numFmtId="0" fontId="32" fillId="3" borderId="12" xfId="0" applyFont="1" applyFill="1" applyBorder="1" applyAlignment="1">
      <alignment horizontal="center"/>
    </xf>
    <xf numFmtId="0" fontId="32" fillId="3" borderId="12" xfId="0" applyFont="1" applyFill="1" applyBorder="1" applyAlignment="1">
      <alignment horizontal="center" vertical="center" wrapText="1"/>
    </xf>
    <xf numFmtId="0" fontId="32" fillId="4" borderId="12" xfId="0" applyFont="1" applyFill="1" applyBorder="1" applyAlignment="1">
      <alignment horizontal="center"/>
    </xf>
    <xf numFmtId="0" fontId="32" fillId="5" borderId="12" xfId="0" applyFont="1" applyFill="1" applyBorder="1" applyAlignment="1">
      <alignment horizontal="center"/>
    </xf>
    <xf numFmtId="187" fontId="32" fillId="4" borderId="12" xfId="0" applyNumberFormat="1" applyFont="1" applyFill="1" applyBorder="1" applyAlignment="1">
      <alignment horizontal="center" wrapText="1"/>
    </xf>
    <xf numFmtId="189" fontId="32" fillId="4" borderId="12" xfId="0" applyNumberFormat="1" applyFont="1" applyFill="1" applyBorder="1" applyAlignment="1">
      <alignment horizontal="center" wrapText="1"/>
    </xf>
    <xf numFmtId="0" fontId="32" fillId="4" borderId="12" xfId="0" applyFont="1" applyFill="1" applyBorder="1" applyAlignment="1">
      <alignment horizontal="center" wrapText="1"/>
    </xf>
    <xf numFmtId="0" fontId="32" fillId="12" borderId="12" xfId="0" applyFont="1" applyFill="1" applyBorder="1" applyAlignment="1">
      <alignment horizontal="center" wrapText="1"/>
    </xf>
    <xf numFmtId="10" fontId="32" fillId="12" borderId="12" xfId="0" applyNumberFormat="1" applyFont="1" applyFill="1" applyBorder="1" applyAlignment="1">
      <alignment horizontal="center" wrapText="1"/>
    </xf>
    <xf numFmtId="0" fontId="32" fillId="3" borderId="12" xfId="0" applyFont="1" applyFill="1" applyBorder="1" applyAlignment="1">
      <alignment horizontal="center" wrapText="1"/>
    </xf>
    <xf numFmtId="0" fontId="32" fillId="7" borderId="12" xfId="0" applyFont="1" applyFill="1" applyBorder="1" applyAlignment="1">
      <alignment horizontal="center" wrapText="1"/>
    </xf>
    <xf numFmtId="190" fontId="32" fillId="7" borderId="16" xfId="0" applyNumberFormat="1" applyFont="1" applyFill="1" applyBorder="1" applyAlignment="1">
      <alignment horizontal="center" wrapText="1"/>
    </xf>
    <xf numFmtId="9" fontId="17" fillId="0" borderId="3" xfId="0" applyNumberFormat="1" applyFont="1" applyBorder="1" applyAlignment="1">
      <alignment horizontal="center" wrapText="1"/>
    </xf>
    <xf numFmtId="9" fontId="33" fillId="0" borderId="3" xfId="0" applyNumberFormat="1" applyFont="1" applyBorder="1" applyAlignment="1">
      <alignment horizontal="center"/>
    </xf>
    <xf numFmtId="10" fontId="17" fillId="0" borderId="3" xfId="0" applyNumberFormat="1" applyFont="1" applyBorder="1" applyAlignment="1">
      <alignment horizontal="center"/>
    </xf>
    <xf numFmtId="9" fontId="23" fillId="0" borderId="3" xfId="0" applyNumberFormat="1" applyFont="1" applyBorder="1"/>
    <xf numFmtId="0" fontId="23" fillId="8" borderId="12" xfId="0" applyFont="1" applyFill="1" applyBorder="1"/>
    <xf numFmtId="180" fontId="17" fillId="8" borderId="12" xfId="0" applyNumberFormat="1" applyFont="1" applyFill="1" applyBorder="1" applyAlignment="1">
      <alignment horizontal="center" vertical="center"/>
    </xf>
    <xf numFmtId="0" fontId="34" fillId="0" borderId="12" xfId="0" applyFont="1" applyBorder="1" applyAlignment="1">
      <alignment horizontal="center"/>
    </xf>
    <xf numFmtId="184" fontId="35" fillId="8" borderId="12" xfId="0" applyNumberFormat="1" applyFont="1" applyFill="1" applyBorder="1" applyAlignment="1">
      <alignment horizontal="center"/>
    </xf>
    <xf numFmtId="184" fontId="36" fillId="0" borderId="12" xfId="0" applyNumberFormat="1" applyFont="1" applyBorder="1" applyAlignment="1">
      <alignment horizontal="center"/>
    </xf>
    <xf numFmtId="186" fontId="37" fillId="0" borderId="12" xfId="0" applyNumberFormat="1" applyFont="1" applyBorder="1" applyAlignment="1">
      <alignment horizontal="center"/>
    </xf>
    <xf numFmtId="182" fontId="37" fillId="0" borderId="12" xfId="0" applyNumberFormat="1" applyFont="1" applyBorder="1" applyAlignment="1">
      <alignment horizontal="center"/>
    </xf>
    <xf numFmtId="187" fontId="37" fillId="0" borderId="12" xfId="0" applyNumberFormat="1" applyFont="1" applyBorder="1" applyAlignment="1">
      <alignment horizontal="center"/>
    </xf>
    <xf numFmtId="188" fontId="21" fillId="0" borderId="12" xfId="0" applyNumberFormat="1" applyFont="1" applyBorder="1" applyAlignment="1">
      <alignment horizontal="center"/>
    </xf>
    <xf numFmtId="189" fontId="21" fillId="0" borderId="12" xfId="0" applyNumberFormat="1" applyFont="1" applyBorder="1" applyAlignment="1">
      <alignment horizontal="center"/>
    </xf>
    <xf numFmtId="10" fontId="26" fillId="8" borderId="12" xfId="0" applyNumberFormat="1" applyFont="1" applyFill="1" applyBorder="1" applyAlignment="1">
      <alignment horizontal="center"/>
    </xf>
    <xf numFmtId="10" fontId="23" fillId="8" borderId="12" xfId="0" applyNumberFormat="1" applyFont="1" applyFill="1" applyBorder="1"/>
    <xf numFmtId="10" fontId="38" fillId="8" borderId="12" xfId="0" applyNumberFormat="1" applyFont="1" applyFill="1" applyBorder="1" applyAlignment="1">
      <alignment horizontal="center"/>
    </xf>
    <xf numFmtId="0" fontId="38" fillId="8" borderId="12" xfId="0" applyFont="1" applyFill="1" applyBorder="1" applyAlignment="1">
      <alignment horizontal="center"/>
    </xf>
    <xf numFmtId="185" fontId="17" fillId="8" borderId="12" xfId="0" applyNumberFormat="1" applyFont="1" applyFill="1" applyBorder="1" applyAlignment="1">
      <alignment horizontal="center"/>
    </xf>
    <xf numFmtId="185" fontId="39" fillId="8" borderId="12" xfId="0" applyNumberFormat="1" applyFont="1" applyFill="1" applyBorder="1"/>
    <xf numFmtId="9" fontId="39" fillId="8" borderId="12" xfId="0" applyNumberFormat="1" applyFont="1" applyFill="1" applyBorder="1"/>
    <xf numFmtId="9" fontId="17" fillId="8" borderId="12" xfId="0" applyNumberFormat="1" applyFont="1" applyFill="1" applyBorder="1" applyAlignment="1">
      <alignment horizontal="center"/>
    </xf>
    <xf numFmtId="185" fontId="17" fillId="0" borderId="12" xfId="0" applyNumberFormat="1" applyFont="1" applyBorder="1" applyAlignment="1">
      <alignment horizontal="center"/>
    </xf>
    <xf numFmtId="190" fontId="17" fillId="9" borderId="16" xfId="0" applyNumberFormat="1" applyFont="1" applyFill="1" applyBorder="1" applyAlignment="1">
      <alignment horizontal="center"/>
    </xf>
    <xf numFmtId="9" fontId="17" fillId="8" borderId="3" xfId="0" applyNumberFormat="1" applyFont="1" applyFill="1" applyBorder="1" applyAlignment="1">
      <alignment horizontal="center" wrapText="1"/>
    </xf>
    <xf numFmtId="0" fontId="17" fillId="8" borderId="3" xfId="0" applyFont="1" applyFill="1" applyBorder="1" applyAlignment="1">
      <alignment horizontal="center"/>
    </xf>
    <xf numFmtId="10" fontId="17" fillId="8" borderId="3" xfId="0" applyNumberFormat="1" applyFont="1" applyFill="1" applyBorder="1" applyAlignment="1">
      <alignment horizontal="center"/>
    </xf>
    <xf numFmtId="9" fontId="23" fillId="8" borderId="3" xfId="0" applyNumberFormat="1" applyFont="1" applyFill="1" applyBorder="1"/>
    <xf numFmtId="10" fontId="39" fillId="8" borderId="12" xfId="0" applyNumberFormat="1" applyFont="1" applyFill="1" applyBorder="1"/>
    <xf numFmtId="0" fontId="39" fillId="8" borderId="12" xfId="0" applyFont="1" applyFill="1" applyBorder="1"/>
    <xf numFmtId="10" fontId="33" fillId="8" borderId="3" xfId="0" applyNumberFormat="1" applyFont="1" applyFill="1" applyBorder="1" applyAlignment="1">
      <alignment horizontal="center"/>
    </xf>
    <xf numFmtId="184" fontId="35" fillId="0" borderId="12" xfId="0" applyNumberFormat="1" applyFont="1" applyBorder="1" applyAlignment="1">
      <alignment horizontal="center"/>
    </xf>
    <xf numFmtId="10" fontId="23" fillId="8" borderId="3" xfId="0" applyNumberFormat="1" applyFont="1" applyFill="1" applyBorder="1"/>
    <xf numFmtId="185" fontId="23" fillId="8" borderId="12" xfId="0" applyNumberFormat="1" applyFont="1" applyFill="1" applyBorder="1"/>
    <xf numFmtId="9" fontId="23" fillId="8" borderId="12" xfId="0" applyNumberFormat="1" applyFont="1" applyFill="1" applyBorder="1"/>
    <xf numFmtId="189" fontId="23" fillId="8" borderId="12" xfId="0" applyNumberFormat="1" applyFont="1" applyFill="1" applyBorder="1"/>
    <xf numFmtId="185" fontId="23" fillId="0" borderId="12" xfId="0" applyNumberFormat="1" applyFont="1" applyBorder="1"/>
    <xf numFmtId="190" fontId="23" fillId="9" borderId="16" xfId="0" applyNumberFormat="1" applyFont="1" applyFill="1" applyBorder="1"/>
    <xf numFmtId="180" fontId="23" fillId="8" borderId="12" xfId="0" applyNumberFormat="1" applyFont="1" applyFill="1" applyBorder="1" applyAlignment="1">
      <alignment horizontal="center" vertical="center"/>
    </xf>
    <xf numFmtId="0" fontId="4" fillId="0" borderId="10" xfId="0" applyFont="1" applyBorder="1" applyAlignment="1">
      <alignment horizontal="center"/>
    </xf>
    <xf numFmtId="0" fontId="5" fillId="0" borderId="11" xfId="0" applyFont="1" applyBorder="1"/>
    <xf numFmtId="176" fontId="6" fillId="0" borderId="13" xfId="0" applyNumberFormat="1" applyFont="1" applyBorder="1" applyAlignment="1">
      <alignment horizontal="center"/>
    </xf>
    <xf numFmtId="0" fontId="5" fillId="0" borderId="13" xfId="0" applyFont="1" applyBorder="1"/>
    <xf numFmtId="176" fontId="4" fillId="0" borderId="13" xfId="0" applyNumberFormat="1" applyFont="1" applyBorder="1" applyAlignment="1">
      <alignment horizontal="center"/>
    </xf>
    <xf numFmtId="0" fontId="6" fillId="0" borderId="13" xfId="0" applyFont="1" applyBorder="1" applyAlignment="1">
      <alignment horizontal="center"/>
    </xf>
    <xf numFmtId="0" fontId="4" fillId="0" borderId="13" xfId="0" applyFont="1" applyBorder="1" applyAlignment="1">
      <alignment horizontal="center"/>
    </xf>
    <xf numFmtId="0" fontId="7" fillId="0" borderId="13" xfId="0" applyFont="1" applyBorder="1" applyAlignment="1">
      <alignment horizontal="center"/>
    </xf>
    <xf numFmtId="0" fontId="2" fillId="0" borderId="14" xfId="0" applyFont="1" applyBorder="1" applyAlignment="1">
      <alignment horizontal="center"/>
    </xf>
    <xf numFmtId="0" fontId="5" fillId="0" borderId="15" xfId="0" applyFont="1" applyBorder="1"/>
    <xf numFmtId="0" fontId="5" fillId="0" borderId="6" xfId="0" applyFont="1" applyBorder="1"/>
    <xf numFmtId="181" fontId="4" fillId="0" borderId="13" xfId="0" applyNumberFormat="1" applyFont="1" applyBorder="1" applyAlignment="1">
      <alignment horizontal="center"/>
    </xf>
    <xf numFmtId="0" fontId="1" fillId="2" borderId="1" xfId="0" applyFont="1" applyFill="1" applyBorder="1" applyAlignment="1">
      <alignment horizontal="center"/>
    </xf>
    <xf numFmtId="0" fontId="5" fillId="0" borderId="2" xfId="0" applyFont="1" applyBorder="1"/>
    <xf numFmtId="0" fontId="5" fillId="0" borderId="4" xfId="0" applyFont="1" applyBorder="1"/>
    <xf numFmtId="0" fontId="0" fillId="0" borderId="0" xfId="0"/>
    <xf numFmtId="0" fontId="1" fillId="2" borderId="4" xfId="0" applyFont="1" applyFill="1" applyBorder="1" applyAlignment="1">
      <alignment horizontal="center"/>
    </xf>
    <xf numFmtId="0" fontId="5" fillId="0" borderId="5" xfId="0" applyFont="1" applyBorder="1"/>
    <xf numFmtId="0" fontId="5" fillId="0" borderId="7" xfId="0" applyFont="1" applyBorder="1"/>
    <xf numFmtId="0" fontId="5" fillId="0" borderId="8" xfId="0" applyFont="1" applyBorder="1"/>
    <xf numFmtId="0" fontId="5" fillId="0" borderId="9" xfId="0" applyFont="1" applyBorder="1"/>
    <xf numFmtId="10" fontId="7" fillId="0" borderId="13" xfId="0" applyNumberFormat="1" applyFont="1" applyBorder="1" applyAlignment="1">
      <alignment horizontal="center"/>
    </xf>
    <xf numFmtId="0" fontId="31" fillId="0" borderId="10" xfId="0" applyFont="1" applyBorder="1" applyAlignment="1">
      <alignment horizontal="center"/>
    </xf>
    <xf numFmtId="0" fontId="30" fillId="0" borderId="10" xfId="0" applyFont="1" applyBorder="1" applyAlignment="1">
      <alignment horizontal="center" wrapText="1"/>
    </xf>
    <xf numFmtId="0" fontId="17" fillId="0" borderId="14" xfId="0" applyFont="1" applyBorder="1" applyAlignment="1">
      <alignment horizontal="center"/>
    </xf>
    <xf numFmtId="185" fontId="17" fillId="2" borderId="1" xfId="0" applyNumberFormat="1" applyFont="1" applyFill="1" applyBorder="1" applyAlignment="1">
      <alignment horizontal="center" wrapText="1"/>
    </xf>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17" fillId="2" borderId="25" xfId="0" applyFont="1" applyFill="1" applyBorder="1" applyAlignment="1">
      <alignment horizontal="center" wrapText="1"/>
    </xf>
    <xf numFmtId="0" fontId="5" fillId="0" borderId="26" xfId="0" applyFont="1" applyBorder="1"/>
    <xf numFmtId="0" fontId="5" fillId="0" borderId="27" xfId="0" applyFont="1" applyBorder="1"/>
    <xf numFmtId="0" fontId="30" fillId="0" borderId="10" xfId="0" applyFont="1" applyBorder="1" applyAlignment="1">
      <alignment horizontal="center"/>
    </xf>
    <xf numFmtId="185" fontId="30" fillId="0" borderId="10" xfId="0" applyNumberFormat="1" applyFont="1" applyBorder="1" applyAlignment="1">
      <alignment horizontal="center"/>
    </xf>
  </cellXfs>
  <cellStyles count="1">
    <cellStyle name="표준" xfId="0" builtinId="0"/>
  </cellStyles>
  <dxfs count="11">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994"/>
  <sheetViews>
    <sheetView zoomScale="85" zoomScaleNormal="85" workbookViewId="0">
      <pane xSplit="2" topLeftCell="R1" activePane="topRight" state="frozen"/>
      <selection pane="topRight" activeCell="AD9" sqref="AD9"/>
    </sheetView>
  </sheetViews>
  <sheetFormatPr defaultColWidth="12.5703125" defaultRowHeight="15.75" customHeight="1"/>
  <cols>
    <col min="2" max="2" width="18.7109375" customWidth="1"/>
    <col min="31" max="31" width="33" customWidth="1"/>
  </cols>
  <sheetData>
    <row r="1" spans="1:37" ht="15">
      <c r="A1" s="1"/>
      <c r="B1" s="2"/>
      <c r="C1" s="2"/>
      <c r="D1" s="2"/>
      <c r="E1" s="2"/>
      <c r="F1" s="2"/>
      <c r="G1" s="2"/>
      <c r="H1" s="2"/>
      <c r="I1" s="2"/>
      <c r="J1" s="2"/>
      <c r="K1" s="1" t="s">
        <v>0</v>
      </c>
      <c r="L1" s="2"/>
      <c r="M1" s="2"/>
      <c r="N1" s="2"/>
      <c r="O1" s="2"/>
      <c r="P1" s="2"/>
      <c r="Q1" s="2"/>
      <c r="R1" s="2"/>
      <c r="S1" s="2"/>
      <c r="T1" s="2"/>
      <c r="U1" s="2"/>
      <c r="V1" s="2"/>
      <c r="W1" s="2"/>
      <c r="X1" s="2"/>
      <c r="Y1" s="2"/>
      <c r="Z1" s="2"/>
      <c r="AA1" s="2"/>
      <c r="AB1" s="2"/>
      <c r="AC1" s="2"/>
      <c r="AD1" s="2"/>
      <c r="AE1" s="3"/>
      <c r="AF1" s="3"/>
      <c r="AG1" s="4"/>
      <c r="AH1" s="4"/>
      <c r="AI1" s="4"/>
      <c r="AJ1" s="4"/>
      <c r="AK1" s="4"/>
    </row>
    <row r="2" spans="1:37" ht="15">
      <c r="A2" s="5"/>
      <c r="B2" s="6"/>
      <c r="C2" s="6"/>
      <c r="D2" s="6"/>
      <c r="E2" s="6"/>
      <c r="F2" s="6"/>
      <c r="G2" s="6"/>
      <c r="H2" s="6"/>
      <c r="I2" s="6"/>
      <c r="J2" s="6"/>
      <c r="K2" s="6"/>
      <c r="L2" s="6"/>
      <c r="M2" s="6"/>
      <c r="N2" s="6"/>
      <c r="O2" s="6"/>
      <c r="P2" s="6"/>
      <c r="Q2" s="6"/>
      <c r="R2" s="6"/>
      <c r="S2" s="6"/>
      <c r="T2" s="6"/>
      <c r="U2" s="6"/>
      <c r="V2" s="6"/>
      <c r="W2" s="6"/>
      <c r="X2" s="6"/>
      <c r="Y2" s="6"/>
      <c r="Z2" s="6"/>
      <c r="AA2" s="6"/>
      <c r="AB2" s="6"/>
      <c r="AC2" s="6"/>
      <c r="AD2" s="6"/>
      <c r="AE2" s="3"/>
      <c r="AF2" s="3"/>
      <c r="AG2" s="4"/>
      <c r="AH2" s="4"/>
      <c r="AI2" s="4"/>
      <c r="AJ2" s="4"/>
      <c r="AK2" s="4"/>
    </row>
    <row r="3" spans="1:37" ht="15">
      <c r="A3" s="5"/>
      <c r="B3" s="6"/>
      <c r="C3" s="6"/>
      <c r="D3" s="6"/>
      <c r="E3" s="6"/>
      <c r="F3" s="6"/>
      <c r="G3" s="6"/>
      <c r="H3" s="6"/>
      <c r="I3" s="6"/>
      <c r="J3" s="6"/>
      <c r="K3" s="5" t="s">
        <v>1</v>
      </c>
      <c r="L3" s="6"/>
      <c r="M3" s="6"/>
      <c r="N3" s="6"/>
      <c r="O3" s="6"/>
      <c r="P3" s="6"/>
      <c r="Q3" s="6"/>
      <c r="R3" s="6"/>
      <c r="S3" s="6"/>
      <c r="T3" s="6"/>
      <c r="U3" s="6"/>
      <c r="V3" s="6"/>
      <c r="W3" s="6"/>
      <c r="X3" s="6"/>
      <c r="Y3" s="6"/>
      <c r="Z3" s="6"/>
      <c r="AA3" s="6"/>
      <c r="AB3" s="6"/>
      <c r="AC3" s="6"/>
      <c r="AD3" s="7"/>
      <c r="AE3" s="8" t="s">
        <v>2</v>
      </c>
      <c r="AF3" s="3" t="s">
        <v>3</v>
      </c>
      <c r="AG3" s="4"/>
      <c r="AH3" s="4"/>
      <c r="AI3" s="4"/>
      <c r="AJ3" s="4"/>
      <c r="AK3" s="4"/>
    </row>
    <row r="4" spans="1:37" ht="15">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1"/>
      <c r="AE4" s="8">
        <v>192.41</v>
      </c>
      <c r="AF4" s="3">
        <v>1385</v>
      </c>
      <c r="AG4" s="4"/>
      <c r="AH4" s="4"/>
      <c r="AI4" s="4"/>
      <c r="AJ4" s="4"/>
      <c r="AK4" s="4"/>
    </row>
    <row r="5" spans="1:37" ht="15">
      <c r="A5" s="235" t="s">
        <v>4</v>
      </c>
      <c r="B5" s="236"/>
      <c r="C5" s="12" t="s">
        <v>4</v>
      </c>
      <c r="D5" s="237" t="s">
        <v>5</v>
      </c>
      <c r="E5" s="238"/>
      <c r="F5" s="236"/>
      <c r="G5" s="239"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13" t="s">
        <v>7</v>
      </c>
      <c r="B6" s="13" t="s">
        <v>8</v>
      </c>
      <c r="C6" s="14" t="s">
        <v>9</v>
      </c>
      <c r="D6" s="15" t="s">
        <v>10</v>
      </c>
      <c r="E6" s="15" t="s">
        <v>11</v>
      </c>
      <c r="F6" s="15" t="s">
        <v>12</v>
      </c>
      <c r="G6" s="16" t="s">
        <v>13</v>
      </c>
      <c r="H6" s="17" t="s">
        <v>14</v>
      </c>
      <c r="I6" s="18" t="s">
        <v>15</v>
      </c>
      <c r="J6" s="14" t="s">
        <v>16</v>
      </c>
      <c r="K6" s="14" t="s">
        <v>17</v>
      </c>
      <c r="L6" s="14" t="s">
        <v>18</v>
      </c>
      <c r="M6" s="14" t="s">
        <v>19</v>
      </c>
      <c r="N6" s="19" t="s">
        <v>20</v>
      </c>
      <c r="O6" s="19" t="s">
        <v>6</v>
      </c>
      <c r="P6" s="13" t="s">
        <v>21</v>
      </c>
      <c r="Q6" s="14" t="s">
        <v>22</v>
      </c>
      <c r="R6" s="14" t="s">
        <v>23</v>
      </c>
      <c r="S6" s="14" t="s">
        <v>24</v>
      </c>
      <c r="T6" s="14" t="s">
        <v>25</v>
      </c>
      <c r="U6" s="14" t="s">
        <v>26</v>
      </c>
      <c r="V6" s="13" t="s">
        <v>27</v>
      </c>
      <c r="W6" s="20" t="s">
        <v>28</v>
      </c>
      <c r="X6" s="13"/>
      <c r="Y6" s="13" t="s">
        <v>29</v>
      </c>
      <c r="Z6" s="21" t="s">
        <v>30</v>
      </c>
      <c r="AA6" s="21" t="s">
        <v>31</v>
      </c>
      <c r="AB6" s="21" t="s">
        <v>32</v>
      </c>
      <c r="AC6" s="21" t="s">
        <v>33</v>
      </c>
      <c r="AD6" s="22" t="s">
        <v>34</v>
      </c>
      <c r="AE6" s="23" t="s">
        <v>35</v>
      </c>
      <c r="AF6" s="24" t="s">
        <v>36</v>
      </c>
      <c r="AG6" s="23" t="s">
        <v>37</v>
      </c>
      <c r="AH6" s="23"/>
      <c r="AI6" s="23"/>
      <c r="AJ6" s="23"/>
      <c r="AK6" s="23"/>
    </row>
    <row r="7" spans="1:37" ht="37.5" customHeight="1">
      <c r="A7" s="25"/>
      <c r="B7" s="25" t="s">
        <v>38</v>
      </c>
      <c r="C7" s="26" t="s">
        <v>39</v>
      </c>
      <c r="D7" s="27">
        <v>23</v>
      </c>
      <c r="E7" s="27">
        <v>6</v>
      </c>
      <c r="F7" s="27">
        <v>6</v>
      </c>
      <c r="G7" s="27">
        <f>PRODUCT(D7*E7*F7)</f>
        <v>828</v>
      </c>
      <c r="H7" s="28">
        <f>G7/1000000</f>
        <v>8.2799999999999996E-4</v>
      </c>
      <c r="I7" s="29">
        <f>1/H7</f>
        <v>1207.7294685990339</v>
      </c>
      <c r="J7" s="30">
        <f>80/I7</f>
        <v>6.6239999999999993E-2</v>
      </c>
      <c r="K7" s="31">
        <f>27000/I7</f>
        <v>22.355999999999998</v>
      </c>
      <c r="L7" s="31">
        <f>(J7*$AF$4)+K7</f>
        <v>114.09839999999998</v>
      </c>
      <c r="M7" s="32">
        <f>T7/R7</f>
        <v>2.6581169162832961E-2</v>
      </c>
      <c r="N7" s="33">
        <v>176</v>
      </c>
      <c r="O7" s="32">
        <f ca="1">SUMIF($AE$6:$AG$30,$A7,$AG$6:$AG$30)</f>
        <v>0</v>
      </c>
      <c r="P7" s="34">
        <v>23.2</v>
      </c>
      <c r="Q7" s="34">
        <f t="shared" ref="Q7:Q15" si="0">P7*1.15</f>
        <v>26.679999999999996</v>
      </c>
      <c r="R7" s="35">
        <f t="shared" ref="R7:R15" si="1">Q7*$AE$4</f>
        <v>5133.4987999999994</v>
      </c>
      <c r="S7" s="35">
        <f ca="1">R7*O7</f>
        <v>0</v>
      </c>
      <c r="T7" s="35">
        <f t="shared" ref="T7:T15" si="2">L7+K7</f>
        <v>136.45439999999999</v>
      </c>
      <c r="U7" s="35">
        <f ca="1">R7+S7+T7</f>
        <v>5269.953199999999</v>
      </c>
      <c r="V7" s="35">
        <v>19900</v>
      </c>
      <c r="W7" s="36">
        <v>8.1299999999999997E-2</v>
      </c>
      <c r="X7" s="37"/>
      <c r="Y7" s="35">
        <v>3003</v>
      </c>
      <c r="Z7" s="38">
        <f t="shared" ref="Z7:Z28" si="3">W7+(Y7/V7)</f>
        <v>0.23220452261306535</v>
      </c>
      <c r="AA7" s="39">
        <f t="shared" ref="AA7:AA28" si="4">V7*Z7</f>
        <v>4620.8700000000008</v>
      </c>
      <c r="AB7" s="39">
        <f t="shared" ref="AB7:AB28" ca="1" si="5">(V7)/1.1*10%-(R7+AA7+K7+S7+N7)*10%</f>
        <v>813.81842909090892</v>
      </c>
      <c r="AC7" s="39">
        <f ca="1">V7-(U7+AA7+AB7)</f>
        <v>9195.3583709090926</v>
      </c>
      <c r="AD7" s="40">
        <f t="shared" ref="AD7:AD28" ca="1" si="6">AC7/V7</f>
        <v>0.46207831009593431</v>
      </c>
      <c r="AE7" s="41" t="s">
        <v>40</v>
      </c>
      <c r="AF7" s="41"/>
      <c r="AG7" s="42">
        <v>0.08</v>
      </c>
      <c r="AH7" s="43"/>
      <c r="AI7" s="43"/>
      <c r="AJ7" s="44"/>
      <c r="AK7" s="44"/>
    </row>
    <row r="8" spans="1:37" ht="37.5" customHeight="1">
      <c r="A8" s="25"/>
      <c r="B8" s="25" t="s">
        <v>41</v>
      </c>
      <c r="C8" s="26"/>
      <c r="D8" s="27"/>
      <c r="E8" s="27"/>
      <c r="F8" s="27"/>
      <c r="G8" s="27"/>
      <c r="H8" s="28"/>
      <c r="I8" s="29"/>
      <c r="J8" s="30"/>
      <c r="K8" s="31">
        <f t="shared" ref="K8:L8" si="7">K7*2</f>
        <v>44.711999999999996</v>
      </c>
      <c r="L8" s="31">
        <f t="shared" si="7"/>
        <v>228.19679999999997</v>
      </c>
      <c r="M8" s="32"/>
      <c r="N8" s="33">
        <v>176</v>
      </c>
      <c r="O8" s="32"/>
      <c r="P8" s="34">
        <f>P7*2</f>
        <v>46.4</v>
      </c>
      <c r="Q8" s="34">
        <f t="shared" si="0"/>
        <v>53.359999999999992</v>
      </c>
      <c r="R8" s="35">
        <f t="shared" si="1"/>
        <v>10266.997599999999</v>
      </c>
      <c r="S8" s="25"/>
      <c r="T8" s="35">
        <f t="shared" si="2"/>
        <v>272.90879999999999</v>
      </c>
      <c r="U8" s="35">
        <f ca="1">U7*2</f>
        <v>10539.906399999998</v>
      </c>
      <c r="V8" s="35">
        <v>38300</v>
      </c>
      <c r="W8" s="36">
        <v>8.1299999999999997E-2</v>
      </c>
      <c r="X8" s="37"/>
      <c r="Y8" s="35">
        <v>3003</v>
      </c>
      <c r="Z8" s="38">
        <f t="shared" si="3"/>
        <v>0.15970731070496083</v>
      </c>
      <c r="AA8" s="39">
        <f t="shared" si="4"/>
        <v>6116.79</v>
      </c>
      <c r="AB8" s="39">
        <f t="shared" si="5"/>
        <v>1821.3682218181821</v>
      </c>
      <c r="AC8" s="39">
        <f t="shared" ref="AC7:AC28" ca="1" si="8">V8-(U8+AA8+AB8)</f>
        <v>19821.935378181821</v>
      </c>
      <c r="AD8" s="40">
        <f t="shared" ca="1" si="6"/>
        <v>0.51754400465226691</v>
      </c>
      <c r="AE8" s="41"/>
      <c r="AF8" s="41"/>
      <c r="AG8" s="42"/>
      <c r="AH8" s="43"/>
      <c r="AI8" s="43"/>
      <c r="AJ8" s="44"/>
      <c r="AK8" s="44"/>
    </row>
    <row r="9" spans="1:37" ht="37.5" customHeight="1">
      <c r="A9" s="25"/>
      <c r="B9" s="25" t="s">
        <v>42</v>
      </c>
      <c r="C9" s="26" t="s">
        <v>39</v>
      </c>
      <c r="D9" s="27">
        <v>23</v>
      </c>
      <c r="E9" s="27">
        <v>13</v>
      </c>
      <c r="F9" s="27">
        <v>8</v>
      </c>
      <c r="G9" s="27">
        <f t="shared" ref="G9:G15" si="9">PRODUCT(D9*E9*F9)</f>
        <v>2392</v>
      </c>
      <c r="H9" s="28">
        <f t="shared" ref="H9:H15" si="10">G9/1000000</f>
        <v>2.392E-3</v>
      </c>
      <c r="I9" s="29">
        <f t="shared" ref="I9:I15" si="11">1/H9</f>
        <v>418.0602006688963</v>
      </c>
      <c r="J9" s="30">
        <f t="shared" ref="J9:J15" si="12">80/I9</f>
        <v>0.19136</v>
      </c>
      <c r="K9" s="31">
        <f t="shared" ref="K9:K15" si="13">27000/I9</f>
        <v>64.584000000000003</v>
      </c>
      <c r="L9" s="31">
        <f t="shared" ref="L9:L15" si="14">(J9*$AF$4)+K9</f>
        <v>329.61759999999998</v>
      </c>
      <c r="M9" s="32">
        <f t="shared" ref="M9:M15" si="15">T9/R9</f>
        <v>4.4538225663946773E-2</v>
      </c>
      <c r="N9" s="33">
        <v>176</v>
      </c>
      <c r="O9" s="32">
        <f t="shared" ref="O9:O15" ca="1" si="16">SUMIF($AE$6:$AG$30,$A9,$AG$6:$AG$30)</f>
        <v>0</v>
      </c>
      <c r="P9" s="34">
        <v>40</v>
      </c>
      <c r="Q9" s="34">
        <f t="shared" si="0"/>
        <v>46</v>
      </c>
      <c r="R9" s="35">
        <f t="shared" si="1"/>
        <v>8850.86</v>
      </c>
      <c r="S9" s="35">
        <f t="shared" ref="S9:S15" ca="1" si="17">R9*O9</f>
        <v>0</v>
      </c>
      <c r="T9" s="35">
        <f t="shared" si="2"/>
        <v>394.20159999999998</v>
      </c>
      <c r="U9" s="35">
        <f t="shared" ref="U9:U15" ca="1" si="18">R9+S9+T9</f>
        <v>9245.0616000000009</v>
      </c>
      <c r="V9" s="35">
        <v>29800</v>
      </c>
      <c r="W9" s="36">
        <v>8.1299999999999997E-2</v>
      </c>
      <c r="X9" s="37"/>
      <c r="Y9" s="35">
        <v>3003</v>
      </c>
      <c r="Z9" s="38">
        <f t="shared" si="3"/>
        <v>0.18207181208053691</v>
      </c>
      <c r="AA9" s="39">
        <f t="shared" si="4"/>
        <v>5425.74</v>
      </c>
      <c r="AB9" s="39">
        <f t="shared" ca="1" si="5"/>
        <v>1257.3725090909088</v>
      </c>
      <c r="AC9" s="39">
        <f t="shared" ca="1" si="8"/>
        <v>13871.825890909091</v>
      </c>
      <c r="AD9" s="40">
        <f t="shared" ca="1" si="6"/>
        <v>0.46549751311775472</v>
      </c>
      <c r="AE9" s="41" t="s">
        <v>43</v>
      </c>
      <c r="AF9" s="41"/>
      <c r="AG9" s="42">
        <v>2.1000000000000001E-2</v>
      </c>
      <c r="AH9" s="43"/>
      <c r="AI9" s="43"/>
      <c r="AJ9" s="44"/>
      <c r="AK9" s="44"/>
    </row>
    <row r="10" spans="1:37" ht="37.5" customHeight="1">
      <c r="A10" s="25"/>
      <c r="B10" s="25" t="s">
        <v>44</v>
      </c>
      <c r="C10" s="26" t="s">
        <v>39</v>
      </c>
      <c r="D10" s="27">
        <v>23</v>
      </c>
      <c r="E10" s="27">
        <v>9</v>
      </c>
      <c r="F10" s="27">
        <v>7</v>
      </c>
      <c r="G10" s="27">
        <f t="shared" si="9"/>
        <v>1449</v>
      </c>
      <c r="H10" s="28">
        <f t="shared" si="10"/>
        <v>1.449E-3</v>
      </c>
      <c r="I10" s="29">
        <f t="shared" si="11"/>
        <v>690.13112491373363</v>
      </c>
      <c r="J10" s="30">
        <f t="shared" si="12"/>
        <v>0.11592</v>
      </c>
      <c r="K10" s="31">
        <f t="shared" si="13"/>
        <v>39.122999999999998</v>
      </c>
      <c r="L10" s="31">
        <f t="shared" si="14"/>
        <v>199.67219999999998</v>
      </c>
      <c r="M10" s="32">
        <f t="shared" si="15"/>
        <v>3.0834156228886231E-2</v>
      </c>
      <c r="N10" s="33">
        <v>176</v>
      </c>
      <c r="O10" s="32">
        <f t="shared" ca="1" si="16"/>
        <v>0</v>
      </c>
      <c r="P10" s="34">
        <v>35</v>
      </c>
      <c r="Q10" s="34">
        <f t="shared" si="0"/>
        <v>40.25</v>
      </c>
      <c r="R10" s="35">
        <f t="shared" si="1"/>
        <v>7744.5024999999996</v>
      </c>
      <c r="S10" s="35">
        <f t="shared" ca="1" si="17"/>
        <v>0</v>
      </c>
      <c r="T10" s="35">
        <f t="shared" si="2"/>
        <v>238.79519999999997</v>
      </c>
      <c r="U10" s="35">
        <f t="shared" ca="1" si="18"/>
        <v>7983.2976999999992</v>
      </c>
      <c r="V10" s="35">
        <v>29800</v>
      </c>
      <c r="W10" s="36">
        <v>8.1299999999999997E-2</v>
      </c>
      <c r="X10" s="37"/>
      <c r="Y10" s="35">
        <v>3003</v>
      </c>
      <c r="Z10" s="38">
        <f t="shared" si="3"/>
        <v>0.18207181208053691</v>
      </c>
      <c r="AA10" s="39">
        <f t="shared" si="4"/>
        <v>5425.74</v>
      </c>
      <c r="AB10" s="39">
        <f t="shared" ca="1" si="5"/>
        <v>1370.554359090909</v>
      </c>
      <c r="AC10" s="39">
        <f t="shared" ca="1" si="8"/>
        <v>15020.407940909092</v>
      </c>
      <c r="AD10" s="40">
        <f t="shared" ca="1" si="6"/>
        <v>0.50404053492983525</v>
      </c>
      <c r="AE10" s="41" t="s">
        <v>45</v>
      </c>
      <c r="AF10" s="41"/>
      <c r="AG10" s="42">
        <v>1.7000000000000001E-2</v>
      </c>
      <c r="AH10" s="43"/>
      <c r="AI10" s="43"/>
      <c r="AJ10" s="44"/>
      <c r="AK10" s="44"/>
    </row>
    <row r="11" spans="1:37" ht="37.5" customHeight="1">
      <c r="A11" s="25"/>
      <c r="B11" s="25" t="s">
        <v>46</v>
      </c>
      <c r="C11" s="26" t="s">
        <v>39</v>
      </c>
      <c r="D11" s="27">
        <v>23</v>
      </c>
      <c r="E11" s="27">
        <v>15</v>
      </c>
      <c r="F11" s="27">
        <v>12</v>
      </c>
      <c r="G11" s="27">
        <f t="shared" si="9"/>
        <v>4140</v>
      </c>
      <c r="H11" s="28">
        <f t="shared" si="10"/>
        <v>4.1399999999999996E-3</v>
      </c>
      <c r="I11" s="29">
        <f t="shared" si="11"/>
        <v>241.5458937198068</v>
      </c>
      <c r="J11" s="30">
        <f t="shared" si="12"/>
        <v>0.33119999999999994</v>
      </c>
      <c r="K11" s="31">
        <f t="shared" si="13"/>
        <v>111.77999999999999</v>
      </c>
      <c r="L11" s="31">
        <f t="shared" si="14"/>
        <v>570.49199999999996</v>
      </c>
      <c r="M11" s="32">
        <f t="shared" si="15"/>
        <v>0.11859290857263936</v>
      </c>
      <c r="N11" s="33">
        <v>176</v>
      </c>
      <c r="O11" s="32">
        <f t="shared" ca="1" si="16"/>
        <v>0</v>
      </c>
      <c r="P11" s="34">
        <v>26</v>
      </c>
      <c r="Q11" s="34">
        <f t="shared" si="0"/>
        <v>29.9</v>
      </c>
      <c r="R11" s="35">
        <f t="shared" si="1"/>
        <v>5753.0589999999993</v>
      </c>
      <c r="S11" s="35">
        <f t="shared" ca="1" si="17"/>
        <v>0</v>
      </c>
      <c r="T11" s="35">
        <f t="shared" si="2"/>
        <v>682.27199999999993</v>
      </c>
      <c r="U11" s="35">
        <f t="shared" ca="1" si="18"/>
        <v>6435.3309999999992</v>
      </c>
      <c r="V11" s="35">
        <v>23900</v>
      </c>
      <c r="W11" s="36">
        <v>8.1299999999999997E-2</v>
      </c>
      <c r="X11" s="37"/>
      <c r="Y11" s="35">
        <v>3003</v>
      </c>
      <c r="Z11" s="38">
        <f t="shared" si="3"/>
        <v>0.20694853556485354</v>
      </c>
      <c r="AA11" s="39">
        <f t="shared" si="4"/>
        <v>4946.07</v>
      </c>
      <c r="AB11" s="39">
        <f t="shared" ca="1" si="5"/>
        <v>1074.0363727272725</v>
      </c>
      <c r="AC11" s="39">
        <f t="shared" ca="1" si="8"/>
        <v>11444.56262727273</v>
      </c>
      <c r="AD11" s="40">
        <f t="shared" ca="1" si="6"/>
        <v>0.47885199277291757</v>
      </c>
      <c r="AE11" s="41" t="s">
        <v>47</v>
      </c>
      <c r="AF11" s="41"/>
      <c r="AG11" s="45">
        <v>1.7000000000000001E-2</v>
      </c>
      <c r="AH11" s="43"/>
      <c r="AI11" s="43"/>
      <c r="AJ11" s="44"/>
      <c r="AK11" s="44"/>
    </row>
    <row r="12" spans="1:37" ht="37.5" customHeight="1">
      <c r="A12" s="25"/>
      <c r="B12" s="25" t="s">
        <v>48</v>
      </c>
      <c r="C12" s="26" t="s">
        <v>39</v>
      </c>
      <c r="D12" s="27">
        <v>25</v>
      </c>
      <c r="E12" s="27">
        <v>7</v>
      </c>
      <c r="F12" s="27">
        <v>3</v>
      </c>
      <c r="G12" s="27">
        <f t="shared" si="9"/>
        <v>525</v>
      </c>
      <c r="H12" s="28">
        <f t="shared" si="10"/>
        <v>5.2499999999999997E-4</v>
      </c>
      <c r="I12" s="29">
        <f t="shared" si="11"/>
        <v>1904.7619047619048</v>
      </c>
      <c r="J12" s="30">
        <f t="shared" si="12"/>
        <v>4.1999999999999996E-2</v>
      </c>
      <c r="K12" s="31">
        <f t="shared" si="13"/>
        <v>14.174999999999999</v>
      </c>
      <c r="L12" s="31">
        <f t="shared" si="14"/>
        <v>72.344999999999999</v>
      </c>
      <c r="M12" s="32">
        <f t="shared" si="15"/>
        <v>1.7000558727331729E-2</v>
      </c>
      <c r="N12" s="33">
        <v>176</v>
      </c>
      <c r="O12" s="32">
        <f t="shared" ca="1" si="16"/>
        <v>0</v>
      </c>
      <c r="P12" s="34">
        <v>23</v>
      </c>
      <c r="Q12" s="34">
        <f t="shared" si="0"/>
        <v>26.45</v>
      </c>
      <c r="R12" s="35">
        <f t="shared" si="1"/>
        <v>5089.2444999999998</v>
      </c>
      <c r="S12" s="35">
        <f t="shared" ca="1" si="17"/>
        <v>0</v>
      </c>
      <c r="T12" s="35">
        <f t="shared" si="2"/>
        <v>86.52</v>
      </c>
      <c r="U12" s="35">
        <f t="shared" ca="1" si="18"/>
        <v>5175.7645000000002</v>
      </c>
      <c r="V12" s="35">
        <v>21900</v>
      </c>
      <c r="W12" s="36">
        <v>8.1299999999999997E-2</v>
      </c>
      <c r="X12" s="37"/>
      <c r="Y12" s="35">
        <v>3003</v>
      </c>
      <c r="Z12" s="38">
        <f t="shared" si="3"/>
        <v>0.21842328767123287</v>
      </c>
      <c r="AA12" s="39">
        <f t="shared" si="4"/>
        <v>4783.47</v>
      </c>
      <c r="AB12" s="39">
        <f t="shared" ca="1" si="5"/>
        <v>984.62014090909099</v>
      </c>
      <c r="AC12" s="39">
        <f t="shared" ca="1" si="8"/>
        <v>10956.145359090908</v>
      </c>
      <c r="AD12" s="40">
        <f t="shared" ca="1" si="6"/>
        <v>0.50028061000415103</v>
      </c>
      <c r="AE12" s="41" t="s">
        <v>49</v>
      </c>
      <c r="AF12" s="41"/>
      <c r="AG12" s="45">
        <v>1.7000000000000001E-2</v>
      </c>
      <c r="AH12" s="43"/>
      <c r="AI12" s="43"/>
      <c r="AJ12" s="44"/>
      <c r="AK12" s="44"/>
    </row>
    <row r="13" spans="1:37" ht="37.5" customHeight="1">
      <c r="A13" s="25"/>
      <c r="B13" s="25" t="s">
        <v>50</v>
      </c>
      <c r="C13" s="26" t="s">
        <v>39</v>
      </c>
      <c r="D13" s="27">
        <v>21</v>
      </c>
      <c r="E13" s="27">
        <v>11</v>
      </c>
      <c r="F13" s="27">
        <v>5</v>
      </c>
      <c r="G13" s="27">
        <f t="shared" si="9"/>
        <v>1155</v>
      </c>
      <c r="H13" s="28">
        <f t="shared" si="10"/>
        <v>1.155E-3</v>
      </c>
      <c r="I13" s="29">
        <f t="shared" si="11"/>
        <v>865.80086580086584</v>
      </c>
      <c r="J13" s="30">
        <f t="shared" si="12"/>
        <v>9.2399999999999996E-2</v>
      </c>
      <c r="K13" s="31">
        <f t="shared" si="13"/>
        <v>31.184999999999999</v>
      </c>
      <c r="L13" s="31">
        <f t="shared" si="14"/>
        <v>159.15899999999999</v>
      </c>
      <c r="M13" s="32">
        <f t="shared" si="15"/>
        <v>6.1444876543070397E-2</v>
      </c>
      <c r="N13" s="33">
        <v>176</v>
      </c>
      <c r="O13" s="32">
        <f t="shared" ca="1" si="16"/>
        <v>0</v>
      </c>
      <c r="P13" s="34">
        <v>14</v>
      </c>
      <c r="Q13" s="34">
        <f t="shared" si="0"/>
        <v>16.099999999999998</v>
      </c>
      <c r="R13" s="35">
        <f t="shared" si="1"/>
        <v>3097.8009999999995</v>
      </c>
      <c r="S13" s="35">
        <f t="shared" ca="1" si="17"/>
        <v>0</v>
      </c>
      <c r="T13" s="35">
        <f t="shared" si="2"/>
        <v>190.34399999999999</v>
      </c>
      <c r="U13" s="35">
        <f t="shared" ca="1" si="18"/>
        <v>3288.1449999999995</v>
      </c>
      <c r="V13" s="35">
        <v>14900</v>
      </c>
      <c r="W13" s="36">
        <v>8.1299999999999997E-2</v>
      </c>
      <c r="X13" s="37"/>
      <c r="Y13" s="35">
        <v>3003</v>
      </c>
      <c r="Z13" s="38">
        <f t="shared" si="3"/>
        <v>0.28284362416107384</v>
      </c>
      <c r="AA13" s="39">
        <f t="shared" si="4"/>
        <v>4214.37</v>
      </c>
      <c r="AB13" s="39">
        <f t="shared" ca="1" si="5"/>
        <v>602.60985454545448</v>
      </c>
      <c r="AC13" s="39">
        <f t="shared" ca="1" si="8"/>
        <v>6794.8751454545463</v>
      </c>
      <c r="AD13" s="40">
        <f t="shared" ca="1" si="6"/>
        <v>0.45603188895668095</v>
      </c>
      <c r="AE13" s="41" t="s">
        <v>51</v>
      </c>
      <c r="AF13" s="41"/>
      <c r="AG13" s="45">
        <v>2.1000000000000001E-2</v>
      </c>
      <c r="AH13" s="43"/>
      <c r="AI13" s="43"/>
      <c r="AJ13" s="44"/>
      <c r="AK13" s="44"/>
    </row>
    <row r="14" spans="1:37" ht="37.5" customHeight="1">
      <c r="A14" s="25"/>
      <c r="B14" s="25" t="s">
        <v>52</v>
      </c>
      <c r="C14" s="26" t="s">
        <v>39</v>
      </c>
      <c r="D14" s="27">
        <v>18</v>
      </c>
      <c r="E14" s="27">
        <v>13</v>
      </c>
      <c r="F14" s="27">
        <v>13</v>
      </c>
      <c r="G14" s="27">
        <f t="shared" si="9"/>
        <v>3042</v>
      </c>
      <c r="H14" s="28">
        <f t="shared" si="10"/>
        <v>3.042E-3</v>
      </c>
      <c r="I14" s="29">
        <f t="shared" si="11"/>
        <v>328.73109796186719</v>
      </c>
      <c r="J14" s="30">
        <f t="shared" si="12"/>
        <v>0.24335999999999999</v>
      </c>
      <c r="K14" s="31">
        <f t="shared" si="13"/>
        <v>82.134</v>
      </c>
      <c r="L14" s="31">
        <f t="shared" si="14"/>
        <v>419.18760000000003</v>
      </c>
      <c r="M14" s="32">
        <f t="shared" si="15"/>
        <v>9.0625607003161288E-2</v>
      </c>
      <c r="N14" s="33">
        <v>176</v>
      </c>
      <c r="O14" s="32">
        <f t="shared" ca="1" si="16"/>
        <v>0</v>
      </c>
      <c r="P14" s="34">
        <v>25</v>
      </c>
      <c r="Q14" s="34">
        <f t="shared" si="0"/>
        <v>28.749999999999996</v>
      </c>
      <c r="R14" s="35">
        <f t="shared" si="1"/>
        <v>5531.7874999999995</v>
      </c>
      <c r="S14" s="35">
        <f t="shared" ca="1" si="17"/>
        <v>0</v>
      </c>
      <c r="T14" s="35">
        <f t="shared" si="2"/>
        <v>501.32160000000005</v>
      </c>
      <c r="U14" s="35">
        <f t="shared" ca="1" si="18"/>
        <v>6033.1090999999997</v>
      </c>
      <c r="V14" s="35">
        <v>23900</v>
      </c>
      <c r="W14" s="36">
        <v>8.1299999999999997E-2</v>
      </c>
      <c r="X14" s="37"/>
      <c r="Y14" s="35">
        <v>3003</v>
      </c>
      <c r="Z14" s="38">
        <f t="shared" si="3"/>
        <v>0.20694853556485354</v>
      </c>
      <c r="AA14" s="39">
        <f t="shared" si="4"/>
        <v>4946.07</v>
      </c>
      <c r="AB14" s="39">
        <f t="shared" ca="1" si="5"/>
        <v>1099.1281227272727</v>
      </c>
      <c r="AC14" s="39">
        <f t="shared" ca="1" si="8"/>
        <v>11821.692777272729</v>
      </c>
      <c r="AD14" s="40">
        <f t="shared" ca="1" si="6"/>
        <v>0.49463149695701791</v>
      </c>
      <c r="AE14" s="41" t="s">
        <v>53</v>
      </c>
      <c r="AF14" s="41"/>
      <c r="AG14" s="45">
        <v>2.1000000000000001E-2</v>
      </c>
      <c r="AH14" s="43"/>
      <c r="AI14" s="43"/>
      <c r="AJ14" s="44"/>
      <c r="AK14" s="44"/>
    </row>
    <row r="15" spans="1:37" ht="37.5" customHeight="1">
      <c r="A15" s="25"/>
      <c r="B15" s="25" t="s">
        <v>54</v>
      </c>
      <c r="C15" s="26" t="s">
        <v>39</v>
      </c>
      <c r="D15" s="27">
        <v>16</v>
      </c>
      <c r="E15" s="27">
        <v>6</v>
      </c>
      <c r="F15" s="27">
        <v>4</v>
      </c>
      <c r="G15" s="27">
        <f t="shared" si="9"/>
        <v>384</v>
      </c>
      <c r="H15" s="28">
        <f t="shared" si="10"/>
        <v>3.8400000000000001E-4</v>
      </c>
      <c r="I15" s="29">
        <f t="shared" si="11"/>
        <v>2604.1666666666665</v>
      </c>
      <c r="J15" s="30">
        <f t="shared" si="12"/>
        <v>3.0720000000000001E-2</v>
      </c>
      <c r="K15" s="31">
        <f t="shared" si="13"/>
        <v>10.368</v>
      </c>
      <c r="L15" s="31">
        <f t="shared" si="14"/>
        <v>52.915200000000006</v>
      </c>
      <c r="M15" s="32">
        <f t="shared" si="15"/>
        <v>9.8619989937467241E-3</v>
      </c>
      <c r="N15" s="33">
        <v>176</v>
      </c>
      <c r="O15" s="32">
        <f t="shared" ca="1" si="16"/>
        <v>0</v>
      </c>
      <c r="P15" s="34">
        <v>29</v>
      </c>
      <c r="Q15" s="34">
        <f t="shared" si="0"/>
        <v>33.349999999999994</v>
      </c>
      <c r="R15" s="35">
        <f t="shared" si="1"/>
        <v>6416.8734999999988</v>
      </c>
      <c r="S15" s="35">
        <f t="shared" ca="1" si="17"/>
        <v>0</v>
      </c>
      <c r="T15" s="35">
        <f t="shared" si="2"/>
        <v>63.283200000000008</v>
      </c>
      <c r="U15" s="35">
        <f t="shared" ca="1" si="18"/>
        <v>6480.1566999999986</v>
      </c>
      <c r="V15" s="35">
        <v>19900</v>
      </c>
      <c r="W15" s="36">
        <v>8.1299999999999997E-2</v>
      </c>
      <c r="X15" s="37"/>
      <c r="Y15" s="35">
        <v>3003</v>
      </c>
      <c r="Z15" s="38">
        <f t="shared" si="3"/>
        <v>0.23220452261306535</v>
      </c>
      <c r="AA15" s="39">
        <f t="shared" si="4"/>
        <v>4620.8700000000008</v>
      </c>
      <c r="AB15" s="39">
        <f t="shared" ca="1" si="5"/>
        <v>686.67975909090887</v>
      </c>
      <c r="AC15" s="39">
        <f t="shared" ca="1" si="8"/>
        <v>8112.2935409090933</v>
      </c>
      <c r="AD15" s="40">
        <f t="shared" ca="1" si="6"/>
        <v>0.40765294175422578</v>
      </c>
      <c r="AE15" s="41" t="s">
        <v>55</v>
      </c>
      <c r="AF15" s="41"/>
      <c r="AG15" s="45">
        <v>0.08</v>
      </c>
      <c r="AH15" s="43"/>
      <c r="AI15" s="43"/>
      <c r="AJ15" s="44"/>
      <c r="AK15" s="44"/>
    </row>
    <row r="16" spans="1:37" ht="37.5" customHeight="1">
      <c r="A16" s="25"/>
      <c r="B16" s="25" t="s">
        <v>56</v>
      </c>
      <c r="C16" s="26"/>
      <c r="D16" s="27"/>
      <c r="E16" s="27"/>
      <c r="F16" s="27"/>
      <c r="G16" s="27"/>
      <c r="H16" s="28"/>
      <c r="I16" s="29"/>
      <c r="J16" s="30"/>
      <c r="K16" s="31"/>
      <c r="L16" s="31"/>
      <c r="M16" s="32"/>
      <c r="N16" s="33"/>
      <c r="O16" s="32"/>
      <c r="P16" s="34"/>
      <c r="Q16" s="34"/>
      <c r="R16" s="35"/>
      <c r="S16" s="25"/>
      <c r="T16" s="35"/>
      <c r="U16" s="35">
        <f ca="1">U15*2</f>
        <v>12960.313399999997</v>
      </c>
      <c r="V16" s="35">
        <v>37700</v>
      </c>
      <c r="W16" s="36">
        <v>8.1299999999999997E-2</v>
      </c>
      <c r="X16" s="37"/>
      <c r="Y16" s="35">
        <v>3003</v>
      </c>
      <c r="Z16" s="38">
        <f t="shared" si="3"/>
        <v>0.16095517241379309</v>
      </c>
      <c r="AA16" s="39">
        <f t="shared" si="4"/>
        <v>6068.0099999999993</v>
      </c>
      <c r="AB16" s="39">
        <f t="shared" si="5"/>
        <v>2820.4717272727275</v>
      </c>
      <c r="AC16" s="39">
        <f t="shared" ca="1" si="8"/>
        <v>15851.204872727274</v>
      </c>
      <c r="AD16" s="40">
        <f t="shared" ca="1" si="6"/>
        <v>0.42045636267181097</v>
      </c>
      <c r="AE16" s="41"/>
      <c r="AF16" s="41"/>
      <c r="AG16" s="45"/>
      <c r="AH16" s="43"/>
      <c r="AI16" s="43"/>
      <c r="AJ16" s="44"/>
      <c r="AK16" s="44"/>
    </row>
    <row r="17" spans="1:37" ht="37.5" customHeight="1">
      <c r="A17" s="25"/>
      <c r="B17" s="25" t="s">
        <v>57</v>
      </c>
      <c r="C17" s="26" t="s">
        <v>39</v>
      </c>
      <c r="D17" s="27">
        <v>22</v>
      </c>
      <c r="E17" s="27">
        <v>32</v>
      </c>
      <c r="F17" s="27">
        <v>5</v>
      </c>
      <c r="G17" s="27">
        <f t="shared" ref="G17:G18" si="19">PRODUCT(D17*E17*F17)</f>
        <v>3520</v>
      </c>
      <c r="H17" s="28">
        <f t="shared" ref="H17:H18" si="20">G17/1000000</f>
        <v>3.5200000000000001E-3</v>
      </c>
      <c r="I17" s="29">
        <f t="shared" ref="I17:I18" si="21">1/H17</f>
        <v>284.09090909090907</v>
      </c>
      <c r="J17" s="30">
        <f t="shared" ref="J17:J18" si="22">80/I17</f>
        <v>0.28160000000000002</v>
      </c>
      <c r="K17" s="31">
        <f t="shared" ref="K17:K18" si="23">27000/I17</f>
        <v>95.04</v>
      </c>
      <c r="L17" s="31">
        <f t="shared" ref="L17:L18" si="24">(J17*$AF$4)+K17</f>
        <v>485.05600000000004</v>
      </c>
      <c r="M17" s="32">
        <f t="shared" ref="M17:M18" si="25">T17/R17</f>
        <v>0.13798147714935108</v>
      </c>
      <c r="N17" s="33">
        <v>319</v>
      </c>
      <c r="O17" s="32">
        <f t="shared" ref="O17:O21" ca="1" si="26">SUMIF($AE$6:$AG$30,$A17,$AG$6:$AG$30)</f>
        <v>0</v>
      </c>
      <c r="P17" s="34">
        <v>19</v>
      </c>
      <c r="Q17" s="34">
        <f t="shared" ref="Q17:Q28" si="27">P17*1.15</f>
        <v>21.849999999999998</v>
      </c>
      <c r="R17" s="35">
        <f t="shared" ref="R17:R21" si="28">Q17*$AE$4</f>
        <v>4204.1584999999995</v>
      </c>
      <c r="S17" s="35">
        <f t="shared" ref="S17:S21" ca="1" si="29">R17*O17</f>
        <v>0</v>
      </c>
      <c r="T17" s="35">
        <f t="shared" ref="T17:T21" si="30">L17+K17</f>
        <v>580.096</v>
      </c>
      <c r="U17" s="35">
        <f t="shared" ref="U17:U18" ca="1" si="31">R17+S17+T17</f>
        <v>4784.2544999999991</v>
      </c>
      <c r="V17" s="35">
        <v>19900</v>
      </c>
      <c r="W17" s="36">
        <v>8.1299999999999997E-2</v>
      </c>
      <c r="X17" s="37"/>
      <c r="Y17" s="35">
        <v>3146</v>
      </c>
      <c r="Z17" s="38">
        <f t="shared" si="3"/>
        <v>0.23939045226130651</v>
      </c>
      <c r="AA17" s="39">
        <f t="shared" si="4"/>
        <v>4763.87</v>
      </c>
      <c r="AB17" s="39">
        <f t="shared" ca="1" si="5"/>
        <v>870.88405909090886</v>
      </c>
      <c r="AC17" s="39">
        <f t="shared" ca="1" si="8"/>
        <v>9480.9914409090925</v>
      </c>
      <c r="AD17" s="40">
        <f t="shared" ca="1" si="6"/>
        <v>0.4764317306989494</v>
      </c>
      <c r="AE17" s="41" t="s">
        <v>58</v>
      </c>
      <c r="AF17" s="41"/>
      <c r="AG17" s="45">
        <v>2.1000000000000001E-2</v>
      </c>
      <c r="AH17" s="43"/>
      <c r="AI17" s="43"/>
      <c r="AJ17" s="44"/>
      <c r="AK17" s="44"/>
    </row>
    <row r="18" spans="1:37" ht="37.5" customHeight="1">
      <c r="A18" s="25"/>
      <c r="B18" s="46" t="s">
        <v>59</v>
      </c>
      <c r="C18" s="26" t="s">
        <v>39</v>
      </c>
      <c r="D18" s="27">
        <v>22</v>
      </c>
      <c r="E18" s="27">
        <v>32</v>
      </c>
      <c r="F18" s="27">
        <v>5</v>
      </c>
      <c r="G18" s="27">
        <f t="shared" si="19"/>
        <v>3520</v>
      </c>
      <c r="H18" s="28">
        <f t="shared" si="20"/>
        <v>3.5200000000000001E-3</v>
      </c>
      <c r="I18" s="29">
        <f t="shared" si="21"/>
        <v>284.09090909090907</v>
      </c>
      <c r="J18" s="30">
        <f t="shared" si="22"/>
        <v>0.28160000000000002</v>
      </c>
      <c r="K18" s="31">
        <f t="shared" si="23"/>
        <v>95.04</v>
      </c>
      <c r="L18" s="31">
        <f t="shared" si="24"/>
        <v>485.05600000000004</v>
      </c>
      <c r="M18" s="32">
        <f t="shared" si="25"/>
        <v>0.13798147714935108</v>
      </c>
      <c r="N18" s="33">
        <v>319</v>
      </c>
      <c r="O18" s="32">
        <f t="shared" ca="1" si="26"/>
        <v>0</v>
      </c>
      <c r="P18" s="34">
        <v>19</v>
      </c>
      <c r="Q18" s="34">
        <f t="shared" si="27"/>
        <v>21.849999999999998</v>
      </c>
      <c r="R18" s="35">
        <f t="shared" si="28"/>
        <v>4204.1584999999995</v>
      </c>
      <c r="S18" s="35">
        <f t="shared" ca="1" si="29"/>
        <v>0</v>
      </c>
      <c r="T18" s="35">
        <f t="shared" si="30"/>
        <v>580.096</v>
      </c>
      <c r="U18" s="35">
        <f t="shared" ca="1" si="31"/>
        <v>4784.2544999999991</v>
      </c>
      <c r="V18" s="35">
        <v>19900</v>
      </c>
      <c r="W18" s="36">
        <v>8.1299999999999997E-2</v>
      </c>
      <c r="X18" s="37"/>
      <c r="Y18" s="35">
        <v>3146</v>
      </c>
      <c r="Z18" s="38">
        <f t="shared" si="3"/>
        <v>0.23939045226130651</v>
      </c>
      <c r="AA18" s="39">
        <f t="shared" si="4"/>
        <v>4763.87</v>
      </c>
      <c r="AB18" s="39">
        <f t="shared" ca="1" si="5"/>
        <v>870.88405909090886</v>
      </c>
      <c r="AC18" s="39">
        <f t="shared" ca="1" si="8"/>
        <v>9480.9914409090925</v>
      </c>
      <c r="AD18" s="40">
        <f t="shared" ca="1" si="6"/>
        <v>0.4764317306989494</v>
      </c>
      <c r="AE18" s="41" t="s">
        <v>58</v>
      </c>
      <c r="AF18" s="41"/>
      <c r="AG18" s="45">
        <v>2.1000000000000001E-2</v>
      </c>
      <c r="AH18" s="43"/>
      <c r="AI18" s="43"/>
      <c r="AJ18" s="44"/>
      <c r="AK18" s="44"/>
    </row>
    <row r="19" spans="1:37" ht="37.5" customHeight="1">
      <c r="A19" s="25"/>
      <c r="B19" s="46" t="s">
        <v>60</v>
      </c>
      <c r="C19" s="26"/>
      <c r="D19" s="27"/>
      <c r="E19" s="27"/>
      <c r="F19" s="27"/>
      <c r="G19" s="27"/>
      <c r="H19" s="28"/>
      <c r="I19" s="29"/>
      <c r="J19" s="30"/>
      <c r="K19" s="31"/>
      <c r="L19" s="31"/>
      <c r="M19" s="32"/>
      <c r="N19" s="33">
        <v>319</v>
      </c>
      <c r="O19" s="32">
        <f t="shared" ca="1" si="26"/>
        <v>0</v>
      </c>
      <c r="P19" s="34">
        <v>19</v>
      </c>
      <c r="Q19" s="34">
        <f t="shared" si="27"/>
        <v>21.849999999999998</v>
      </c>
      <c r="R19" s="35">
        <f t="shared" si="28"/>
        <v>4204.1584999999995</v>
      </c>
      <c r="S19" s="35">
        <f t="shared" ca="1" si="29"/>
        <v>0</v>
      </c>
      <c r="T19" s="35">
        <f t="shared" si="30"/>
        <v>0</v>
      </c>
      <c r="U19" s="35">
        <f ca="1">U18*2</f>
        <v>9568.5089999999982</v>
      </c>
      <c r="V19" s="35">
        <v>38800</v>
      </c>
      <c r="W19" s="36">
        <v>8.1299999999999997E-2</v>
      </c>
      <c r="X19" s="37"/>
      <c r="Y19" s="35">
        <v>3146</v>
      </c>
      <c r="Z19" s="38">
        <f t="shared" si="3"/>
        <v>0.16238247422680413</v>
      </c>
      <c r="AA19" s="39">
        <f t="shared" si="4"/>
        <v>6300.4400000000005</v>
      </c>
      <c r="AB19" s="39">
        <f t="shared" ca="1" si="5"/>
        <v>2444.9128772727272</v>
      </c>
      <c r="AC19" s="39">
        <f t="shared" ca="1" si="8"/>
        <v>20486.138122727272</v>
      </c>
      <c r="AD19" s="40">
        <f t="shared" ca="1" si="6"/>
        <v>0.52799325058575441</v>
      </c>
      <c r="AE19" s="41"/>
      <c r="AF19" s="41"/>
      <c r="AG19" s="45"/>
      <c r="AH19" s="43"/>
      <c r="AI19" s="43"/>
      <c r="AJ19" s="44"/>
      <c r="AK19" s="44"/>
    </row>
    <row r="20" spans="1:37" ht="37.5" customHeight="1">
      <c r="A20" s="25"/>
      <c r="B20" s="46" t="s">
        <v>61</v>
      </c>
      <c r="C20" s="26" t="s">
        <v>39</v>
      </c>
      <c r="D20" s="27">
        <v>13</v>
      </c>
      <c r="E20" s="27">
        <v>8</v>
      </c>
      <c r="F20" s="27">
        <v>0.1</v>
      </c>
      <c r="G20" s="27">
        <f t="shared" ref="G20:G21" si="32">PRODUCT(D20*E20*F20)</f>
        <v>10.4</v>
      </c>
      <c r="H20" s="28">
        <f t="shared" ref="H20:H21" si="33">G20/1000000</f>
        <v>1.04E-5</v>
      </c>
      <c r="I20" s="29">
        <f t="shared" ref="I20:I21" si="34">1/H20</f>
        <v>96153.846153846156</v>
      </c>
      <c r="J20" s="30">
        <f t="shared" ref="J20:J21" si="35">80/I20</f>
        <v>8.3199999999999995E-4</v>
      </c>
      <c r="K20" s="31">
        <f t="shared" ref="K20:K21" si="36">27000/I20</f>
        <v>0.28079999999999999</v>
      </c>
      <c r="L20" s="31">
        <f t="shared" ref="L20:L21" si="37">(J20*$AF$4)+K20</f>
        <v>1.4331199999999999</v>
      </c>
      <c r="M20" s="32">
        <f t="shared" ref="M20:M21" si="38">T20/R20</f>
        <v>1.5491556752677141E-2</v>
      </c>
      <c r="N20" s="33"/>
      <c r="O20" s="32">
        <f t="shared" ca="1" si="26"/>
        <v>0</v>
      </c>
      <c r="P20" s="34">
        <v>0.5</v>
      </c>
      <c r="Q20" s="34">
        <f t="shared" si="27"/>
        <v>0.57499999999999996</v>
      </c>
      <c r="R20" s="35">
        <f t="shared" si="28"/>
        <v>110.63574999999999</v>
      </c>
      <c r="S20" s="35">
        <f t="shared" ca="1" si="29"/>
        <v>0</v>
      </c>
      <c r="T20" s="35">
        <f t="shared" si="30"/>
        <v>1.7139199999999999</v>
      </c>
      <c r="U20" s="35">
        <f t="shared" ref="U20:U21" ca="1" si="39">R20+S20+T20</f>
        <v>112.34966999999999</v>
      </c>
      <c r="V20" s="35">
        <v>6000</v>
      </c>
      <c r="W20" s="36">
        <v>8.1299999999999997E-2</v>
      </c>
      <c r="X20" s="37"/>
      <c r="Y20" s="35"/>
      <c r="Z20" s="38">
        <f t="shared" si="3"/>
        <v>8.1299999999999997E-2</v>
      </c>
      <c r="AA20" s="39">
        <f t="shared" si="4"/>
        <v>487.8</v>
      </c>
      <c r="AB20" s="39">
        <f t="shared" ca="1" si="5"/>
        <v>485.58289045454535</v>
      </c>
      <c r="AC20" s="39">
        <f t="shared" ca="1" si="8"/>
        <v>4914.2674395454542</v>
      </c>
      <c r="AD20" s="40">
        <f t="shared" ca="1" si="6"/>
        <v>0.81904457325757574</v>
      </c>
      <c r="AE20" s="41"/>
      <c r="AF20" s="41"/>
      <c r="AG20" s="45"/>
      <c r="AH20" s="43"/>
      <c r="AI20" s="43"/>
      <c r="AJ20" s="44"/>
      <c r="AK20" s="44"/>
    </row>
    <row r="21" spans="1:37" ht="37.5" customHeight="1">
      <c r="A21" s="25"/>
      <c r="B21" s="47" t="s">
        <v>62</v>
      </c>
      <c r="C21" s="26" t="s">
        <v>39</v>
      </c>
      <c r="D21" s="27">
        <v>23</v>
      </c>
      <c r="E21" s="27">
        <v>24</v>
      </c>
      <c r="F21" s="27">
        <v>5</v>
      </c>
      <c r="G21" s="27">
        <f t="shared" si="32"/>
        <v>2760</v>
      </c>
      <c r="H21" s="28">
        <f t="shared" si="33"/>
        <v>2.7599999999999999E-3</v>
      </c>
      <c r="I21" s="29">
        <f t="shared" si="34"/>
        <v>362.31884057971018</v>
      </c>
      <c r="J21" s="30">
        <f t="shared" si="35"/>
        <v>0.22079999999999997</v>
      </c>
      <c r="K21" s="31">
        <f t="shared" si="36"/>
        <v>74.52</v>
      </c>
      <c r="L21" s="31">
        <f t="shared" si="37"/>
        <v>380.32799999999992</v>
      </c>
      <c r="M21" s="32">
        <f t="shared" si="38"/>
        <v>0.12688953180611617</v>
      </c>
      <c r="N21" s="33">
        <v>286</v>
      </c>
      <c r="O21" s="32">
        <f t="shared" ca="1" si="26"/>
        <v>0</v>
      </c>
      <c r="P21" s="34">
        <v>16.2</v>
      </c>
      <c r="Q21" s="34">
        <f t="shared" si="27"/>
        <v>18.63</v>
      </c>
      <c r="R21" s="35">
        <f t="shared" si="28"/>
        <v>3584.5982999999997</v>
      </c>
      <c r="S21" s="35">
        <f t="shared" ca="1" si="29"/>
        <v>0</v>
      </c>
      <c r="T21" s="35">
        <f t="shared" si="30"/>
        <v>454.8479999999999</v>
      </c>
      <c r="U21" s="35">
        <f t="shared" ca="1" si="39"/>
        <v>4039.4462999999996</v>
      </c>
      <c r="V21" s="35">
        <v>19900</v>
      </c>
      <c r="W21" s="36">
        <v>8.1299999999999997E-2</v>
      </c>
      <c r="X21" s="37"/>
      <c r="Y21" s="35">
        <v>3113</v>
      </c>
      <c r="Z21" s="38">
        <f t="shared" si="3"/>
        <v>0.2377321608040201</v>
      </c>
      <c r="AA21" s="39">
        <f t="shared" si="4"/>
        <v>4730.87</v>
      </c>
      <c r="AB21" s="39">
        <f t="shared" ca="1" si="5"/>
        <v>941.49207909090887</v>
      </c>
      <c r="AC21" s="39">
        <f t="shared" ca="1" si="8"/>
        <v>10188.191620909092</v>
      </c>
      <c r="AD21" s="40">
        <f t="shared" ca="1" si="6"/>
        <v>0.51196942818638658</v>
      </c>
      <c r="AE21" s="41" t="s">
        <v>63</v>
      </c>
      <c r="AF21" s="41"/>
      <c r="AG21" s="45">
        <v>1.7000000000000001E-2</v>
      </c>
      <c r="AH21" s="43"/>
      <c r="AI21" s="43"/>
      <c r="AJ21" s="44"/>
      <c r="AK21" s="44"/>
    </row>
    <row r="22" spans="1:37" ht="37.5" customHeight="1">
      <c r="A22" s="25"/>
      <c r="B22" s="47" t="s">
        <v>64</v>
      </c>
      <c r="C22" s="26"/>
      <c r="D22" s="27"/>
      <c r="E22" s="27"/>
      <c r="F22" s="27"/>
      <c r="G22" s="27"/>
      <c r="H22" s="28"/>
      <c r="I22" s="29"/>
      <c r="J22" s="30"/>
      <c r="K22" s="31"/>
      <c r="L22" s="31"/>
      <c r="M22" s="32"/>
      <c r="N22" s="33"/>
      <c r="O22" s="32"/>
      <c r="P22" s="34">
        <f>P21*2</f>
        <v>32.4</v>
      </c>
      <c r="Q22" s="34">
        <f t="shared" si="27"/>
        <v>37.26</v>
      </c>
      <c r="R22" s="35"/>
      <c r="S22" s="25"/>
      <c r="T22" s="35"/>
      <c r="U22" s="35">
        <f ca="1">U21*2</f>
        <v>8078.8925999999992</v>
      </c>
      <c r="V22" s="35">
        <v>36700</v>
      </c>
      <c r="W22" s="36">
        <v>8.1299999999999997E-2</v>
      </c>
      <c r="X22" s="37"/>
      <c r="Y22" s="35">
        <v>3113</v>
      </c>
      <c r="Z22" s="38">
        <f t="shared" si="3"/>
        <v>0.16612288828337873</v>
      </c>
      <c r="AA22" s="39">
        <f t="shared" si="4"/>
        <v>6096.7099999999991</v>
      </c>
      <c r="AB22" s="39">
        <f t="shared" si="5"/>
        <v>2726.6926363636362</v>
      </c>
      <c r="AC22" s="39">
        <f t="shared" ca="1" si="8"/>
        <v>19797.704763636364</v>
      </c>
      <c r="AD22" s="40">
        <f t="shared" ca="1" si="6"/>
        <v>0.53944699628436954</v>
      </c>
      <c r="AE22" s="41"/>
      <c r="AF22" s="41"/>
      <c r="AG22" s="45"/>
      <c r="AH22" s="43"/>
      <c r="AI22" s="43"/>
      <c r="AJ22" s="44"/>
      <c r="AK22" s="44"/>
    </row>
    <row r="23" spans="1:37" ht="37.5" customHeight="1">
      <c r="A23" s="25"/>
      <c r="B23" s="47" t="s">
        <v>61</v>
      </c>
      <c r="C23" s="26" t="s">
        <v>39</v>
      </c>
      <c r="D23" s="27">
        <v>13</v>
      </c>
      <c r="E23" s="27">
        <v>8</v>
      </c>
      <c r="F23" s="27">
        <v>0.1</v>
      </c>
      <c r="G23" s="27">
        <f t="shared" ref="G23:G28" si="40">PRODUCT(D23*E23*F23)</f>
        <v>10.4</v>
      </c>
      <c r="H23" s="28">
        <f t="shared" ref="H23:H28" si="41">G23/1000000</f>
        <v>1.04E-5</v>
      </c>
      <c r="I23" s="29">
        <f t="shared" ref="I23:I28" si="42">1/H23</f>
        <v>96153.846153846156</v>
      </c>
      <c r="J23" s="30">
        <f t="shared" ref="J23:J28" si="43">80/I23</f>
        <v>8.3199999999999995E-4</v>
      </c>
      <c r="K23" s="31">
        <f t="shared" ref="K23:K28" si="44">27000/I23</f>
        <v>0.28079999999999999</v>
      </c>
      <c r="L23" s="31">
        <f t="shared" ref="L23:L28" si="45">(J23*$AF$4)+K23</f>
        <v>1.4331199999999999</v>
      </c>
      <c r="M23" s="32">
        <f t="shared" ref="M23:M28" si="46">T23/R23</f>
        <v>1.5491556752677141E-2</v>
      </c>
      <c r="N23" s="33"/>
      <c r="O23" s="32">
        <f ca="1">SUMIF($AE$6:$AG$30,$A23,$AG$6:$AG$30)</f>
        <v>0</v>
      </c>
      <c r="P23" s="34">
        <v>0.5</v>
      </c>
      <c r="Q23" s="34">
        <f t="shared" si="27"/>
        <v>0.57499999999999996</v>
      </c>
      <c r="R23" s="35">
        <f t="shared" ref="R23:R28" si="47">Q23*$AE$4</f>
        <v>110.63574999999999</v>
      </c>
      <c r="S23" s="35">
        <f t="shared" ref="S23:S28" ca="1" si="48">R23*O23</f>
        <v>0</v>
      </c>
      <c r="T23" s="35">
        <f t="shared" ref="T23:T25" si="49">L23+K23</f>
        <v>1.7139199999999999</v>
      </c>
      <c r="U23" s="35">
        <f ca="1">R23+S23+T23</f>
        <v>112.34966999999999</v>
      </c>
      <c r="V23" s="35">
        <v>6000</v>
      </c>
      <c r="W23" s="36">
        <v>8.1299999999999997E-2</v>
      </c>
      <c r="X23" s="37"/>
      <c r="Y23" s="35"/>
      <c r="Z23" s="38">
        <f t="shared" si="3"/>
        <v>8.1299999999999997E-2</v>
      </c>
      <c r="AA23" s="39">
        <f t="shared" si="4"/>
        <v>487.8</v>
      </c>
      <c r="AB23" s="39">
        <f t="shared" ca="1" si="5"/>
        <v>485.58289045454535</v>
      </c>
      <c r="AC23" s="39">
        <f t="shared" ca="1" si="8"/>
        <v>4914.2674395454542</v>
      </c>
      <c r="AD23" s="40">
        <f t="shared" ca="1" si="6"/>
        <v>0.81904457325757574</v>
      </c>
      <c r="AE23" s="41"/>
      <c r="AF23" s="41"/>
      <c r="AG23" s="45"/>
      <c r="AH23" s="43"/>
      <c r="AI23" s="43"/>
      <c r="AJ23" s="44"/>
      <c r="AK23" s="44"/>
    </row>
    <row r="24" spans="1:37" ht="37.5" customHeight="1">
      <c r="A24" s="25"/>
      <c r="B24" s="48" t="s">
        <v>65</v>
      </c>
      <c r="C24" s="26" t="s">
        <v>39</v>
      </c>
      <c r="D24" s="27">
        <v>18</v>
      </c>
      <c r="E24" s="27">
        <v>18</v>
      </c>
      <c r="F24" s="27">
        <v>3</v>
      </c>
      <c r="G24" s="27">
        <f t="shared" si="40"/>
        <v>972</v>
      </c>
      <c r="H24" s="28">
        <f t="shared" si="41"/>
        <v>9.7199999999999999E-4</v>
      </c>
      <c r="I24" s="29">
        <f t="shared" si="42"/>
        <v>1028.80658436214</v>
      </c>
      <c r="J24" s="30">
        <f t="shared" si="43"/>
        <v>7.7759999999999996E-2</v>
      </c>
      <c r="K24" s="31">
        <f t="shared" si="44"/>
        <v>26.243999999999996</v>
      </c>
      <c r="L24" s="31">
        <f t="shared" si="45"/>
        <v>133.94159999999999</v>
      </c>
      <c r="M24" s="32">
        <f t="shared" si="46"/>
        <v>0.12065539393912005</v>
      </c>
      <c r="N24" s="33">
        <v>176</v>
      </c>
      <c r="O24" s="32">
        <v>1.7000000000000001E-2</v>
      </c>
      <c r="P24" s="34">
        <v>6</v>
      </c>
      <c r="Q24" s="34">
        <f t="shared" si="27"/>
        <v>6.8999999999999995</v>
      </c>
      <c r="R24" s="35">
        <f t="shared" si="47"/>
        <v>1327.6289999999999</v>
      </c>
      <c r="S24" s="35">
        <f t="shared" si="48"/>
        <v>22.569693000000001</v>
      </c>
      <c r="T24" s="35">
        <f t="shared" si="49"/>
        <v>160.18559999999999</v>
      </c>
      <c r="U24" s="35">
        <f ca="1">(R24+S24+T24)*2+(U26*2)</f>
        <v>3464.7371859999994</v>
      </c>
      <c r="V24" s="35">
        <v>12900</v>
      </c>
      <c r="W24" s="36">
        <v>8.1299999999999997E-2</v>
      </c>
      <c r="X24" s="37"/>
      <c r="Y24" s="35">
        <v>3003</v>
      </c>
      <c r="Z24" s="38">
        <f t="shared" si="3"/>
        <v>0.31409069767441861</v>
      </c>
      <c r="AA24" s="39">
        <f t="shared" si="4"/>
        <v>4051.77</v>
      </c>
      <c r="AB24" s="39">
        <f t="shared" si="5"/>
        <v>612.3060034272728</v>
      </c>
      <c r="AC24" s="39">
        <f t="shared" ca="1" si="8"/>
        <v>4771.1868105727281</v>
      </c>
      <c r="AD24" s="40">
        <f t="shared" ca="1" si="6"/>
        <v>0.36985944268005644</v>
      </c>
      <c r="AE24" s="41" t="s">
        <v>66</v>
      </c>
      <c r="AF24" s="41"/>
      <c r="AG24" s="45">
        <v>2.1000000000000001E-2</v>
      </c>
      <c r="AH24" s="43"/>
      <c r="AI24" s="43"/>
      <c r="AJ24" s="44"/>
      <c r="AK24" s="44"/>
    </row>
    <row r="25" spans="1:37" ht="37.5" customHeight="1">
      <c r="A25" s="25"/>
      <c r="B25" s="48" t="s">
        <v>67</v>
      </c>
      <c r="C25" s="26" t="s">
        <v>39</v>
      </c>
      <c r="D25" s="27">
        <v>18</v>
      </c>
      <c r="E25" s="27">
        <v>18</v>
      </c>
      <c r="F25" s="27">
        <v>3</v>
      </c>
      <c r="G25" s="27">
        <f t="shared" si="40"/>
        <v>972</v>
      </c>
      <c r="H25" s="28">
        <f t="shared" si="41"/>
        <v>9.7199999999999999E-4</v>
      </c>
      <c r="I25" s="29">
        <f t="shared" si="42"/>
        <v>1028.80658436214</v>
      </c>
      <c r="J25" s="30">
        <f t="shared" si="43"/>
        <v>7.7759999999999996E-2</v>
      </c>
      <c r="K25" s="31">
        <f t="shared" si="44"/>
        <v>26.243999999999996</v>
      </c>
      <c r="L25" s="31">
        <f t="shared" si="45"/>
        <v>133.94159999999999</v>
      </c>
      <c r="M25" s="32">
        <f t="shared" si="46"/>
        <v>0.12065539393912005</v>
      </c>
      <c r="N25" s="33">
        <v>176</v>
      </c>
      <c r="O25" s="32">
        <v>1.7000000000000001E-2</v>
      </c>
      <c r="P25" s="34">
        <v>6</v>
      </c>
      <c r="Q25" s="34">
        <f t="shared" si="27"/>
        <v>6.8999999999999995</v>
      </c>
      <c r="R25" s="35">
        <f t="shared" si="47"/>
        <v>1327.6289999999999</v>
      </c>
      <c r="S25" s="35">
        <f t="shared" si="48"/>
        <v>22.569693000000001</v>
      </c>
      <c r="T25" s="35">
        <f t="shared" si="49"/>
        <v>160.18559999999999</v>
      </c>
      <c r="U25" s="35">
        <f ca="1">R25+S25+T25+U26</f>
        <v>1732.3685929999997</v>
      </c>
      <c r="V25" s="35">
        <v>12900</v>
      </c>
      <c r="W25" s="36">
        <v>8.1299999999999997E-2</v>
      </c>
      <c r="X25" s="37"/>
      <c r="Y25" s="35">
        <v>3003</v>
      </c>
      <c r="Z25" s="38">
        <f t="shared" si="3"/>
        <v>0.31409069767441861</v>
      </c>
      <c r="AA25" s="39">
        <f t="shared" si="4"/>
        <v>4051.77</v>
      </c>
      <c r="AB25" s="39">
        <f t="shared" si="5"/>
        <v>612.3060034272728</v>
      </c>
      <c r="AC25" s="39">
        <f t="shared" ca="1" si="8"/>
        <v>6503.5554035727273</v>
      </c>
      <c r="AD25" s="40">
        <f t="shared" ca="1" si="6"/>
        <v>0.50415158167230445</v>
      </c>
      <c r="AE25" s="41"/>
      <c r="AF25" s="41"/>
      <c r="AG25" s="45"/>
      <c r="AH25" s="43"/>
      <c r="AI25" s="43"/>
      <c r="AJ25" s="44"/>
      <c r="AK25" s="44"/>
    </row>
    <row r="26" spans="1:37" ht="37.5" customHeight="1">
      <c r="A26" s="25"/>
      <c r="B26" s="48" t="s">
        <v>68</v>
      </c>
      <c r="C26" s="26" t="s">
        <v>39</v>
      </c>
      <c r="D26" s="27">
        <v>12</v>
      </c>
      <c r="E26" s="27">
        <v>22</v>
      </c>
      <c r="F26" s="27">
        <v>0.1</v>
      </c>
      <c r="G26" s="27">
        <f t="shared" si="40"/>
        <v>26.400000000000002</v>
      </c>
      <c r="H26" s="28">
        <f t="shared" si="41"/>
        <v>2.6400000000000001E-5</v>
      </c>
      <c r="I26" s="29">
        <f t="shared" si="42"/>
        <v>37878.78787878788</v>
      </c>
      <c r="J26" s="30">
        <f t="shared" si="43"/>
        <v>2.1119999999999997E-3</v>
      </c>
      <c r="K26" s="31">
        <f t="shared" si="44"/>
        <v>0.71279999999999999</v>
      </c>
      <c r="L26" s="31">
        <f t="shared" si="45"/>
        <v>3.6379199999999998</v>
      </c>
      <c r="M26" s="32">
        <f t="shared" si="46"/>
        <v>3.2213818770153411E-3</v>
      </c>
      <c r="N26" s="33"/>
      <c r="O26" s="32">
        <f t="shared" ref="O26:O28" ca="1" si="50">SUMIF($AE$6:$AG$30,$A26,$AG$6:$AG$30)</f>
        <v>0</v>
      </c>
      <c r="P26" s="34">
        <v>1</v>
      </c>
      <c r="Q26" s="34">
        <f t="shared" si="27"/>
        <v>1.1499999999999999</v>
      </c>
      <c r="R26" s="35">
        <f t="shared" si="47"/>
        <v>221.27149999999997</v>
      </c>
      <c r="S26" s="35">
        <f t="shared" ca="1" si="48"/>
        <v>0</v>
      </c>
      <c r="T26" s="35">
        <f>K26</f>
        <v>0.71279999999999999</v>
      </c>
      <c r="U26" s="35">
        <f t="shared" ref="U26:U28" ca="1" si="51">R26+S26+T26</f>
        <v>221.98429999999996</v>
      </c>
      <c r="V26" s="35"/>
      <c r="W26" s="36">
        <v>8.1299999999999997E-2</v>
      </c>
      <c r="X26" s="37"/>
      <c r="Y26" s="35"/>
      <c r="Z26" s="38" t="e">
        <f t="shared" si="3"/>
        <v>#DIV/0!</v>
      </c>
      <c r="AA26" s="39" t="e">
        <f t="shared" si="4"/>
        <v>#DIV/0!</v>
      </c>
      <c r="AB26" s="39" t="e">
        <f t="shared" ca="1" si="5"/>
        <v>#DIV/0!</v>
      </c>
      <c r="AC26" s="39" t="e">
        <f t="shared" ca="1" si="8"/>
        <v>#DIV/0!</v>
      </c>
      <c r="AD26" s="40" t="e">
        <f t="shared" ca="1" si="6"/>
        <v>#DIV/0!</v>
      </c>
      <c r="AE26" s="41"/>
      <c r="AF26" s="41"/>
      <c r="AG26" s="45"/>
      <c r="AH26" s="43"/>
      <c r="AI26" s="43"/>
      <c r="AJ26" s="44"/>
      <c r="AK26" s="44"/>
    </row>
    <row r="27" spans="1:37" ht="37.5" customHeight="1">
      <c r="A27" s="25"/>
      <c r="B27" s="25" t="s">
        <v>69</v>
      </c>
      <c r="C27" s="26" t="s">
        <v>39</v>
      </c>
      <c r="D27" s="27">
        <v>20</v>
      </c>
      <c r="E27" s="27">
        <v>11</v>
      </c>
      <c r="F27" s="27">
        <v>11</v>
      </c>
      <c r="G27" s="27">
        <f t="shared" si="40"/>
        <v>2420</v>
      </c>
      <c r="H27" s="28">
        <f t="shared" si="41"/>
        <v>2.4199999999999998E-3</v>
      </c>
      <c r="I27" s="29">
        <f t="shared" si="42"/>
        <v>413.22314049586777</v>
      </c>
      <c r="J27" s="30">
        <f t="shared" si="43"/>
        <v>0.19359999999999999</v>
      </c>
      <c r="K27" s="31">
        <f t="shared" si="44"/>
        <v>65.34</v>
      </c>
      <c r="L27" s="31">
        <f t="shared" si="45"/>
        <v>333.476</v>
      </c>
      <c r="M27" s="32">
        <f t="shared" si="46"/>
        <v>6.2582744627201342E-2</v>
      </c>
      <c r="N27" s="33">
        <v>176</v>
      </c>
      <c r="O27" s="32">
        <f t="shared" ca="1" si="50"/>
        <v>0</v>
      </c>
      <c r="P27" s="34">
        <v>28.8</v>
      </c>
      <c r="Q27" s="34">
        <f t="shared" si="27"/>
        <v>33.119999999999997</v>
      </c>
      <c r="R27" s="35">
        <f t="shared" si="47"/>
        <v>6372.6191999999992</v>
      </c>
      <c r="S27" s="35">
        <f t="shared" ca="1" si="48"/>
        <v>0</v>
      </c>
      <c r="T27" s="35">
        <f t="shared" ref="T27:T28" si="52">L27+K27</f>
        <v>398.81600000000003</v>
      </c>
      <c r="U27" s="35">
        <f t="shared" ca="1" si="51"/>
        <v>6771.435199999999</v>
      </c>
      <c r="V27" s="35">
        <v>23900</v>
      </c>
      <c r="W27" s="36">
        <v>8.1299999999999997E-2</v>
      </c>
      <c r="X27" s="37"/>
      <c r="Y27" s="35">
        <v>3003</v>
      </c>
      <c r="Z27" s="38">
        <f t="shared" si="3"/>
        <v>0.20694853556485354</v>
      </c>
      <c r="AA27" s="39">
        <f t="shared" si="4"/>
        <v>4946.07</v>
      </c>
      <c r="AB27" s="39">
        <f t="shared" ca="1" si="5"/>
        <v>1016.7243527272726</v>
      </c>
      <c r="AC27" s="39">
        <f t="shared" ca="1" si="8"/>
        <v>11165.770447272727</v>
      </c>
      <c r="AD27" s="40">
        <f t="shared" ca="1" si="6"/>
        <v>0.467187048003043</v>
      </c>
      <c r="AE27" s="41" t="s">
        <v>70</v>
      </c>
      <c r="AF27" s="41"/>
      <c r="AG27" s="45">
        <v>0.08</v>
      </c>
      <c r="AH27" s="43"/>
      <c r="AI27" s="43"/>
      <c r="AJ27" s="44"/>
      <c r="AK27" s="44"/>
    </row>
    <row r="28" spans="1:37" ht="36" customHeight="1">
      <c r="A28" s="25"/>
      <c r="B28" s="25" t="s">
        <v>71</v>
      </c>
      <c r="C28" s="26" t="s">
        <v>39</v>
      </c>
      <c r="D28" s="27">
        <v>20</v>
      </c>
      <c r="E28" s="27">
        <v>11</v>
      </c>
      <c r="F28" s="27">
        <v>11</v>
      </c>
      <c r="G28" s="27">
        <f t="shared" si="40"/>
        <v>2420</v>
      </c>
      <c r="H28" s="28">
        <f t="shared" si="41"/>
        <v>2.4199999999999998E-3</v>
      </c>
      <c r="I28" s="29">
        <f t="shared" si="42"/>
        <v>413.22314049586777</v>
      </c>
      <c r="J28" s="30">
        <f t="shared" si="43"/>
        <v>0.19359999999999999</v>
      </c>
      <c r="K28" s="31">
        <f t="shared" si="44"/>
        <v>65.34</v>
      </c>
      <c r="L28" s="31">
        <f t="shared" si="45"/>
        <v>333.476</v>
      </c>
      <c r="M28" s="32">
        <f t="shared" si="46"/>
        <v>5.224298681922894E-2</v>
      </c>
      <c r="N28" s="33">
        <v>176</v>
      </c>
      <c r="O28" s="32">
        <f t="shared" ca="1" si="50"/>
        <v>0</v>
      </c>
      <c r="P28" s="34">
        <v>34.5</v>
      </c>
      <c r="Q28" s="34">
        <f t="shared" si="27"/>
        <v>39.674999999999997</v>
      </c>
      <c r="R28" s="35">
        <f t="shared" si="47"/>
        <v>7633.8667499999992</v>
      </c>
      <c r="S28" s="35">
        <f t="shared" ca="1" si="48"/>
        <v>0</v>
      </c>
      <c r="T28" s="35">
        <f t="shared" si="52"/>
        <v>398.81600000000003</v>
      </c>
      <c r="U28" s="35">
        <f t="shared" ca="1" si="51"/>
        <v>8032.682749999999</v>
      </c>
      <c r="V28" s="35">
        <v>33900</v>
      </c>
      <c r="W28" s="36">
        <v>8.1299999999999997E-2</v>
      </c>
      <c r="X28" s="37"/>
      <c r="Y28" s="35">
        <v>3003</v>
      </c>
      <c r="Z28" s="38">
        <f t="shared" si="3"/>
        <v>0.16988407079646017</v>
      </c>
      <c r="AA28" s="39">
        <f t="shared" si="4"/>
        <v>5759.07</v>
      </c>
      <c r="AB28" s="39">
        <f t="shared" ca="1" si="5"/>
        <v>1718.3905068181821</v>
      </c>
      <c r="AC28" s="39">
        <f t="shared" ca="1" si="8"/>
        <v>18389.856743181819</v>
      </c>
      <c r="AD28" s="40">
        <f t="shared" ca="1" si="6"/>
        <v>0.54247365024135163</v>
      </c>
    </row>
    <row r="29" spans="1:37" ht="12.75">
      <c r="D29" s="49"/>
      <c r="E29" s="49"/>
      <c r="F29" s="49"/>
      <c r="G29" s="49"/>
      <c r="H29" s="50"/>
    </row>
    <row r="30" spans="1:37" ht="12.75">
      <c r="D30" s="49"/>
      <c r="E30" s="49"/>
      <c r="F30" s="49"/>
      <c r="G30" s="49"/>
      <c r="H30" s="50"/>
      <c r="I30" s="51"/>
    </row>
    <row r="31" spans="1:37" ht="12.75">
      <c r="D31" s="49"/>
      <c r="E31" s="49"/>
      <c r="F31" s="49"/>
      <c r="G31" s="49"/>
      <c r="H31" s="50"/>
      <c r="I31" s="51"/>
    </row>
    <row r="32" spans="1:37" ht="12.75">
      <c r="D32" s="49"/>
      <c r="E32" s="49"/>
      <c r="F32" s="49"/>
      <c r="G32" s="49"/>
      <c r="H32" s="50"/>
      <c r="I32" s="51"/>
    </row>
    <row r="33" spans="1:37" ht="37.5" customHeight="1">
      <c r="A33" s="52"/>
      <c r="B33" s="52"/>
      <c r="C33" s="52"/>
      <c r="D33" s="53"/>
      <c r="E33" s="53"/>
      <c r="F33" s="53"/>
      <c r="G33" s="53"/>
      <c r="H33" s="54"/>
      <c r="I33" s="55"/>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37.5" customHeight="1">
      <c r="A34" s="52"/>
      <c r="B34" s="52"/>
      <c r="C34" s="52"/>
      <c r="D34" s="53"/>
      <c r="E34" s="53"/>
      <c r="F34" s="53"/>
      <c r="G34" s="53"/>
      <c r="H34" s="54"/>
      <c r="I34" s="55"/>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37.5" customHeight="1">
      <c r="A35" s="52"/>
      <c r="B35" s="52"/>
      <c r="C35" s="52"/>
      <c r="D35" s="53"/>
      <c r="E35" s="53"/>
      <c r="F35" s="53"/>
      <c r="G35" s="53"/>
      <c r="H35" s="54"/>
      <c r="I35" s="55"/>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37.5" customHeight="1">
      <c r="A36" s="52"/>
      <c r="B36" s="52"/>
      <c r="C36" s="52"/>
      <c r="D36" s="53"/>
      <c r="E36" s="53"/>
      <c r="F36" s="53"/>
      <c r="G36" s="53"/>
      <c r="H36" s="54"/>
      <c r="I36" s="55"/>
      <c r="J36" s="52"/>
      <c r="K36" s="52"/>
      <c r="L36" s="52"/>
      <c r="M36" s="52"/>
      <c r="N36" s="52"/>
      <c r="O36" s="52"/>
      <c r="P36" s="52"/>
      <c r="Q36" s="52"/>
      <c r="R36" s="52"/>
      <c r="S36" s="52"/>
      <c r="T36" s="52"/>
      <c r="U36" s="52"/>
      <c r="V36" s="52"/>
      <c r="W36" s="56"/>
      <c r="X36" s="52"/>
      <c r="Y36" s="52"/>
      <c r="Z36" s="52"/>
      <c r="AA36" s="52"/>
      <c r="AB36" s="52"/>
      <c r="AC36" s="52"/>
      <c r="AD36" s="57"/>
      <c r="AE36" s="3"/>
      <c r="AF36" s="58"/>
      <c r="AG36" s="4"/>
      <c r="AH36" s="58"/>
      <c r="AI36" s="4"/>
      <c r="AJ36" s="4"/>
      <c r="AK36" s="4"/>
    </row>
    <row r="37" spans="1:37" ht="37.5" customHeight="1">
      <c r="A37" s="52"/>
      <c r="B37" s="52"/>
      <c r="C37" s="52"/>
      <c r="D37" s="53"/>
      <c r="E37" s="53"/>
      <c r="F37" s="53"/>
      <c r="G37" s="53"/>
      <c r="H37" s="54"/>
      <c r="I37" s="55"/>
      <c r="J37" s="52"/>
      <c r="K37" s="52"/>
      <c r="L37" s="52"/>
      <c r="M37" s="52"/>
      <c r="N37" s="52"/>
      <c r="O37" s="52"/>
      <c r="P37" s="52"/>
      <c r="Q37" s="52"/>
      <c r="R37" s="52"/>
      <c r="S37" s="52"/>
      <c r="T37" s="52"/>
      <c r="U37" s="52"/>
      <c r="V37" s="52"/>
      <c r="W37" s="56"/>
      <c r="X37" s="52"/>
      <c r="Y37" s="52"/>
      <c r="Z37" s="52"/>
      <c r="AA37" s="52"/>
      <c r="AB37" s="52"/>
      <c r="AC37" s="52"/>
      <c r="AD37" s="57"/>
      <c r="AE37" s="3"/>
      <c r="AF37" s="58"/>
      <c r="AG37" s="4"/>
      <c r="AH37" s="58"/>
      <c r="AI37" s="4"/>
      <c r="AJ37" s="4"/>
      <c r="AK37" s="4"/>
    </row>
    <row r="38" spans="1:37" ht="37.5" customHeight="1">
      <c r="A38" s="52"/>
      <c r="B38" s="52"/>
      <c r="C38" s="52"/>
      <c r="D38" s="53"/>
      <c r="E38" s="53"/>
      <c r="F38" s="53"/>
      <c r="G38" s="53"/>
      <c r="H38" s="54"/>
      <c r="I38" s="55"/>
      <c r="J38" s="52"/>
      <c r="K38" s="52"/>
      <c r="L38" s="52"/>
      <c r="M38" s="52"/>
      <c r="N38" s="52"/>
      <c r="O38" s="52"/>
      <c r="P38" s="52"/>
      <c r="Q38" s="52"/>
      <c r="R38" s="52"/>
      <c r="S38" s="52"/>
      <c r="T38" s="52"/>
      <c r="U38" s="52"/>
      <c r="V38" s="52"/>
      <c r="W38" s="56"/>
      <c r="X38" s="52"/>
      <c r="Y38" s="52"/>
      <c r="Z38" s="52"/>
      <c r="AA38" s="52"/>
      <c r="AB38" s="52"/>
      <c r="AC38" s="52"/>
      <c r="AD38" s="57"/>
      <c r="AE38" s="3"/>
      <c r="AF38" s="58"/>
      <c r="AG38" s="4"/>
      <c r="AH38" s="58"/>
      <c r="AI38" s="4"/>
      <c r="AJ38" s="4"/>
      <c r="AK38" s="4"/>
    </row>
    <row r="39" spans="1:37" ht="14.25">
      <c r="A39" s="52"/>
      <c r="B39" s="52"/>
      <c r="C39" s="52"/>
      <c r="D39" s="53"/>
      <c r="E39" s="53"/>
      <c r="F39" s="53"/>
      <c r="G39" s="53"/>
      <c r="H39" s="54"/>
      <c r="I39" s="55"/>
      <c r="J39" s="52"/>
      <c r="K39" s="52"/>
      <c r="L39" s="52"/>
      <c r="M39" s="52"/>
      <c r="N39" s="52"/>
      <c r="O39" s="52"/>
      <c r="P39" s="52"/>
      <c r="Q39" s="52"/>
      <c r="R39" s="52"/>
      <c r="S39" s="52"/>
      <c r="T39" s="52"/>
      <c r="U39" s="52"/>
      <c r="V39" s="52"/>
      <c r="W39" s="56"/>
      <c r="X39" s="52"/>
      <c r="Y39" s="52"/>
      <c r="Z39" s="52"/>
      <c r="AA39" s="52"/>
      <c r="AB39" s="52"/>
      <c r="AC39" s="52"/>
      <c r="AD39" s="57"/>
      <c r="AE39" s="3"/>
      <c r="AF39" s="58"/>
      <c r="AG39" s="4"/>
      <c r="AH39" s="58"/>
      <c r="AI39" s="4"/>
      <c r="AJ39" s="4"/>
      <c r="AK39" s="4"/>
    </row>
    <row r="40" spans="1:37" ht="14.25">
      <c r="A40" s="52"/>
      <c r="B40" s="52"/>
      <c r="C40" s="52"/>
      <c r="D40" s="53"/>
      <c r="E40" s="53"/>
      <c r="F40" s="53"/>
      <c r="G40" s="53"/>
      <c r="H40" s="54"/>
      <c r="I40" s="55"/>
      <c r="J40" s="52"/>
      <c r="K40" s="52"/>
      <c r="L40" s="52"/>
      <c r="M40" s="52"/>
      <c r="N40" s="52"/>
      <c r="O40" s="52"/>
      <c r="P40" s="52"/>
      <c r="Q40" s="52"/>
      <c r="R40" s="52"/>
      <c r="S40" s="52"/>
      <c r="T40" s="52"/>
      <c r="U40" s="52"/>
      <c r="V40" s="52"/>
      <c r="W40" s="56"/>
      <c r="X40" s="52"/>
      <c r="Y40" s="52"/>
      <c r="Z40" s="52"/>
      <c r="AA40" s="52"/>
      <c r="AB40" s="52"/>
      <c r="AC40" s="52"/>
      <c r="AD40" s="57"/>
      <c r="AE40" s="3"/>
      <c r="AF40" s="58"/>
      <c r="AG40" s="4"/>
      <c r="AH40" s="58"/>
      <c r="AI40" s="4"/>
      <c r="AJ40" s="4"/>
      <c r="AK40" s="4"/>
    </row>
    <row r="41" spans="1:37" ht="14.25">
      <c r="A41" s="52"/>
      <c r="B41" s="52"/>
      <c r="C41" s="52"/>
      <c r="D41" s="53"/>
      <c r="E41" s="53"/>
      <c r="F41" s="53"/>
      <c r="G41" s="53"/>
      <c r="H41" s="54"/>
      <c r="I41" s="55"/>
      <c r="J41" s="52"/>
      <c r="K41" s="52"/>
      <c r="L41" s="52"/>
      <c r="M41" s="52"/>
      <c r="N41" s="52"/>
      <c r="O41" s="52"/>
      <c r="P41" s="52"/>
      <c r="Q41" s="52"/>
      <c r="R41" s="52"/>
      <c r="S41" s="52"/>
      <c r="T41" s="52"/>
      <c r="U41" s="52"/>
      <c r="V41" s="52"/>
      <c r="W41" s="56"/>
      <c r="X41" s="52"/>
      <c r="Y41" s="52"/>
      <c r="Z41" s="52"/>
      <c r="AA41" s="52"/>
      <c r="AB41" s="52"/>
      <c r="AC41" s="52"/>
      <c r="AD41" s="57"/>
      <c r="AE41" s="3"/>
      <c r="AF41" s="58"/>
      <c r="AG41" s="4"/>
      <c r="AH41" s="58"/>
      <c r="AI41" s="4"/>
      <c r="AJ41" s="4"/>
      <c r="AK41" s="4"/>
    </row>
    <row r="42" spans="1:37" ht="14.25">
      <c r="A42" s="52"/>
      <c r="B42" s="52"/>
      <c r="C42" s="52"/>
      <c r="D42" s="53"/>
      <c r="E42" s="53"/>
      <c r="F42" s="53"/>
      <c r="G42" s="53"/>
      <c r="H42" s="54"/>
      <c r="I42" s="55"/>
      <c r="J42" s="52"/>
      <c r="K42" s="52"/>
      <c r="L42" s="52"/>
      <c r="M42" s="52"/>
      <c r="N42" s="52"/>
      <c r="O42" s="52"/>
      <c r="P42" s="52"/>
      <c r="Q42" s="52"/>
      <c r="R42" s="52"/>
      <c r="S42" s="52"/>
      <c r="T42" s="52"/>
      <c r="U42" s="52"/>
      <c r="V42" s="52"/>
      <c r="W42" s="56"/>
      <c r="X42" s="52"/>
      <c r="Y42" s="52"/>
      <c r="Z42" s="52"/>
      <c r="AA42" s="52"/>
      <c r="AB42" s="52"/>
      <c r="AC42" s="52"/>
      <c r="AD42" s="57"/>
      <c r="AE42" s="3"/>
      <c r="AF42" s="58"/>
      <c r="AG42" s="4"/>
      <c r="AH42" s="58"/>
      <c r="AI42" s="4"/>
      <c r="AJ42" s="4"/>
      <c r="AK42" s="4"/>
    </row>
    <row r="43" spans="1:37" ht="14.25">
      <c r="A43" s="52"/>
      <c r="B43" s="52"/>
      <c r="C43" s="52"/>
      <c r="D43" s="53"/>
      <c r="E43" s="53"/>
      <c r="F43" s="53"/>
      <c r="G43" s="53"/>
      <c r="H43" s="54"/>
      <c r="I43" s="55"/>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3"/>
      <c r="E44" s="53"/>
      <c r="F44" s="53"/>
      <c r="G44" s="53"/>
      <c r="H44" s="54"/>
      <c r="I44" s="55"/>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3"/>
      <c r="E45" s="53"/>
      <c r="F45" s="53"/>
      <c r="G45" s="53"/>
      <c r="H45" s="54"/>
      <c r="I45" s="55"/>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3"/>
      <c r="E46" s="53"/>
      <c r="F46" s="53"/>
      <c r="G46" s="53"/>
      <c r="H46" s="54"/>
      <c r="I46" s="55"/>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3"/>
      <c r="E47" s="53"/>
      <c r="F47" s="53"/>
      <c r="G47" s="53"/>
      <c r="H47" s="54"/>
      <c r="I47" s="55"/>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3"/>
      <c r="E48" s="53"/>
      <c r="F48" s="53"/>
      <c r="G48" s="53"/>
      <c r="H48" s="54"/>
      <c r="I48" s="55"/>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3"/>
      <c r="E49" s="53"/>
      <c r="F49" s="53"/>
      <c r="G49" s="53"/>
      <c r="H49" s="54"/>
      <c r="I49" s="55"/>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3"/>
      <c r="E50" s="53"/>
      <c r="F50" s="53"/>
      <c r="G50" s="53"/>
      <c r="H50" s="54"/>
      <c r="I50" s="55"/>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3"/>
      <c r="E51" s="53"/>
      <c r="F51" s="53"/>
      <c r="G51" s="53"/>
      <c r="H51" s="54"/>
      <c r="I51" s="55"/>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3"/>
      <c r="E52" s="53"/>
      <c r="F52" s="53"/>
      <c r="G52" s="53"/>
      <c r="H52" s="54"/>
      <c r="I52" s="55"/>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3"/>
      <c r="E53" s="53"/>
      <c r="F53" s="53"/>
      <c r="G53" s="53"/>
      <c r="H53" s="54"/>
      <c r="I53" s="55"/>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3"/>
      <c r="E54" s="53"/>
      <c r="F54" s="53"/>
      <c r="G54" s="53"/>
      <c r="H54" s="54"/>
      <c r="I54" s="55"/>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3"/>
      <c r="E55" s="53"/>
      <c r="F55" s="53"/>
      <c r="G55" s="53"/>
      <c r="H55" s="54"/>
      <c r="I55" s="55"/>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3"/>
      <c r="E56" s="53"/>
      <c r="F56" s="53"/>
      <c r="G56" s="53"/>
      <c r="H56" s="54"/>
      <c r="I56" s="55"/>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3"/>
      <c r="E57" s="53"/>
      <c r="F57" s="53"/>
      <c r="G57" s="53"/>
      <c r="H57" s="54"/>
      <c r="I57" s="55"/>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3"/>
      <c r="E58" s="53"/>
      <c r="F58" s="53"/>
      <c r="G58" s="53"/>
      <c r="H58" s="54"/>
      <c r="I58" s="55"/>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3"/>
      <c r="E59" s="53"/>
      <c r="F59" s="53"/>
      <c r="G59" s="53"/>
      <c r="H59" s="54"/>
      <c r="I59" s="55"/>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3"/>
      <c r="E60" s="53"/>
      <c r="F60" s="53"/>
      <c r="G60" s="53"/>
      <c r="H60" s="54"/>
      <c r="I60" s="55"/>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3"/>
      <c r="E61" s="53"/>
      <c r="F61" s="53"/>
      <c r="G61" s="53"/>
      <c r="H61" s="54"/>
      <c r="I61" s="55"/>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3"/>
      <c r="E62" s="53"/>
      <c r="F62" s="53"/>
      <c r="G62" s="53"/>
      <c r="H62" s="54"/>
      <c r="I62" s="55"/>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3"/>
      <c r="E63" s="53"/>
      <c r="F63" s="53"/>
      <c r="G63" s="53"/>
      <c r="H63" s="54"/>
      <c r="I63" s="55"/>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3"/>
      <c r="E64" s="53"/>
      <c r="F64" s="53"/>
      <c r="G64" s="53"/>
      <c r="H64" s="54"/>
      <c r="I64" s="55"/>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3"/>
      <c r="E65" s="53"/>
      <c r="F65" s="53"/>
      <c r="G65" s="53"/>
      <c r="H65" s="54"/>
      <c r="I65" s="55"/>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3"/>
      <c r="E66" s="53"/>
      <c r="F66" s="53"/>
      <c r="G66" s="53"/>
      <c r="H66" s="54"/>
      <c r="I66" s="55"/>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3"/>
      <c r="E67" s="53"/>
      <c r="F67" s="53"/>
      <c r="G67" s="53"/>
      <c r="H67" s="54"/>
      <c r="I67" s="55"/>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3"/>
      <c r="E68" s="53"/>
      <c r="F68" s="53"/>
      <c r="G68" s="53"/>
      <c r="H68" s="54"/>
      <c r="I68" s="55"/>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3"/>
      <c r="E69" s="53"/>
      <c r="F69" s="53"/>
      <c r="G69" s="53"/>
      <c r="H69" s="54"/>
      <c r="I69" s="55"/>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3"/>
      <c r="E70" s="53"/>
      <c r="F70" s="53"/>
      <c r="G70" s="53"/>
      <c r="H70" s="54"/>
      <c r="I70" s="55"/>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3"/>
      <c r="E71" s="53"/>
      <c r="F71" s="53"/>
      <c r="G71" s="53"/>
      <c r="H71" s="54"/>
      <c r="I71" s="55"/>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3"/>
      <c r="E72" s="53"/>
      <c r="F72" s="53"/>
      <c r="G72" s="53"/>
      <c r="H72" s="54"/>
      <c r="I72" s="55"/>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3"/>
      <c r="E73" s="53"/>
      <c r="F73" s="53"/>
      <c r="G73" s="53"/>
      <c r="H73" s="54"/>
      <c r="I73" s="55"/>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3"/>
      <c r="E74" s="53"/>
      <c r="F74" s="53"/>
      <c r="G74" s="53"/>
      <c r="H74" s="54"/>
      <c r="I74" s="55"/>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3"/>
      <c r="E75" s="53"/>
      <c r="F75" s="53"/>
      <c r="G75" s="53"/>
      <c r="H75" s="54"/>
      <c r="I75" s="55"/>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3"/>
      <c r="E76" s="53"/>
      <c r="F76" s="53"/>
      <c r="G76" s="53"/>
      <c r="H76" s="54"/>
      <c r="I76" s="55"/>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3"/>
      <c r="E77" s="53"/>
      <c r="F77" s="53"/>
      <c r="G77" s="53"/>
      <c r="H77" s="54"/>
      <c r="I77" s="55"/>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3"/>
      <c r="E78" s="53"/>
      <c r="F78" s="53"/>
      <c r="G78" s="53"/>
      <c r="H78" s="54"/>
      <c r="I78" s="55"/>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3"/>
      <c r="E79" s="53"/>
      <c r="F79" s="53"/>
      <c r="G79" s="53"/>
      <c r="H79" s="54"/>
      <c r="I79" s="55"/>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3"/>
      <c r="E80" s="53"/>
      <c r="F80" s="53"/>
      <c r="G80" s="53"/>
      <c r="H80" s="54"/>
      <c r="I80" s="55"/>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3"/>
      <c r="E81" s="53"/>
      <c r="F81" s="53"/>
      <c r="G81" s="53"/>
      <c r="H81" s="54"/>
      <c r="I81" s="55"/>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3"/>
      <c r="E82" s="53"/>
      <c r="F82" s="53"/>
      <c r="G82" s="53"/>
      <c r="H82" s="54"/>
      <c r="I82" s="55"/>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3"/>
      <c r="E83" s="53"/>
      <c r="F83" s="53"/>
      <c r="G83" s="53"/>
      <c r="H83" s="54"/>
      <c r="I83" s="55"/>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3"/>
      <c r="E84" s="53"/>
      <c r="F84" s="53"/>
      <c r="G84" s="53"/>
      <c r="H84" s="54"/>
      <c r="I84" s="55"/>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3"/>
      <c r="E85" s="53"/>
      <c r="F85" s="53"/>
      <c r="G85" s="53"/>
      <c r="H85" s="54"/>
      <c r="I85" s="55"/>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3"/>
      <c r="E86" s="53"/>
      <c r="F86" s="53"/>
      <c r="G86" s="53"/>
      <c r="H86" s="54"/>
      <c r="I86" s="55"/>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3"/>
      <c r="E87" s="53"/>
      <c r="F87" s="53"/>
      <c r="G87" s="53"/>
      <c r="H87" s="54"/>
      <c r="I87" s="55"/>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3"/>
      <c r="E88" s="53"/>
      <c r="F88" s="53"/>
      <c r="G88" s="53"/>
      <c r="H88" s="54"/>
      <c r="I88" s="55"/>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3"/>
      <c r="E89" s="53"/>
      <c r="F89" s="53"/>
      <c r="G89" s="53"/>
      <c r="H89" s="54"/>
      <c r="I89" s="55"/>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3"/>
      <c r="E90" s="53"/>
      <c r="F90" s="53"/>
      <c r="G90" s="53"/>
      <c r="H90" s="54"/>
      <c r="I90" s="55"/>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3"/>
      <c r="E91" s="53"/>
      <c r="F91" s="53"/>
      <c r="G91" s="53"/>
      <c r="H91" s="54"/>
      <c r="I91" s="55"/>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3"/>
      <c r="E92" s="53"/>
      <c r="F92" s="53"/>
      <c r="G92" s="53"/>
      <c r="H92" s="54"/>
      <c r="I92" s="55"/>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3"/>
      <c r="E93" s="53"/>
      <c r="F93" s="53"/>
      <c r="G93" s="53"/>
      <c r="H93" s="54"/>
      <c r="I93" s="55"/>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3"/>
      <c r="E94" s="53"/>
      <c r="F94" s="53"/>
      <c r="G94" s="53"/>
      <c r="H94" s="54"/>
      <c r="I94" s="55"/>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3"/>
      <c r="E95" s="53"/>
      <c r="F95" s="53"/>
      <c r="G95" s="53"/>
      <c r="H95" s="54"/>
      <c r="I95" s="55"/>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3"/>
      <c r="E96" s="53"/>
      <c r="F96" s="53"/>
      <c r="G96" s="53"/>
      <c r="H96" s="54"/>
      <c r="I96" s="55"/>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3"/>
      <c r="E97" s="53"/>
      <c r="F97" s="53"/>
      <c r="G97" s="53"/>
      <c r="H97" s="54"/>
      <c r="I97" s="55"/>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3"/>
      <c r="E98" s="53"/>
      <c r="F98" s="53"/>
      <c r="G98" s="53"/>
      <c r="H98" s="54"/>
      <c r="I98" s="55"/>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3"/>
      <c r="E99" s="53"/>
      <c r="F99" s="53"/>
      <c r="G99" s="53"/>
      <c r="H99" s="54"/>
      <c r="I99" s="55"/>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4.25">
      <c r="A100" s="52"/>
      <c r="B100" s="52"/>
      <c r="C100" s="52"/>
      <c r="D100" s="53"/>
      <c r="E100" s="53"/>
      <c r="F100" s="53"/>
      <c r="G100" s="53"/>
      <c r="H100" s="54"/>
      <c r="I100" s="55"/>
      <c r="J100" s="52"/>
      <c r="K100" s="52"/>
      <c r="L100" s="52"/>
      <c r="M100" s="52"/>
      <c r="N100" s="52"/>
      <c r="O100" s="52"/>
      <c r="P100" s="52"/>
      <c r="Q100" s="52"/>
      <c r="R100" s="52"/>
      <c r="S100" s="52"/>
      <c r="T100" s="52"/>
      <c r="U100" s="52"/>
      <c r="V100" s="52"/>
      <c r="W100" s="56"/>
      <c r="X100" s="52"/>
      <c r="Y100" s="52"/>
      <c r="Z100" s="52"/>
      <c r="AA100" s="52"/>
      <c r="AB100" s="52"/>
      <c r="AC100" s="52"/>
      <c r="AD100" s="57"/>
      <c r="AE100" s="3"/>
      <c r="AF100" s="3"/>
      <c r="AG100" s="4"/>
      <c r="AH100" s="4"/>
      <c r="AI100" s="4"/>
      <c r="AJ100" s="4"/>
      <c r="AK100" s="4"/>
    </row>
    <row r="101" spans="1:37" ht="14.25">
      <c r="A101" s="52"/>
      <c r="B101" s="52"/>
      <c r="C101" s="52"/>
      <c r="D101" s="53"/>
      <c r="E101" s="53"/>
      <c r="F101" s="53"/>
      <c r="G101" s="53"/>
      <c r="H101" s="54"/>
      <c r="I101" s="55"/>
      <c r="J101" s="52"/>
      <c r="K101" s="52"/>
      <c r="L101" s="52"/>
      <c r="M101" s="52"/>
      <c r="N101" s="52"/>
      <c r="O101" s="52"/>
      <c r="P101" s="52"/>
      <c r="Q101" s="52"/>
      <c r="R101" s="52"/>
      <c r="S101" s="52"/>
      <c r="T101" s="52"/>
      <c r="U101" s="52"/>
      <c r="V101" s="52"/>
      <c r="W101" s="56"/>
      <c r="X101" s="52"/>
      <c r="Y101" s="52"/>
      <c r="Z101" s="52"/>
      <c r="AA101" s="52"/>
      <c r="AB101" s="52"/>
      <c r="AC101" s="52"/>
      <c r="AD101" s="57"/>
      <c r="AE101" s="3"/>
      <c r="AF101" s="3"/>
      <c r="AG101" s="4"/>
      <c r="AH101" s="4"/>
      <c r="AI101" s="4"/>
      <c r="AJ101" s="4"/>
      <c r="AK101" s="4"/>
    </row>
    <row r="102" spans="1:37" ht="14.25">
      <c r="A102" s="52"/>
      <c r="B102" s="52"/>
      <c r="C102" s="52"/>
      <c r="D102" s="53"/>
      <c r="E102" s="53"/>
      <c r="F102" s="53"/>
      <c r="G102" s="53"/>
      <c r="H102" s="54"/>
      <c r="I102" s="55"/>
      <c r="J102" s="52"/>
      <c r="K102" s="52"/>
      <c r="L102" s="52"/>
      <c r="M102" s="52"/>
      <c r="N102" s="52"/>
      <c r="O102" s="52"/>
      <c r="P102" s="52"/>
      <c r="Q102" s="52"/>
      <c r="R102" s="52"/>
      <c r="S102" s="52"/>
      <c r="T102" s="52"/>
      <c r="U102" s="52"/>
      <c r="V102" s="52"/>
      <c r="W102" s="56"/>
      <c r="X102" s="52"/>
      <c r="Y102" s="52"/>
      <c r="Z102" s="52"/>
      <c r="AA102" s="52"/>
      <c r="AB102" s="52"/>
      <c r="AC102" s="52"/>
      <c r="AD102" s="57"/>
      <c r="AE102" s="3"/>
      <c r="AF102" s="3"/>
      <c r="AG102" s="4"/>
      <c r="AH102" s="4"/>
      <c r="AI102" s="4"/>
      <c r="AJ102" s="4"/>
      <c r="AK102" s="4"/>
    </row>
    <row r="103" spans="1:37" ht="14.25">
      <c r="A103" s="52"/>
      <c r="B103" s="52"/>
      <c r="C103" s="52"/>
      <c r="D103" s="53"/>
      <c r="E103" s="53"/>
      <c r="F103" s="53"/>
      <c r="G103" s="53"/>
      <c r="H103" s="54"/>
      <c r="I103" s="55"/>
      <c r="J103" s="52"/>
      <c r="K103" s="52"/>
      <c r="L103" s="52"/>
      <c r="M103" s="52"/>
      <c r="N103" s="52"/>
      <c r="O103" s="52"/>
      <c r="P103" s="52"/>
      <c r="Q103" s="52"/>
      <c r="R103" s="52"/>
      <c r="S103" s="52"/>
      <c r="T103" s="52"/>
      <c r="U103" s="52"/>
      <c r="V103" s="52"/>
      <c r="W103" s="56"/>
      <c r="X103" s="52"/>
      <c r="Y103" s="52"/>
      <c r="Z103" s="52"/>
      <c r="AA103" s="52"/>
      <c r="AB103" s="52"/>
      <c r="AC103" s="52"/>
      <c r="AD103" s="57"/>
      <c r="AE103" s="3"/>
      <c r="AF103" s="3"/>
      <c r="AG103" s="4"/>
      <c r="AH103" s="4"/>
      <c r="AI103" s="4"/>
      <c r="AJ103" s="4"/>
      <c r="AK103" s="4"/>
    </row>
    <row r="104" spans="1:37" ht="14.25">
      <c r="A104" s="52"/>
      <c r="B104" s="52"/>
      <c r="C104" s="52"/>
      <c r="D104" s="53"/>
      <c r="E104" s="53"/>
      <c r="F104" s="53"/>
      <c r="G104" s="53"/>
      <c r="H104" s="54"/>
      <c r="I104" s="55"/>
      <c r="J104" s="52"/>
      <c r="K104" s="52"/>
      <c r="L104" s="52"/>
      <c r="M104" s="52"/>
      <c r="N104" s="52"/>
      <c r="O104" s="52"/>
      <c r="P104" s="52"/>
      <c r="Q104" s="52"/>
      <c r="R104" s="52"/>
      <c r="S104" s="52"/>
      <c r="T104" s="52"/>
      <c r="U104" s="52"/>
      <c r="V104" s="52"/>
      <c r="W104" s="56"/>
      <c r="X104" s="52"/>
      <c r="Y104" s="52"/>
      <c r="Z104" s="52"/>
      <c r="AA104" s="52"/>
      <c r="AB104" s="52"/>
      <c r="AC104" s="52"/>
      <c r="AD104" s="57"/>
      <c r="AE104" s="3"/>
      <c r="AF104" s="3"/>
      <c r="AG104" s="4"/>
      <c r="AH104" s="4"/>
      <c r="AI104" s="4"/>
      <c r="AJ104" s="4"/>
      <c r="AK104" s="4"/>
    </row>
    <row r="105" spans="1:37" ht="14.25">
      <c r="A105" s="52"/>
      <c r="B105" s="52"/>
      <c r="C105" s="52"/>
      <c r="D105" s="53"/>
      <c r="E105" s="53"/>
      <c r="F105" s="53"/>
      <c r="G105" s="53"/>
      <c r="H105" s="54"/>
      <c r="I105" s="55"/>
      <c r="J105" s="52"/>
      <c r="K105" s="52"/>
      <c r="L105" s="52"/>
      <c r="M105" s="52"/>
      <c r="N105" s="52"/>
      <c r="O105" s="52"/>
      <c r="P105" s="52"/>
      <c r="Q105" s="52"/>
      <c r="R105" s="52"/>
      <c r="S105" s="52"/>
      <c r="T105" s="52"/>
      <c r="U105" s="52"/>
      <c r="V105" s="52"/>
      <c r="W105" s="56"/>
      <c r="X105" s="52"/>
      <c r="Y105" s="52"/>
      <c r="Z105" s="52"/>
      <c r="AA105" s="52"/>
      <c r="AB105" s="52"/>
      <c r="AC105" s="52"/>
      <c r="AD105" s="57"/>
      <c r="AE105" s="3"/>
      <c r="AF105" s="3"/>
      <c r="AG105" s="4"/>
      <c r="AH105" s="4"/>
      <c r="AI105" s="4"/>
      <c r="AJ105" s="4"/>
      <c r="AK105" s="4"/>
    </row>
    <row r="106" spans="1:37" ht="14.25">
      <c r="A106" s="52"/>
      <c r="B106" s="52"/>
      <c r="C106" s="52"/>
      <c r="D106" s="53"/>
      <c r="E106" s="53"/>
      <c r="F106" s="53"/>
      <c r="G106" s="53"/>
      <c r="H106" s="54"/>
      <c r="I106" s="55"/>
      <c r="J106" s="52"/>
      <c r="K106" s="52"/>
      <c r="L106" s="52"/>
      <c r="M106" s="52"/>
      <c r="N106" s="52"/>
      <c r="O106" s="52"/>
      <c r="P106" s="52"/>
      <c r="Q106" s="52"/>
      <c r="R106" s="52"/>
      <c r="S106" s="52"/>
      <c r="T106" s="52"/>
      <c r="U106" s="52"/>
      <c r="V106" s="52"/>
      <c r="W106" s="56"/>
      <c r="X106" s="52"/>
      <c r="Y106" s="52"/>
      <c r="Z106" s="52"/>
      <c r="AA106" s="52"/>
      <c r="AB106" s="52"/>
      <c r="AC106" s="52"/>
      <c r="AD106" s="57"/>
      <c r="AE106" s="3"/>
      <c r="AF106" s="3"/>
      <c r="AG106" s="4"/>
      <c r="AH106" s="4"/>
      <c r="AI106" s="4"/>
      <c r="AJ106" s="4"/>
      <c r="AK106" s="4"/>
    </row>
    <row r="107" spans="1:37" ht="12.75">
      <c r="D107" s="49"/>
      <c r="E107" s="49"/>
      <c r="F107" s="49"/>
      <c r="G107" s="49"/>
      <c r="H107" s="50"/>
      <c r="I107" s="51"/>
      <c r="W107" s="59"/>
    </row>
    <row r="108" spans="1:37" ht="12.75">
      <c r="D108" s="49"/>
      <c r="E108" s="49"/>
      <c r="F108" s="49"/>
      <c r="G108" s="49"/>
      <c r="H108" s="50"/>
      <c r="I108" s="51"/>
      <c r="W108" s="59"/>
    </row>
    <row r="109" spans="1:37" ht="12.75">
      <c r="D109" s="49"/>
      <c r="E109" s="49"/>
      <c r="F109" s="49"/>
      <c r="G109" s="49"/>
      <c r="H109" s="50"/>
      <c r="I109" s="51"/>
      <c r="W109" s="59"/>
    </row>
    <row r="110" spans="1:37" ht="12.75">
      <c r="D110" s="49"/>
      <c r="E110" s="49"/>
      <c r="F110" s="49"/>
      <c r="G110" s="49"/>
      <c r="H110" s="50"/>
      <c r="I110" s="51"/>
      <c r="W110" s="59"/>
    </row>
    <row r="111" spans="1:37" ht="12.75">
      <c r="D111" s="49"/>
      <c r="E111" s="49"/>
      <c r="F111" s="49"/>
      <c r="G111" s="49"/>
      <c r="H111" s="50"/>
      <c r="I111" s="51"/>
      <c r="W111" s="59"/>
    </row>
    <row r="112" spans="1:37" ht="12.75">
      <c r="D112" s="49"/>
      <c r="E112" s="49"/>
      <c r="F112" s="49"/>
      <c r="G112" s="49"/>
      <c r="H112" s="50"/>
      <c r="I112" s="51"/>
      <c r="W112" s="59"/>
    </row>
    <row r="113" spans="4:23" ht="12.75">
      <c r="D113" s="49"/>
      <c r="E113" s="49"/>
      <c r="F113" s="49"/>
      <c r="G113" s="49"/>
      <c r="H113" s="50"/>
      <c r="I113" s="51"/>
      <c r="W113" s="59"/>
    </row>
    <row r="114" spans="4:23" ht="12.75">
      <c r="D114" s="49"/>
      <c r="E114" s="49"/>
      <c r="F114" s="49"/>
      <c r="G114" s="49"/>
      <c r="H114" s="50"/>
      <c r="I114" s="51"/>
      <c r="W114" s="59"/>
    </row>
    <row r="115" spans="4:23" ht="12.75">
      <c r="D115" s="49"/>
      <c r="E115" s="49"/>
      <c r="F115" s="49"/>
      <c r="G115" s="49"/>
      <c r="H115" s="50"/>
      <c r="I115" s="51"/>
      <c r="W115" s="59"/>
    </row>
    <row r="116" spans="4:23" ht="12.75">
      <c r="D116" s="49"/>
      <c r="E116" s="49"/>
      <c r="F116" s="49"/>
      <c r="G116" s="49"/>
      <c r="H116" s="50"/>
      <c r="I116" s="51"/>
      <c r="W116" s="59"/>
    </row>
    <row r="117" spans="4:23" ht="12.75">
      <c r="D117" s="49"/>
      <c r="E117" s="49"/>
      <c r="F117" s="49"/>
      <c r="G117" s="49"/>
      <c r="H117" s="50"/>
      <c r="I117" s="51"/>
      <c r="W117" s="59"/>
    </row>
    <row r="118" spans="4:23" ht="12.75">
      <c r="D118" s="49"/>
      <c r="E118" s="49"/>
      <c r="F118" s="49"/>
      <c r="G118" s="49"/>
      <c r="H118" s="50"/>
      <c r="I118" s="51"/>
      <c r="W118" s="59"/>
    </row>
    <row r="119" spans="4:23" ht="12.75">
      <c r="D119" s="49"/>
      <c r="E119" s="49"/>
      <c r="F119" s="49"/>
      <c r="G119" s="49"/>
      <c r="H119" s="50"/>
      <c r="I119" s="51"/>
      <c r="W119" s="59"/>
    </row>
    <row r="120" spans="4:23" ht="12.75">
      <c r="D120" s="49"/>
      <c r="E120" s="49"/>
      <c r="F120" s="49"/>
      <c r="G120" s="49"/>
      <c r="H120" s="50"/>
      <c r="I120" s="51"/>
      <c r="W120" s="59"/>
    </row>
    <row r="121" spans="4:23" ht="12.75">
      <c r="D121" s="49"/>
      <c r="E121" s="49"/>
      <c r="F121" s="49"/>
      <c r="G121" s="49"/>
      <c r="H121" s="50"/>
      <c r="I121" s="51"/>
      <c r="W121" s="59"/>
    </row>
    <row r="122" spans="4:23" ht="12.75">
      <c r="D122" s="49"/>
      <c r="E122" s="49"/>
      <c r="F122" s="49"/>
      <c r="G122" s="49"/>
      <c r="H122" s="50"/>
      <c r="I122" s="51"/>
      <c r="W122" s="59"/>
    </row>
    <row r="123" spans="4:23" ht="12.75">
      <c r="D123" s="49"/>
      <c r="E123" s="49"/>
      <c r="F123" s="49"/>
      <c r="G123" s="49"/>
      <c r="H123" s="50"/>
      <c r="I123" s="51"/>
      <c r="W123" s="59"/>
    </row>
    <row r="124" spans="4:23" ht="12.75">
      <c r="D124" s="49"/>
      <c r="E124" s="49"/>
      <c r="F124" s="49"/>
      <c r="G124" s="49"/>
      <c r="H124" s="50"/>
      <c r="I124" s="51"/>
      <c r="W124" s="59"/>
    </row>
    <row r="125" spans="4:23" ht="12.75">
      <c r="D125" s="49"/>
      <c r="E125" s="49"/>
      <c r="F125" s="49"/>
      <c r="G125" s="49"/>
      <c r="H125" s="50"/>
      <c r="I125" s="51"/>
      <c r="W125" s="59"/>
    </row>
    <row r="126" spans="4:23" ht="12.75">
      <c r="D126" s="49"/>
      <c r="E126" s="49"/>
      <c r="F126" s="49"/>
      <c r="G126" s="49"/>
      <c r="H126" s="50"/>
      <c r="I126" s="51"/>
      <c r="W126" s="59"/>
    </row>
    <row r="127" spans="4:23" ht="12.75">
      <c r="D127" s="49"/>
      <c r="E127" s="49"/>
      <c r="F127" s="49"/>
      <c r="G127" s="49"/>
      <c r="H127" s="50"/>
      <c r="I127" s="51"/>
      <c r="W127" s="59"/>
    </row>
    <row r="128" spans="4:23" ht="12.75">
      <c r="D128" s="49"/>
      <c r="E128" s="49"/>
      <c r="F128" s="49"/>
      <c r="G128" s="49"/>
      <c r="H128" s="50"/>
      <c r="I128" s="51"/>
      <c r="W128" s="59"/>
    </row>
    <row r="129" spans="4:23" ht="12.75">
      <c r="D129" s="49"/>
      <c r="E129" s="49"/>
      <c r="F129" s="49"/>
      <c r="G129" s="49"/>
      <c r="H129" s="50"/>
      <c r="I129" s="51"/>
      <c r="W129" s="59"/>
    </row>
    <row r="130" spans="4:23" ht="12.75">
      <c r="D130" s="49"/>
      <c r="E130" s="49"/>
      <c r="F130" s="49"/>
      <c r="G130" s="49"/>
      <c r="H130" s="50"/>
      <c r="I130" s="51"/>
      <c r="W130" s="59"/>
    </row>
    <row r="131" spans="4:23" ht="12.75">
      <c r="D131" s="49"/>
      <c r="E131" s="49"/>
      <c r="F131" s="49"/>
      <c r="G131" s="49"/>
      <c r="H131" s="50"/>
      <c r="I131" s="51"/>
      <c r="W131" s="59"/>
    </row>
    <row r="132" spans="4:23" ht="12.75">
      <c r="D132" s="49"/>
      <c r="E132" s="49"/>
      <c r="F132" s="49"/>
      <c r="G132" s="49"/>
      <c r="H132" s="50"/>
      <c r="I132" s="51"/>
      <c r="W132" s="59"/>
    </row>
    <row r="133" spans="4:23" ht="12.75">
      <c r="D133" s="49"/>
      <c r="E133" s="49"/>
      <c r="F133" s="49"/>
      <c r="G133" s="49"/>
      <c r="H133" s="50"/>
      <c r="I133" s="51"/>
      <c r="W133" s="59"/>
    </row>
    <row r="134" spans="4:23" ht="12.75">
      <c r="D134" s="49"/>
      <c r="E134" s="49"/>
      <c r="F134" s="49"/>
      <c r="G134" s="49"/>
      <c r="H134" s="50"/>
      <c r="I134" s="51"/>
      <c r="W134" s="59"/>
    </row>
    <row r="135" spans="4:23" ht="12.75">
      <c r="D135" s="49"/>
      <c r="E135" s="49"/>
      <c r="F135" s="49"/>
      <c r="G135" s="49"/>
      <c r="H135" s="50"/>
      <c r="I135" s="51"/>
      <c r="W135" s="59"/>
    </row>
    <row r="136" spans="4:23" ht="12.75">
      <c r="D136" s="49"/>
      <c r="E136" s="49"/>
      <c r="F136" s="49"/>
      <c r="G136" s="49"/>
      <c r="H136" s="50"/>
      <c r="I136" s="51"/>
      <c r="W136" s="59"/>
    </row>
    <row r="137" spans="4:23" ht="12.75">
      <c r="D137" s="49"/>
      <c r="E137" s="49"/>
      <c r="F137" s="49"/>
      <c r="G137" s="49"/>
      <c r="H137" s="50"/>
      <c r="I137" s="51"/>
      <c r="W137" s="59"/>
    </row>
    <row r="138" spans="4:23" ht="12.75">
      <c r="D138" s="49"/>
      <c r="E138" s="49"/>
      <c r="F138" s="49"/>
      <c r="G138" s="49"/>
      <c r="H138" s="50"/>
      <c r="I138" s="51"/>
      <c r="W138" s="59"/>
    </row>
    <row r="139" spans="4:23" ht="12.75">
      <c r="D139" s="49"/>
      <c r="E139" s="49"/>
      <c r="F139" s="49"/>
      <c r="G139" s="49"/>
      <c r="H139" s="50"/>
      <c r="I139" s="51"/>
      <c r="W139" s="59"/>
    </row>
    <row r="140" spans="4:23" ht="12.75">
      <c r="D140" s="49"/>
      <c r="E140" s="49"/>
      <c r="F140" s="49"/>
      <c r="G140" s="49"/>
      <c r="H140" s="50"/>
      <c r="I140" s="51"/>
      <c r="W140" s="59"/>
    </row>
    <row r="141" spans="4:23" ht="12.75">
      <c r="D141" s="49"/>
      <c r="E141" s="49"/>
      <c r="F141" s="49"/>
      <c r="G141" s="49"/>
      <c r="H141" s="50"/>
      <c r="I141" s="51"/>
      <c r="W141" s="59"/>
    </row>
    <row r="142" spans="4:23" ht="12.75">
      <c r="D142" s="49"/>
      <c r="E142" s="49"/>
      <c r="F142" s="49"/>
      <c r="G142" s="49"/>
      <c r="H142" s="50"/>
      <c r="I142" s="51"/>
      <c r="W142" s="59"/>
    </row>
    <row r="143" spans="4:23" ht="12.75">
      <c r="D143" s="49"/>
      <c r="E143" s="49"/>
      <c r="F143" s="49"/>
      <c r="G143" s="49"/>
      <c r="H143" s="50"/>
      <c r="I143" s="51"/>
      <c r="W143" s="59"/>
    </row>
    <row r="144" spans="4:23" ht="12.75">
      <c r="D144" s="49"/>
      <c r="E144" s="49"/>
      <c r="F144" s="49"/>
      <c r="G144" s="49"/>
      <c r="H144" s="50"/>
      <c r="I144" s="51"/>
      <c r="W144" s="59"/>
    </row>
    <row r="145" spans="4:23" ht="12.75">
      <c r="D145" s="49"/>
      <c r="E145" s="49"/>
      <c r="F145" s="49"/>
      <c r="G145" s="49"/>
      <c r="H145" s="50"/>
      <c r="I145" s="51"/>
      <c r="W145" s="59"/>
    </row>
    <row r="146" spans="4:23" ht="12.75">
      <c r="D146" s="49"/>
      <c r="E146" s="49"/>
      <c r="F146" s="49"/>
      <c r="G146" s="49"/>
      <c r="H146" s="50"/>
      <c r="I146" s="51"/>
      <c r="W146" s="59"/>
    </row>
    <row r="147" spans="4:23" ht="12.75">
      <c r="D147" s="49"/>
      <c r="E147" s="49"/>
      <c r="F147" s="49"/>
      <c r="G147" s="49"/>
      <c r="H147" s="50"/>
      <c r="I147" s="51"/>
      <c r="W147" s="59"/>
    </row>
    <row r="148" spans="4:23" ht="12.75">
      <c r="D148" s="49"/>
      <c r="E148" s="49"/>
      <c r="F148" s="49"/>
      <c r="G148" s="49"/>
      <c r="H148" s="50"/>
      <c r="I148" s="51"/>
      <c r="W148" s="59"/>
    </row>
    <row r="149" spans="4:23" ht="12.75">
      <c r="D149" s="49"/>
      <c r="E149" s="49"/>
      <c r="F149" s="49"/>
      <c r="G149" s="49"/>
      <c r="H149" s="50"/>
      <c r="I149" s="51"/>
      <c r="W149" s="59"/>
    </row>
    <row r="150" spans="4:23" ht="12.75">
      <c r="D150" s="49"/>
      <c r="E150" s="49"/>
      <c r="F150" s="49"/>
      <c r="G150" s="49"/>
      <c r="H150" s="50"/>
      <c r="I150" s="51"/>
      <c r="W150" s="59"/>
    </row>
    <row r="151" spans="4:23" ht="12.75">
      <c r="D151" s="49"/>
      <c r="E151" s="49"/>
      <c r="F151" s="49"/>
      <c r="G151" s="49"/>
      <c r="H151" s="50"/>
      <c r="I151" s="51"/>
      <c r="W151" s="59"/>
    </row>
    <row r="152" spans="4:23" ht="12.75">
      <c r="D152" s="49"/>
      <c r="E152" s="49"/>
      <c r="F152" s="49"/>
      <c r="G152" s="49"/>
      <c r="H152" s="50"/>
      <c r="I152" s="51"/>
      <c r="W152" s="59"/>
    </row>
    <row r="153" spans="4:23" ht="12.75">
      <c r="D153" s="49"/>
      <c r="E153" s="49"/>
      <c r="F153" s="49"/>
      <c r="G153" s="49"/>
      <c r="H153" s="50"/>
      <c r="I153" s="51"/>
      <c r="W153" s="59"/>
    </row>
    <row r="154" spans="4:23" ht="12.75">
      <c r="D154" s="49"/>
      <c r="E154" s="49"/>
      <c r="F154" s="49"/>
      <c r="G154" s="49"/>
      <c r="H154" s="50"/>
      <c r="I154" s="51"/>
      <c r="W154" s="59"/>
    </row>
    <row r="155" spans="4:23" ht="12.75">
      <c r="D155" s="49"/>
      <c r="E155" s="49"/>
      <c r="F155" s="49"/>
      <c r="G155" s="49"/>
      <c r="H155" s="50"/>
      <c r="I155" s="51"/>
      <c r="W155" s="59"/>
    </row>
    <row r="156" spans="4:23" ht="12.75">
      <c r="D156" s="49"/>
      <c r="E156" s="49"/>
      <c r="F156" s="49"/>
      <c r="G156" s="49"/>
      <c r="H156" s="50"/>
      <c r="I156" s="51"/>
      <c r="W156" s="59"/>
    </row>
    <row r="157" spans="4:23" ht="12.75">
      <c r="D157" s="49"/>
      <c r="E157" s="49"/>
      <c r="F157" s="49"/>
      <c r="G157" s="49"/>
      <c r="H157" s="50"/>
      <c r="I157" s="51"/>
      <c r="W157" s="59"/>
    </row>
    <row r="158" spans="4:23" ht="12.75">
      <c r="D158" s="49"/>
      <c r="E158" s="49"/>
      <c r="F158" s="49"/>
      <c r="G158" s="49"/>
      <c r="H158" s="50"/>
      <c r="I158" s="51"/>
      <c r="W158" s="59"/>
    </row>
    <row r="159" spans="4:23" ht="12.75">
      <c r="D159" s="49"/>
      <c r="E159" s="49"/>
      <c r="F159" s="49"/>
      <c r="G159" s="49"/>
      <c r="H159" s="50"/>
      <c r="I159" s="51"/>
      <c r="W159" s="59"/>
    </row>
    <row r="160" spans="4:23" ht="12.75">
      <c r="D160" s="49"/>
      <c r="E160" s="49"/>
      <c r="F160" s="49"/>
      <c r="G160" s="49"/>
      <c r="H160" s="50"/>
      <c r="I160" s="51"/>
      <c r="W160" s="59"/>
    </row>
    <row r="161" spans="4:23" ht="12.75">
      <c r="D161" s="49"/>
      <c r="E161" s="49"/>
      <c r="F161" s="49"/>
      <c r="G161" s="49"/>
      <c r="H161" s="50"/>
      <c r="I161" s="51"/>
      <c r="W161" s="59"/>
    </row>
    <row r="162" spans="4:23" ht="12.75">
      <c r="D162" s="49"/>
      <c r="E162" s="49"/>
      <c r="F162" s="49"/>
      <c r="G162" s="49"/>
      <c r="H162" s="50"/>
      <c r="I162" s="51"/>
      <c r="W162" s="59"/>
    </row>
    <row r="163" spans="4:23" ht="12.75">
      <c r="D163" s="49"/>
      <c r="E163" s="49"/>
      <c r="F163" s="49"/>
      <c r="G163" s="49"/>
      <c r="H163" s="50"/>
      <c r="I163" s="51"/>
      <c r="W163" s="59"/>
    </row>
    <row r="164" spans="4:23" ht="12.75">
      <c r="D164" s="49"/>
      <c r="E164" s="49"/>
      <c r="F164" s="49"/>
      <c r="G164" s="49"/>
      <c r="H164" s="50"/>
      <c r="I164" s="51"/>
      <c r="W164" s="59"/>
    </row>
    <row r="165" spans="4:23" ht="12.75">
      <c r="D165" s="49"/>
      <c r="E165" s="49"/>
      <c r="F165" s="49"/>
      <c r="G165" s="49"/>
      <c r="H165" s="50"/>
      <c r="I165" s="51"/>
      <c r="W165" s="59"/>
    </row>
    <row r="166" spans="4:23" ht="12.75">
      <c r="D166" s="49"/>
      <c r="E166" s="49"/>
      <c r="F166" s="49"/>
      <c r="G166" s="49"/>
      <c r="H166" s="50"/>
      <c r="I166" s="51"/>
      <c r="W166" s="59"/>
    </row>
    <row r="167" spans="4:23" ht="12.75">
      <c r="D167" s="49"/>
      <c r="E167" s="49"/>
      <c r="F167" s="49"/>
      <c r="G167" s="49"/>
      <c r="H167" s="50"/>
      <c r="I167" s="51"/>
      <c r="W167" s="59"/>
    </row>
    <row r="168" spans="4:23" ht="12.75">
      <c r="D168" s="49"/>
      <c r="E168" s="49"/>
      <c r="F168" s="49"/>
      <c r="G168" s="49"/>
      <c r="H168" s="50"/>
      <c r="I168" s="51"/>
      <c r="W168" s="59"/>
    </row>
    <row r="169" spans="4:23" ht="12.75">
      <c r="D169" s="49"/>
      <c r="E169" s="49"/>
      <c r="F169" s="49"/>
      <c r="G169" s="49"/>
      <c r="H169" s="50"/>
      <c r="I169" s="51"/>
      <c r="W169" s="59"/>
    </row>
    <row r="170" spans="4:23" ht="12.75">
      <c r="D170" s="49"/>
      <c r="E170" s="49"/>
      <c r="F170" s="49"/>
      <c r="G170" s="49"/>
      <c r="H170" s="50"/>
      <c r="I170" s="51"/>
      <c r="W170" s="59"/>
    </row>
    <row r="171" spans="4:23" ht="12.75">
      <c r="D171" s="49"/>
      <c r="E171" s="49"/>
      <c r="F171" s="49"/>
      <c r="G171" s="49"/>
      <c r="H171" s="50"/>
      <c r="I171" s="51"/>
      <c r="W171" s="59"/>
    </row>
    <row r="172" spans="4:23" ht="12.75">
      <c r="D172" s="49"/>
      <c r="E172" s="49"/>
      <c r="F172" s="49"/>
      <c r="G172" s="49"/>
      <c r="H172" s="50"/>
      <c r="I172" s="51"/>
      <c r="W172" s="59"/>
    </row>
    <row r="173" spans="4:23" ht="12.75">
      <c r="D173" s="49"/>
      <c r="E173" s="49"/>
      <c r="F173" s="49"/>
      <c r="G173" s="49"/>
      <c r="H173" s="50"/>
      <c r="I173" s="51"/>
      <c r="W173" s="59"/>
    </row>
    <row r="174" spans="4:23" ht="12.75">
      <c r="D174" s="49"/>
      <c r="E174" s="49"/>
      <c r="F174" s="49"/>
      <c r="G174" s="49"/>
      <c r="H174" s="50"/>
      <c r="I174" s="51"/>
      <c r="W174" s="59"/>
    </row>
    <row r="175" spans="4:23" ht="12.75">
      <c r="D175" s="49"/>
      <c r="E175" s="49"/>
      <c r="F175" s="49"/>
      <c r="G175" s="49"/>
      <c r="H175" s="50"/>
      <c r="I175" s="51"/>
      <c r="W175" s="59"/>
    </row>
    <row r="176" spans="4:23" ht="12.75">
      <c r="D176" s="49"/>
      <c r="E176" s="49"/>
      <c r="F176" s="49"/>
      <c r="G176" s="49"/>
      <c r="H176" s="50"/>
      <c r="I176" s="51"/>
      <c r="W176" s="59"/>
    </row>
    <row r="177" spans="4:23" ht="12.75">
      <c r="D177" s="49"/>
      <c r="E177" s="49"/>
      <c r="F177" s="49"/>
      <c r="G177" s="49"/>
      <c r="H177" s="50"/>
      <c r="I177" s="51"/>
      <c r="W177" s="59"/>
    </row>
    <row r="178" spans="4:23" ht="12.75">
      <c r="D178" s="49"/>
      <c r="E178" s="49"/>
      <c r="F178" s="49"/>
      <c r="G178" s="49"/>
      <c r="H178" s="50"/>
      <c r="I178" s="51"/>
      <c r="W178" s="59"/>
    </row>
    <row r="179" spans="4:23" ht="12.75">
      <c r="D179" s="49"/>
      <c r="E179" s="49"/>
      <c r="F179" s="49"/>
      <c r="G179" s="49"/>
      <c r="H179" s="50"/>
      <c r="I179" s="51"/>
      <c r="W179" s="59"/>
    </row>
    <row r="180" spans="4:23" ht="12.75">
      <c r="D180" s="49"/>
      <c r="E180" s="49"/>
      <c r="F180" s="49"/>
      <c r="G180" s="49"/>
      <c r="H180" s="50"/>
      <c r="I180" s="51"/>
      <c r="W180" s="59"/>
    </row>
    <row r="181" spans="4:23" ht="12.75">
      <c r="D181" s="49"/>
      <c r="E181" s="49"/>
      <c r="F181" s="49"/>
      <c r="G181" s="49"/>
      <c r="H181" s="50"/>
      <c r="I181" s="51"/>
      <c r="W181" s="59"/>
    </row>
    <row r="182" spans="4:23" ht="12.75">
      <c r="D182" s="49"/>
      <c r="E182" s="49"/>
      <c r="F182" s="49"/>
      <c r="G182" s="49"/>
      <c r="H182" s="50"/>
      <c r="I182" s="51"/>
      <c r="W182" s="59"/>
    </row>
    <row r="183" spans="4:23" ht="12.75">
      <c r="D183" s="49"/>
      <c r="E183" s="49"/>
      <c r="F183" s="49"/>
      <c r="G183" s="49"/>
      <c r="H183" s="50"/>
      <c r="I183" s="51"/>
      <c r="W183" s="59"/>
    </row>
    <row r="184" spans="4:23" ht="12.75">
      <c r="D184" s="49"/>
      <c r="E184" s="49"/>
      <c r="F184" s="49"/>
      <c r="G184" s="49"/>
      <c r="H184" s="50"/>
      <c r="I184" s="51"/>
      <c r="W184" s="59"/>
    </row>
    <row r="185" spans="4:23" ht="12.75">
      <c r="D185" s="49"/>
      <c r="E185" s="49"/>
      <c r="F185" s="49"/>
      <c r="G185" s="49"/>
      <c r="H185" s="50"/>
      <c r="I185" s="51"/>
      <c r="W185" s="59"/>
    </row>
    <row r="186" spans="4:23" ht="12.75">
      <c r="D186" s="49"/>
      <c r="E186" s="49"/>
      <c r="F186" s="49"/>
      <c r="G186" s="49"/>
      <c r="H186" s="50"/>
      <c r="I186" s="51"/>
      <c r="W186" s="59"/>
    </row>
    <row r="187" spans="4:23" ht="12.75">
      <c r="D187" s="49"/>
      <c r="E187" s="49"/>
      <c r="F187" s="49"/>
      <c r="G187" s="49"/>
      <c r="H187" s="50"/>
      <c r="I187" s="51"/>
      <c r="W187" s="59"/>
    </row>
    <row r="188" spans="4:23" ht="12.75">
      <c r="D188" s="49"/>
      <c r="E188" s="49"/>
      <c r="F188" s="49"/>
      <c r="G188" s="49"/>
      <c r="H188" s="50"/>
      <c r="I188" s="51"/>
      <c r="W188" s="59"/>
    </row>
    <row r="189" spans="4:23" ht="12.75">
      <c r="D189" s="49"/>
      <c r="E189" s="49"/>
      <c r="F189" s="49"/>
      <c r="G189" s="49"/>
      <c r="H189" s="50"/>
      <c r="I189" s="51"/>
      <c r="W189" s="59"/>
    </row>
    <row r="190" spans="4:23" ht="12.75">
      <c r="D190" s="49"/>
      <c r="E190" s="49"/>
      <c r="F190" s="49"/>
      <c r="G190" s="49"/>
      <c r="H190" s="50"/>
      <c r="I190" s="51"/>
      <c r="W190" s="59"/>
    </row>
    <row r="191" spans="4:23" ht="12.75">
      <c r="D191" s="49"/>
      <c r="E191" s="49"/>
      <c r="F191" s="49"/>
      <c r="G191" s="49"/>
      <c r="H191" s="50"/>
      <c r="I191" s="51"/>
      <c r="W191" s="59"/>
    </row>
    <row r="192" spans="4:23" ht="12.75">
      <c r="D192" s="49"/>
      <c r="E192" s="49"/>
      <c r="F192" s="49"/>
      <c r="G192" s="49"/>
      <c r="H192" s="50"/>
      <c r="I192" s="51"/>
      <c r="W192" s="59"/>
    </row>
    <row r="193" spans="4:23" ht="12.75">
      <c r="D193" s="49"/>
      <c r="E193" s="49"/>
      <c r="F193" s="49"/>
      <c r="G193" s="49"/>
      <c r="H193" s="50"/>
      <c r="I193" s="51"/>
      <c r="W193" s="59"/>
    </row>
    <row r="194" spans="4:23" ht="12.75">
      <c r="D194" s="49"/>
      <c r="E194" s="49"/>
      <c r="F194" s="49"/>
      <c r="G194" s="49"/>
      <c r="H194" s="50"/>
      <c r="I194" s="51"/>
      <c r="W194" s="59"/>
    </row>
    <row r="195" spans="4:23" ht="12.75">
      <c r="D195" s="49"/>
      <c r="E195" s="49"/>
      <c r="F195" s="49"/>
      <c r="G195" s="49"/>
      <c r="H195" s="50"/>
      <c r="I195" s="51"/>
      <c r="W195" s="59"/>
    </row>
    <row r="196" spans="4:23" ht="12.75">
      <c r="D196" s="49"/>
      <c r="E196" s="49"/>
      <c r="F196" s="49"/>
      <c r="G196" s="49"/>
      <c r="H196" s="50"/>
      <c r="I196" s="51"/>
      <c r="W196" s="59"/>
    </row>
    <row r="197" spans="4:23" ht="12.75">
      <c r="D197" s="49"/>
      <c r="E197" s="49"/>
      <c r="F197" s="49"/>
      <c r="G197" s="49"/>
      <c r="H197" s="50"/>
      <c r="I197" s="51"/>
      <c r="W197" s="59"/>
    </row>
    <row r="198" spans="4:23" ht="12.75">
      <c r="D198" s="49"/>
      <c r="E198" s="49"/>
      <c r="F198" s="49"/>
      <c r="G198" s="49"/>
      <c r="H198" s="50"/>
      <c r="I198" s="51"/>
      <c r="W198" s="59"/>
    </row>
    <row r="199" spans="4:23" ht="12.75">
      <c r="D199" s="49"/>
      <c r="E199" s="49"/>
      <c r="F199" s="49"/>
      <c r="G199" s="49"/>
      <c r="H199" s="50"/>
      <c r="I199" s="51"/>
      <c r="W199" s="59"/>
    </row>
    <row r="200" spans="4:23" ht="12.75">
      <c r="D200" s="49"/>
      <c r="E200" s="49"/>
      <c r="F200" s="49"/>
      <c r="G200" s="49"/>
      <c r="H200" s="50"/>
      <c r="I200" s="51"/>
      <c r="W200" s="59"/>
    </row>
    <row r="201" spans="4:23" ht="12.75">
      <c r="D201" s="49"/>
      <c r="E201" s="49"/>
      <c r="F201" s="49"/>
      <c r="G201" s="49"/>
      <c r="H201" s="50"/>
      <c r="I201" s="51"/>
      <c r="W201" s="59"/>
    </row>
    <row r="202" spans="4:23" ht="12.75">
      <c r="D202" s="49"/>
      <c r="E202" s="49"/>
      <c r="F202" s="49"/>
      <c r="G202" s="49"/>
      <c r="H202" s="50"/>
      <c r="I202" s="51"/>
      <c r="W202" s="59"/>
    </row>
    <row r="203" spans="4:23" ht="12.75">
      <c r="D203" s="49"/>
      <c r="E203" s="49"/>
      <c r="F203" s="49"/>
      <c r="G203" s="49"/>
      <c r="H203" s="50"/>
      <c r="I203" s="51"/>
      <c r="W203" s="59"/>
    </row>
    <row r="204" spans="4:23" ht="12.75">
      <c r="D204" s="49"/>
      <c r="E204" s="49"/>
      <c r="F204" s="49"/>
      <c r="G204" s="49"/>
      <c r="H204" s="50"/>
      <c r="I204" s="51"/>
      <c r="W204" s="59"/>
    </row>
    <row r="205" spans="4:23" ht="12.75">
      <c r="D205" s="49"/>
      <c r="E205" s="49"/>
      <c r="F205" s="49"/>
      <c r="G205" s="49"/>
      <c r="H205" s="50"/>
      <c r="I205" s="51"/>
      <c r="W205" s="59"/>
    </row>
    <row r="206" spans="4:23" ht="12.75">
      <c r="D206" s="49"/>
      <c r="E206" s="49"/>
      <c r="F206" s="49"/>
      <c r="G206" s="49"/>
      <c r="H206" s="50"/>
      <c r="I206" s="51"/>
      <c r="W206" s="59"/>
    </row>
    <row r="207" spans="4:23" ht="12.75">
      <c r="D207" s="49"/>
      <c r="E207" s="49"/>
      <c r="F207" s="49"/>
      <c r="G207" s="49"/>
      <c r="H207" s="50"/>
      <c r="I207" s="51"/>
      <c r="W207" s="59"/>
    </row>
    <row r="208" spans="4:23" ht="12.75">
      <c r="D208" s="49"/>
      <c r="E208" s="49"/>
      <c r="F208" s="49"/>
      <c r="G208" s="49"/>
      <c r="H208" s="50"/>
      <c r="I208" s="51"/>
      <c r="W208" s="59"/>
    </row>
    <row r="209" spans="4:23" ht="12.75">
      <c r="D209" s="49"/>
      <c r="E209" s="49"/>
      <c r="F209" s="49"/>
      <c r="G209" s="49"/>
      <c r="H209" s="50"/>
      <c r="I209" s="51"/>
      <c r="W209" s="59"/>
    </row>
    <row r="210" spans="4:23" ht="12.75">
      <c r="D210" s="49"/>
      <c r="E210" s="49"/>
      <c r="F210" s="49"/>
      <c r="G210" s="49"/>
      <c r="H210" s="50"/>
      <c r="I210" s="51"/>
      <c r="W210" s="59"/>
    </row>
    <row r="211" spans="4:23" ht="12.75">
      <c r="D211" s="49"/>
      <c r="E211" s="49"/>
      <c r="F211" s="49"/>
      <c r="G211" s="49"/>
      <c r="H211" s="50"/>
      <c r="I211" s="51"/>
      <c r="W211" s="59"/>
    </row>
    <row r="212" spans="4:23" ht="12.75">
      <c r="D212" s="49"/>
      <c r="E212" s="49"/>
      <c r="F212" s="49"/>
      <c r="G212" s="49"/>
      <c r="H212" s="50"/>
      <c r="I212" s="51"/>
      <c r="W212" s="59"/>
    </row>
    <row r="213" spans="4:23" ht="12.75">
      <c r="D213" s="49"/>
      <c r="E213" s="49"/>
      <c r="F213" s="49"/>
      <c r="G213" s="49"/>
      <c r="H213" s="50"/>
      <c r="I213" s="51"/>
      <c r="W213" s="59"/>
    </row>
    <row r="214" spans="4:23" ht="12.75">
      <c r="D214" s="49"/>
      <c r="E214" s="49"/>
      <c r="F214" s="49"/>
      <c r="G214" s="49"/>
      <c r="H214" s="50"/>
      <c r="I214" s="51"/>
      <c r="W214" s="59"/>
    </row>
    <row r="215" spans="4:23" ht="12.75">
      <c r="D215" s="49"/>
      <c r="E215" s="49"/>
      <c r="F215" s="49"/>
      <c r="G215" s="49"/>
      <c r="H215" s="50"/>
      <c r="I215" s="51"/>
      <c r="W215" s="59"/>
    </row>
    <row r="216" spans="4:23" ht="12.75">
      <c r="D216" s="49"/>
      <c r="E216" s="49"/>
      <c r="F216" s="49"/>
      <c r="G216" s="49"/>
      <c r="H216" s="50"/>
      <c r="I216" s="51"/>
      <c r="W216" s="59"/>
    </row>
    <row r="217" spans="4:23" ht="12.75">
      <c r="D217" s="49"/>
      <c r="E217" s="49"/>
      <c r="F217" s="49"/>
      <c r="G217" s="49"/>
      <c r="H217" s="50"/>
      <c r="I217" s="51"/>
      <c r="W217" s="59"/>
    </row>
    <row r="218" spans="4:23" ht="12.75">
      <c r="D218" s="49"/>
      <c r="E218" s="49"/>
      <c r="F218" s="49"/>
      <c r="G218" s="49"/>
      <c r="H218" s="50"/>
      <c r="I218" s="51"/>
      <c r="W218" s="59"/>
    </row>
    <row r="219" spans="4:23" ht="12.75">
      <c r="D219" s="49"/>
      <c r="E219" s="49"/>
      <c r="F219" s="49"/>
      <c r="G219" s="49"/>
      <c r="H219" s="50"/>
      <c r="I219" s="51"/>
      <c r="W219" s="59"/>
    </row>
    <row r="220" spans="4:23" ht="12.75">
      <c r="D220" s="49"/>
      <c r="E220" s="49"/>
      <c r="F220" s="49"/>
      <c r="G220" s="49"/>
      <c r="H220" s="50"/>
      <c r="I220" s="51"/>
      <c r="W220" s="59"/>
    </row>
    <row r="221" spans="4:23" ht="12.75">
      <c r="D221" s="49"/>
      <c r="E221" s="49"/>
      <c r="F221" s="49"/>
      <c r="G221" s="49"/>
      <c r="H221" s="50"/>
      <c r="I221" s="51"/>
      <c r="W221" s="59"/>
    </row>
    <row r="222" spans="4:23" ht="12.75">
      <c r="D222" s="49"/>
      <c r="E222" s="49"/>
      <c r="F222" s="49"/>
      <c r="G222" s="49"/>
      <c r="H222" s="50"/>
      <c r="I222" s="51"/>
      <c r="W222" s="59"/>
    </row>
    <row r="223" spans="4:23" ht="12.75">
      <c r="D223" s="49"/>
      <c r="E223" s="49"/>
      <c r="F223" s="49"/>
      <c r="G223" s="49"/>
      <c r="H223" s="50"/>
      <c r="I223" s="51"/>
      <c r="W223" s="59"/>
    </row>
    <row r="224" spans="4:23" ht="12.75">
      <c r="D224" s="49"/>
      <c r="E224" s="49"/>
      <c r="F224" s="49"/>
      <c r="G224" s="49"/>
      <c r="H224" s="50"/>
      <c r="I224" s="51"/>
      <c r="W224" s="59"/>
    </row>
    <row r="225" spans="4:23" ht="12.75">
      <c r="D225" s="49"/>
      <c r="E225" s="49"/>
      <c r="F225" s="49"/>
      <c r="G225" s="49"/>
      <c r="H225" s="50"/>
      <c r="I225" s="51"/>
      <c r="W225" s="59"/>
    </row>
    <row r="226" spans="4:23" ht="12.75">
      <c r="D226" s="49"/>
      <c r="E226" s="49"/>
      <c r="F226" s="49"/>
      <c r="G226" s="49"/>
      <c r="H226" s="50"/>
      <c r="I226" s="51"/>
      <c r="W226" s="59"/>
    </row>
    <row r="227" spans="4:23" ht="12.75">
      <c r="D227" s="49"/>
      <c r="E227" s="49"/>
      <c r="F227" s="49"/>
      <c r="G227" s="49"/>
      <c r="H227" s="50"/>
      <c r="I227" s="51"/>
      <c r="W227" s="59"/>
    </row>
    <row r="228" spans="4:23" ht="12.75">
      <c r="D228" s="49"/>
      <c r="E228" s="49"/>
      <c r="F228" s="49"/>
      <c r="G228" s="49"/>
      <c r="H228" s="50"/>
      <c r="I228" s="51"/>
      <c r="W228" s="59"/>
    </row>
    <row r="229" spans="4:23" ht="12.75">
      <c r="D229" s="49"/>
      <c r="E229" s="49"/>
      <c r="F229" s="49"/>
      <c r="G229" s="49"/>
      <c r="H229" s="50"/>
      <c r="I229" s="51"/>
      <c r="W229" s="59"/>
    </row>
    <row r="230" spans="4:23" ht="12.75">
      <c r="D230" s="49"/>
      <c r="E230" s="49"/>
      <c r="F230" s="49"/>
      <c r="G230" s="49"/>
      <c r="H230" s="50"/>
      <c r="I230" s="51"/>
      <c r="W230" s="59"/>
    </row>
    <row r="231" spans="4:23" ht="12.75">
      <c r="D231" s="49"/>
      <c r="E231" s="49"/>
      <c r="F231" s="49"/>
      <c r="G231" s="49"/>
      <c r="H231" s="50"/>
      <c r="I231" s="51"/>
      <c r="W231" s="59"/>
    </row>
    <row r="232" spans="4:23" ht="12.75">
      <c r="D232" s="49"/>
      <c r="E232" s="49"/>
      <c r="F232" s="49"/>
      <c r="G232" s="49"/>
      <c r="H232" s="50"/>
      <c r="I232" s="51"/>
      <c r="W232" s="59"/>
    </row>
    <row r="233" spans="4:23" ht="12.75">
      <c r="D233" s="49"/>
      <c r="E233" s="49"/>
      <c r="F233" s="49"/>
      <c r="G233" s="49"/>
      <c r="H233" s="50"/>
      <c r="I233" s="51"/>
      <c r="W233" s="59"/>
    </row>
    <row r="234" spans="4:23" ht="12.75">
      <c r="D234" s="49"/>
      <c r="E234" s="49"/>
      <c r="F234" s="49"/>
      <c r="G234" s="49"/>
      <c r="H234" s="50"/>
      <c r="I234" s="51"/>
      <c r="W234" s="59"/>
    </row>
    <row r="235" spans="4:23" ht="12.75">
      <c r="D235" s="49"/>
      <c r="E235" s="49"/>
      <c r="F235" s="49"/>
      <c r="G235" s="49"/>
      <c r="H235" s="50"/>
      <c r="I235" s="51"/>
      <c r="W235" s="59"/>
    </row>
    <row r="236" spans="4:23" ht="12.75">
      <c r="D236" s="49"/>
      <c r="E236" s="49"/>
      <c r="F236" s="49"/>
      <c r="G236" s="49"/>
      <c r="H236" s="50"/>
      <c r="I236" s="51"/>
      <c r="W236" s="59"/>
    </row>
    <row r="237" spans="4:23" ht="12.75">
      <c r="D237" s="49"/>
      <c r="E237" s="49"/>
      <c r="F237" s="49"/>
      <c r="G237" s="49"/>
      <c r="H237" s="50"/>
      <c r="I237" s="51"/>
      <c r="W237" s="59"/>
    </row>
    <row r="238" spans="4:23" ht="12.75">
      <c r="D238" s="49"/>
      <c r="E238" s="49"/>
      <c r="F238" s="49"/>
      <c r="G238" s="49"/>
      <c r="H238" s="50"/>
      <c r="I238" s="51"/>
      <c r="W238" s="59"/>
    </row>
    <row r="239" spans="4:23" ht="12.75">
      <c r="D239" s="49"/>
      <c r="E239" s="49"/>
      <c r="F239" s="49"/>
      <c r="G239" s="49"/>
      <c r="H239" s="50"/>
      <c r="I239" s="51"/>
      <c r="W239" s="59"/>
    </row>
    <row r="240" spans="4:23" ht="12.75">
      <c r="D240" s="49"/>
      <c r="E240" s="49"/>
      <c r="F240" s="49"/>
      <c r="G240" s="49"/>
      <c r="H240" s="50"/>
      <c r="I240" s="51"/>
      <c r="W240" s="59"/>
    </row>
    <row r="241" spans="4:23" ht="12.75">
      <c r="D241" s="49"/>
      <c r="E241" s="49"/>
      <c r="F241" s="49"/>
      <c r="G241" s="49"/>
      <c r="H241" s="50"/>
      <c r="I241" s="51"/>
      <c r="W241" s="59"/>
    </row>
    <row r="242" spans="4:23" ht="12.75">
      <c r="D242" s="49"/>
      <c r="E242" s="49"/>
      <c r="F242" s="49"/>
      <c r="G242" s="49"/>
      <c r="H242" s="50"/>
      <c r="I242" s="51"/>
      <c r="W242" s="59"/>
    </row>
    <row r="243" spans="4:23" ht="12.75">
      <c r="D243" s="49"/>
      <c r="E243" s="49"/>
      <c r="F243" s="49"/>
      <c r="G243" s="49"/>
      <c r="H243" s="50"/>
      <c r="I243" s="51"/>
      <c r="W243" s="59"/>
    </row>
    <row r="244" spans="4:23" ht="12.75">
      <c r="D244" s="49"/>
      <c r="E244" s="49"/>
      <c r="F244" s="49"/>
      <c r="G244" s="49"/>
      <c r="H244" s="50"/>
      <c r="I244" s="51"/>
      <c r="W244" s="59"/>
    </row>
    <row r="245" spans="4:23" ht="12.75">
      <c r="D245" s="49"/>
      <c r="E245" s="49"/>
      <c r="F245" s="49"/>
      <c r="G245" s="49"/>
      <c r="H245" s="50"/>
      <c r="I245" s="51"/>
      <c r="W245" s="59"/>
    </row>
    <row r="246" spans="4:23" ht="12.75">
      <c r="D246" s="49"/>
      <c r="E246" s="49"/>
      <c r="F246" s="49"/>
      <c r="G246" s="49"/>
      <c r="H246" s="50"/>
      <c r="I246" s="51"/>
      <c r="W246" s="59"/>
    </row>
    <row r="247" spans="4:23" ht="12.75">
      <c r="D247" s="49"/>
      <c r="E247" s="49"/>
      <c r="F247" s="49"/>
      <c r="G247" s="49"/>
      <c r="H247" s="50"/>
      <c r="I247" s="51"/>
      <c r="W247" s="59"/>
    </row>
    <row r="248" spans="4:23" ht="12.75">
      <c r="D248" s="49"/>
      <c r="E248" s="49"/>
      <c r="F248" s="49"/>
      <c r="G248" s="49"/>
      <c r="H248" s="50"/>
      <c r="I248" s="51"/>
      <c r="W248" s="59"/>
    </row>
    <row r="249" spans="4:23" ht="12.75">
      <c r="D249" s="49"/>
      <c r="E249" s="49"/>
      <c r="F249" s="49"/>
      <c r="G249" s="49"/>
      <c r="H249" s="50"/>
      <c r="I249" s="51"/>
      <c r="W249" s="59"/>
    </row>
    <row r="250" spans="4:23" ht="12.75">
      <c r="D250" s="49"/>
      <c r="E250" s="49"/>
      <c r="F250" s="49"/>
      <c r="G250" s="49"/>
      <c r="H250" s="50"/>
      <c r="I250" s="51"/>
      <c r="W250" s="59"/>
    </row>
    <row r="251" spans="4:23" ht="12.75">
      <c r="D251" s="49"/>
      <c r="E251" s="49"/>
      <c r="F251" s="49"/>
      <c r="G251" s="49"/>
      <c r="H251" s="50"/>
      <c r="I251" s="51"/>
      <c r="W251" s="59"/>
    </row>
    <row r="252" spans="4:23" ht="12.75">
      <c r="D252" s="49"/>
      <c r="E252" s="49"/>
      <c r="F252" s="49"/>
      <c r="G252" s="49"/>
      <c r="H252" s="50"/>
      <c r="I252" s="51"/>
      <c r="W252" s="59"/>
    </row>
    <row r="253" spans="4:23" ht="12.75">
      <c r="D253" s="49"/>
      <c r="E253" s="49"/>
      <c r="F253" s="49"/>
      <c r="G253" s="49"/>
      <c r="H253" s="50"/>
      <c r="I253" s="51"/>
      <c r="W253" s="59"/>
    </row>
    <row r="254" spans="4:23" ht="12.75">
      <c r="D254" s="49"/>
      <c r="E254" s="49"/>
      <c r="F254" s="49"/>
      <c r="G254" s="49"/>
      <c r="H254" s="50"/>
      <c r="I254" s="51"/>
      <c r="W254" s="59"/>
    </row>
    <row r="255" spans="4:23" ht="12.75">
      <c r="D255" s="49"/>
      <c r="E255" s="49"/>
      <c r="F255" s="49"/>
      <c r="G255" s="49"/>
      <c r="H255" s="50"/>
      <c r="I255" s="51"/>
      <c r="W255" s="59"/>
    </row>
    <row r="256" spans="4:23" ht="12.75">
      <c r="D256" s="49"/>
      <c r="E256" s="49"/>
      <c r="F256" s="49"/>
      <c r="G256" s="49"/>
      <c r="H256" s="50"/>
      <c r="I256" s="51"/>
      <c r="W256" s="59"/>
    </row>
    <row r="257" spans="4:23" ht="12.75">
      <c r="D257" s="49"/>
      <c r="E257" s="49"/>
      <c r="F257" s="49"/>
      <c r="G257" s="49"/>
      <c r="H257" s="50"/>
      <c r="I257" s="51"/>
      <c r="W257" s="59"/>
    </row>
    <row r="258" spans="4:23" ht="12.75">
      <c r="D258" s="49"/>
      <c r="E258" s="49"/>
      <c r="F258" s="49"/>
      <c r="G258" s="49"/>
      <c r="H258" s="50"/>
      <c r="I258" s="51"/>
      <c r="W258" s="59"/>
    </row>
    <row r="259" spans="4:23" ht="12.75">
      <c r="D259" s="49"/>
      <c r="E259" s="49"/>
      <c r="F259" s="49"/>
      <c r="G259" s="49"/>
      <c r="H259" s="50"/>
      <c r="I259" s="51"/>
      <c r="W259" s="59"/>
    </row>
    <row r="260" spans="4:23" ht="12.75">
      <c r="D260" s="49"/>
      <c r="E260" s="49"/>
      <c r="F260" s="49"/>
      <c r="G260" s="49"/>
      <c r="H260" s="50"/>
      <c r="I260" s="51"/>
      <c r="W260" s="59"/>
    </row>
    <row r="261" spans="4:23" ht="12.75">
      <c r="D261" s="49"/>
      <c r="E261" s="49"/>
      <c r="F261" s="49"/>
      <c r="G261" s="49"/>
      <c r="H261" s="50"/>
      <c r="I261" s="51"/>
      <c r="W261" s="59"/>
    </row>
    <row r="262" spans="4:23" ht="12.75">
      <c r="D262" s="49"/>
      <c r="E262" s="49"/>
      <c r="F262" s="49"/>
      <c r="G262" s="49"/>
      <c r="H262" s="50"/>
      <c r="I262" s="51"/>
      <c r="W262" s="59"/>
    </row>
    <row r="263" spans="4:23" ht="12.75">
      <c r="D263" s="49"/>
      <c r="E263" s="49"/>
      <c r="F263" s="49"/>
      <c r="G263" s="49"/>
      <c r="H263" s="50"/>
      <c r="I263" s="51"/>
      <c r="W263" s="59"/>
    </row>
    <row r="264" spans="4:23" ht="12.75">
      <c r="D264" s="49"/>
      <c r="E264" s="49"/>
      <c r="F264" s="49"/>
      <c r="G264" s="49"/>
      <c r="H264" s="50"/>
      <c r="I264" s="51"/>
      <c r="W264" s="59"/>
    </row>
    <row r="265" spans="4:23" ht="12.75">
      <c r="D265" s="49"/>
      <c r="E265" s="49"/>
      <c r="F265" s="49"/>
      <c r="G265" s="49"/>
      <c r="H265" s="50"/>
      <c r="I265" s="51"/>
      <c r="W265" s="59"/>
    </row>
    <row r="266" spans="4:23" ht="12.75">
      <c r="D266" s="49"/>
      <c r="E266" s="49"/>
      <c r="F266" s="49"/>
      <c r="G266" s="49"/>
      <c r="H266" s="50"/>
      <c r="I266" s="51"/>
      <c r="W266" s="59"/>
    </row>
    <row r="267" spans="4:23" ht="12.75">
      <c r="D267" s="49"/>
      <c r="E267" s="49"/>
      <c r="F267" s="49"/>
      <c r="G267" s="49"/>
      <c r="H267" s="50"/>
      <c r="I267" s="51"/>
      <c r="W267" s="59"/>
    </row>
    <row r="268" spans="4:23" ht="12.75">
      <c r="D268" s="49"/>
      <c r="E268" s="49"/>
      <c r="F268" s="49"/>
      <c r="G268" s="49"/>
      <c r="H268" s="50"/>
      <c r="I268" s="51"/>
      <c r="W268" s="59"/>
    </row>
    <row r="269" spans="4:23" ht="12.75">
      <c r="D269" s="49"/>
      <c r="E269" s="49"/>
      <c r="F269" s="49"/>
      <c r="G269" s="49"/>
      <c r="H269" s="50"/>
      <c r="I269" s="51"/>
      <c r="W269" s="59"/>
    </row>
    <row r="270" spans="4:23" ht="12.75">
      <c r="D270" s="49"/>
      <c r="E270" s="49"/>
      <c r="F270" s="49"/>
      <c r="G270" s="49"/>
      <c r="H270" s="50"/>
      <c r="I270" s="51"/>
      <c r="W270" s="59"/>
    </row>
    <row r="271" spans="4:23" ht="12.75">
      <c r="D271" s="49"/>
      <c r="E271" s="49"/>
      <c r="F271" s="49"/>
      <c r="G271" s="49"/>
      <c r="H271" s="50"/>
      <c r="I271" s="51"/>
      <c r="W271" s="59"/>
    </row>
    <row r="272" spans="4:23" ht="12.75">
      <c r="D272" s="49"/>
      <c r="E272" s="49"/>
      <c r="F272" s="49"/>
      <c r="G272" s="49"/>
      <c r="H272" s="50"/>
      <c r="I272" s="51"/>
      <c r="W272" s="59"/>
    </row>
    <row r="273" spans="4:23" ht="12.75">
      <c r="D273" s="49"/>
      <c r="E273" s="49"/>
      <c r="F273" s="49"/>
      <c r="G273" s="49"/>
      <c r="H273" s="50"/>
      <c r="I273" s="51"/>
      <c r="W273" s="59"/>
    </row>
    <row r="274" spans="4:23" ht="12.75">
      <c r="D274" s="49"/>
      <c r="E274" s="49"/>
      <c r="F274" s="49"/>
      <c r="G274" s="49"/>
      <c r="H274" s="50"/>
      <c r="I274" s="51"/>
      <c r="W274" s="59"/>
    </row>
    <row r="275" spans="4:23" ht="12.75">
      <c r="D275" s="49"/>
      <c r="E275" s="49"/>
      <c r="F275" s="49"/>
      <c r="G275" s="49"/>
      <c r="H275" s="50"/>
      <c r="I275" s="51"/>
      <c r="W275" s="59"/>
    </row>
    <row r="276" spans="4:23" ht="12.75">
      <c r="D276" s="49"/>
      <c r="E276" s="49"/>
      <c r="F276" s="49"/>
      <c r="G276" s="49"/>
      <c r="H276" s="50"/>
      <c r="I276" s="51"/>
      <c r="W276" s="59"/>
    </row>
    <row r="277" spans="4:23" ht="12.75">
      <c r="D277" s="49"/>
      <c r="E277" s="49"/>
      <c r="F277" s="49"/>
      <c r="G277" s="49"/>
      <c r="H277" s="50"/>
      <c r="I277" s="51"/>
      <c r="W277" s="59"/>
    </row>
    <row r="278" spans="4:23" ht="12.75">
      <c r="D278" s="49"/>
      <c r="E278" s="49"/>
      <c r="F278" s="49"/>
      <c r="G278" s="49"/>
      <c r="H278" s="50"/>
      <c r="I278" s="51"/>
      <c r="W278" s="59"/>
    </row>
    <row r="279" spans="4:23" ht="12.75">
      <c r="D279" s="49"/>
      <c r="E279" s="49"/>
      <c r="F279" s="49"/>
      <c r="G279" s="49"/>
      <c r="H279" s="50"/>
      <c r="I279" s="51"/>
      <c r="W279" s="59"/>
    </row>
    <row r="280" spans="4:23" ht="12.75">
      <c r="D280" s="49"/>
      <c r="E280" s="49"/>
      <c r="F280" s="49"/>
      <c r="G280" s="49"/>
      <c r="H280" s="50"/>
      <c r="I280" s="51"/>
      <c r="W280" s="59"/>
    </row>
    <row r="281" spans="4:23" ht="12.75">
      <c r="D281" s="49"/>
      <c r="E281" s="49"/>
      <c r="F281" s="49"/>
      <c r="G281" s="49"/>
      <c r="H281" s="50"/>
      <c r="I281" s="51"/>
      <c r="W281" s="59"/>
    </row>
    <row r="282" spans="4:23" ht="12.75">
      <c r="D282" s="49"/>
      <c r="E282" s="49"/>
      <c r="F282" s="49"/>
      <c r="G282" s="49"/>
      <c r="H282" s="50"/>
      <c r="I282" s="51"/>
      <c r="W282" s="59"/>
    </row>
    <row r="283" spans="4:23" ht="12.75">
      <c r="D283" s="49"/>
      <c r="E283" s="49"/>
      <c r="F283" s="49"/>
      <c r="G283" s="49"/>
      <c r="H283" s="50"/>
      <c r="I283" s="51"/>
      <c r="W283" s="59"/>
    </row>
    <row r="284" spans="4:23" ht="12.75">
      <c r="D284" s="49"/>
      <c r="E284" s="49"/>
      <c r="F284" s="49"/>
      <c r="G284" s="49"/>
      <c r="H284" s="50"/>
      <c r="I284" s="51"/>
      <c r="W284" s="59"/>
    </row>
    <row r="285" spans="4:23" ht="12.75">
      <c r="D285" s="49"/>
      <c r="E285" s="49"/>
      <c r="F285" s="49"/>
      <c r="G285" s="49"/>
      <c r="H285" s="50"/>
      <c r="I285" s="51"/>
      <c r="W285" s="59"/>
    </row>
    <row r="286" spans="4:23" ht="12.75">
      <c r="D286" s="49"/>
      <c r="E286" s="49"/>
      <c r="F286" s="49"/>
      <c r="G286" s="49"/>
      <c r="H286" s="50"/>
      <c r="I286" s="51"/>
      <c r="W286" s="59"/>
    </row>
    <row r="287" spans="4:23" ht="12.75">
      <c r="D287" s="49"/>
      <c r="E287" s="49"/>
      <c r="F287" s="49"/>
      <c r="G287" s="49"/>
      <c r="H287" s="50"/>
      <c r="I287" s="51"/>
      <c r="W287" s="59"/>
    </row>
    <row r="288" spans="4:23" ht="12.75">
      <c r="D288" s="49"/>
      <c r="E288" s="49"/>
      <c r="F288" s="49"/>
      <c r="G288" s="49"/>
      <c r="H288" s="50"/>
      <c r="I288" s="51"/>
      <c r="W288" s="59"/>
    </row>
    <row r="289" spans="4:23" ht="12.75">
      <c r="D289" s="49"/>
      <c r="E289" s="49"/>
      <c r="F289" s="49"/>
      <c r="G289" s="49"/>
      <c r="H289" s="50"/>
      <c r="I289" s="51"/>
      <c r="W289" s="59"/>
    </row>
    <row r="290" spans="4:23" ht="12.75">
      <c r="D290" s="49"/>
      <c r="E290" s="49"/>
      <c r="F290" s="49"/>
      <c r="G290" s="49"/>
      <c r="H290" s="50"/>
      <c r="I290" s="51"/>
      <c r="W290" s="59"/>
    </row>
    <row r="291" spans="4:23" ht="12.75">
      <c r="D291" s="49"/>
      <c r="E291" s="49"/>
      <c r="F291" s="49"/>
      <c r="G291" s="49"/>
      <c r="H291" s="50"/>
      <c r="I291" s="51"/>
      <c r="W291" s="59"/>
    </row>
    <row r="292" spans="4:23" ht="12.75">
      <c r="D292" s="49"/>
      <c r="E292" s="49"/>
      <c r="F292" s="49"/>
      <c r="G292" s="49"/>
      <c r="H292" s="50"/>
      <c r="I292" s="51"/>
      <c r="W292" s="59"/>
    </row>
    <row r="293" spans="4:23" ht="12.75">
      <c r="D293" s="49"/>
      <c r="E293" s="49"/>
      <c r="F293" s="49"/>
      <c r="G293" s="49"/>
      <c r="H293" s="50"/>
      <c r="I293" s="51"/>
      <c r="W293" s="59"/>
    </row>
    <row r="294" spans="4:23" ht="12.75">
      <c r="D294" s="49"/>
      <c r="E294" s="49"/>
      <c r="F294" s="49"/>
      <c r="G294" s="49"/>
      <c r="H294" s="50"/>
      <c r="I294" s="51"/>
      <c r="W294" s="59"/>
    </row>
    <row r="295" spans="4:23" ht="12.75">
      <c r="D295" s="49"/>
      <c r="E295" s="49"/>
      <c r="F295" s="49"/>
      <c r="G295" s="49"/>
      <c r="H295" s="50"/>
      <c r="I295" s="51"/>
      <c r="W295" s="59"/>
    </row>
    <row r="296" spans="4:23" ht="12.75">
      <c r="D296" s="49"/>
      <c r="E296" s="49"/>
      <c r="F296" s="49"/>
      <c r="G296" s="49"/>
      <c r="H296" s="50"/>
      <c r="I296" s="51"/>
      <c r="W296" s="59"/>
    </row>
    <row r="297" spans="4:23" ht="12.75">
      <c r="D297" s="49"/>
      <c r="E297" s="49"/>
      <c r="F297" s="49"/>
      <c r="G297" s="49"/>
      <c r="H297" s="50"/>
      <c r="I297" s="51"/>
      <c r="W297" s="59"/>
    </row>
    <row r="298" spans="4:23" ht="12.75">
      <c r="D298" s="49"/>
      <c r="E298" s="49"/>
      <c r="F298" s="49"/>
      <c r="G298" s="49"/>
      <c r="H298" s="50"/>
      <c r="I298" s="51"/>
      <c r="W298" s="59"/>
    </row>
    <row r="299" spans="4:23" ht="12.75">
      <c r="D299" s="49"/>
      <c r="E299" s="49"/>
      <c r="F299" s="49"/>
      <c r="G299" s="49"/>
      <c r="H299" s="50"/>
      <c r="I299" s="51"/>
      <c r="W299" s="59"/>
    </row>
    <row r="300" spans="4:23" ht="12.75">
      <c r="D300" s="49"/>
      <c r="E300" s="49"/>
      <c r="F300" s="49"/>
      <c r="G300" s="49"/>
      <c r="H300" s="50"/>
      <c r="I300" s="51"/>
      <c r="W300" s="59"/>
    </row>
    <row r="301" spans="4:23" ht="12.75">
      <c r="D301" s="49"/>
      <c r="E301" s="49"/>
      <c r="F301" s="49"/>
      <c r="G301" s="49"/>
      <c r="H301" s="50"/>
      <c r="I301" s="51"/>
      <c r="W301" s="59"/>
    </row>
    <row r="302" spans="4:23" ht="12.75">
      <c r="D302" s="49"/>
      <c r="E302" s="49"/>
      <c r="F302" s="49"/>
      <c r="G302" s="49"/>
      <c r="H302" s="50"/>
      <c r="I302" s="51"/>
      <c r="W302" s="59"/>
    </row>
    <row r="303" spans="4:23" ht="12.75">
      <c r="D303" s="49"/>
      <c r="E303" s="49"/>
      <c r="F303" s="49"/>
      <c r="G303" s="49"/>
      <c r="H303" s="50"/>
      <c r="I303" s="51"/>
      <c r="W303" s="59"/>
    </row>
    <row r="304" spans="4:23" ht="12.75">
      <c r="D304" s="49"/>
      <c r="E304" s="49"/>
      <c r="F304" s="49"/>
      <c r="G304" s="49"/>
      <c r="H304" s="50"/>
      <c r="I304" s="51"/>
      <c r="W304" s="59"/>
    </row>
    <row r="305" spans="4:23" ht="12.75">
      <c r="D305" s="49"/>
      <c r="E305" s="49"/>
      <c r="F305" s="49"/>
      <c r="G305" s="49"/>
      <c r="H305" s="50"/>
      <c r="I305" s="51"/>
      <c r="W305" s="59"/>
    </row>
    <row r="306" spans="4:23" ht="12.75">
      <c r="D306" s="49"/>
      <c r="E306" s="49"/>
      <c r="F306" s="49"/>
      <c r="G306" s="49"/>
      <c r="H306" s="50"/>
      <c r="I306" s="51"/>
      <c r="W306" s="59"/>
    </row>
    <row r="307" spans="4:23" ht="12.75">
      <c r="D307" s="49"/>
      <c r="E307" s="49"/>
      <c r="F307" s="49"/>
      <c r="G307" s="49"/>
      <c r="H307" s="50"/>
      <c r="I307" s="51"/>
      <c r="W307" s="59"/>
    </row>
    <row r="308" spans="4:23" ht="12.75">
      <c r="D308" s="49"/>
      <c r="E308" s="49"/>
      <c r="F308" s="49"/>
      <c r="G308" s="49"/>
      <c r="H308" s="50"/>
      <c r="I308" s="51"/>
      <c r="W308" s="59"/>
    </row>
    <row r="309" spans="4:23" ht="12.75">
      <c r="D309" s="49"/>
      <c r="E309" s="49"/>
      <c r="F309" s="49"/>
      <c r="G309" s="49"/>
      <c r="H309" s="50"/>
      <c r="I309" s="51"/>
      <c r="W309" s="59"/>
    </row>
    <row r="310" spans="4:23" ht="12.75">
      <c r="D310" s="49"/>
      <c r="E310" s="49"/>
      <c r="F310" s="49"/>
      <c r="G310" s="49"/>
      <c r="H310" s="50"/>
      <c r="I310" s="51"/>
      <c r="W310" s="59"/>
    </row>
    <row r="311" spans="4:23" ht="12.75">
      <c r="D311" s="49"/>
      <c r="E311" s="49"/>
      <c r="F311" s="49"/>
      <c r="G311" s="49"/>
      <c r="H311" s="50"/>
      <c r="I311" s="51"/>
      <c r="W311" s="59"/>
    </row>
    <row r="312" spans="4:23" ht="12.75">
      <c r="D312" s="49"/>
      <c r="E312" s="49"/>
      <c r="F312" s="49"/>
      <c r="G312" s="49"/>
      <c r="H312" s="50"/>
      <c r="I312" s="51"/>
      <c r="W312" s="59"/>
    </row>
    <row r="313" spans="4:23" ht="12.75">
      <c r="D313" s="49"/>
      <c r="E313" s="49"/>
      <c r="F313" s="49"/>
      <c r="G313" s="49"/>
      <c r="H313" s="50"/>
      <c r="I313" s="51"/>
      <c r="W313" s="59"/>
    </row>
    <row r="314" spans="4:23" ht="12.75">
      <c r="D314" s="49"/>
      <c r="E314" s="49"/>
      <c r="F314" s="49"/>
      <c r="G314" s="49"/>
      <c r="H314" s="50"/>
      <c r="I314" s="51"/>
      <c r="W314" s="59"/>
    </row>
    <row r="315" spans="4:23" ht="12.75">
      <c r="D315" s="49"/>
      <c r="E315" s="49"/>
      <c r="F315" s="49"/>
      <c r="G315" s="49"/>
      <c r="H315" s="50"/>
      <c r="I315" s="51"/>
      <c r="W315" s="59"/>
    </row>
    <row r="316" spans="4:23" ht="12.75">
      <c r="D316" s="49"/>
      <c r="E316" s="49"/>
      <c r="F316" s="49"/>
      <c r="G316" s="49"/>
      <c r="H316" s="50"/>
      <c r="I316" s="51"/>
      <c r="W316" s="59"/>
    </row>
    <row r="317" spans="4:23" ht="12.75">
      <c r="D317" s="49"/>
      <c r="E317" s="49"/>
      <c r="F317" s="49"/>
      <c r="G317" s="49"/>
      <c r="H317" s="50"/>
      <c r="I317" s="51"/>
      <c r="W317" s="59"/>
    </row>
    <row r="318" spans="4:23" ht="12.75">
      <c r="D318" s="49"/>
      <c r="E318" s="49"/>
      <c r="F318" s="49"/>
      <c r="G318" s="49"/>
      <c r="H318" s="50"/>
      <c r="I318" s="51"/>
      <c r="W318" s="59"/>
    </row>
    <row r="319" spans="4:23" ht="12.75">
      <c r="D319" s="49"/>
      <c r="E319" s="49"/>
      <c r="F319" s="49"/>
      <c r="G319" s="49"/>
      <c r="H319" s="50"/>
      <c r="I319" s="51"/>
      <c r="W319" s="59"/>
    </row>
    <row r="320" spans="4:23" ht="12.75">
      <c r="D320" s="49"/>
      <c r="E320" s="49"/>
      <c r="F320" s="49"/>
      <c r="G320" s="49"/>
      <c r="H320" s="50"/>
      <c r="I320" s="51"/>
      <c r="W320" s="59"/>
    </row>
    <row r="321" spans="4:23" ht="12.75">
      <c r="D321" s="49"/>
      <c r="E321" s="49"/>
      <c r="F321" s="49"/>
      <c r="G321" s="49"/>
      <c r="H321" s="50"/>
      <c r="I321" s="51"/>
      <c r="W321" s="59"/>
    </row>
    <row r="322" spans="4:23" ht="12.75">
      <c r="D322" s="49"/>
      <c r="E322" s="49"/>
      <c r="F322" s="49"/>
      <c r="G322" s="49"/>
      <c r="H322" s="50"/>
      <c r="I322" s="51"/>
      <c r="W322" s="59"/>
    </row>
    <row r="323" spans="4:23" ht="12.75">
      <c r="D323" s="49"/>
      <c r="E323" s="49"/>
      <c r="F323" s="49"/>
      <c r="G323" s="49"/>
      <c r="H323" s="50"/>
      <c r="I323" s="51"/>
      <c r="W323" s="59"/>
    </row>
    <row r="324" spans="4:23" ht="12.75">
      <c r="D324" s="49"/>
      <c r="E324" s="49"/>
      <c r="F324" s="49"/>
      <c r="G324" s="49"/>
      <c r="H324" s="50"/>
      <c r="I324" s="51"/>
      <c r="W324" s="59"/>
    </row>
    <row r="325" spans="4:23" ht="12.75">
      <c r="D325" s="49"/>
      <c r="E325" s="49"/>
      <c r="F325" s="49"/>
      <c r="G325" s="49"/>
      <c r="H325" s="50"/>
      <c r="I325" s="51"/>
      <c r="W325" s="59"/>
    </row>
    <row r="326" spans="4:23" ht="12.75">
      <c r="D326" s="49"/>
      <c r="E326" s="49"/>
      <c r="F326" s="49"/>
      <c r="G326" s="49"/>
      <c r="H326" s="50"/>
      <c r="I326" s="51"/>
      <c r="W326" s="59"/>
    </row>
    <row r="327" spans="4:23" ht="12.75">
      <c r="D327" s="49"/>
      <c r="E327" s="49"/>
      <c r="F327" s="49"/>
      <c r="G327" s="49"/>
      <c r="H327" s="50"/>
      <c r="I327" s="51"/>
      <c r="W327" s="59"/>
    </row>
    <row r="328" spans="4:23" ht="12.75">
      <c r="D328" s="49"/>
      <c r="E328" s="49"/>
      <c r="F328" s="49"/>
      <c r="G328" s="49"/>
      <c r="H328" s="50"/>
      <c r="I328" s="51"/>
      <c r="W328" s="59"/>
    </row>
    <row r="329" spans="4:23" ht="12.75">
      <c r="D329" s="49"/>
      <c r="E329" s="49"/>
      <c r="F329" s="49"/>
      <c r="G329" s="49"/>
      <c r="H329" s="50"/>
      <c r="I329" s="51"/>
      <c r="W329" s="59"/>
    </row>
    <row r="330" spans="4:23" ht="12.75">
      <c r="D330" s="49"/>
      <c r="E330" s="49"/>
      <c r="F330" s="49"/>
      <c r="G330" s="49"/>
      <c r="H330" s="50"/>
      <c r="I330" s="51"/>
      <c r="W330" s="59"/>
    </row>
    <row r="331" spans="4:23" ht="12.75">
      <c r="D331" s="49"/>
      <c r="E331" s="49"/>
      <c r="F331" s="49"/>
      <c r="G331" s="49"/>
      <c r="H331" s="50"/>
      <c r="I331" s="51"/>
      <c r="W331" s="59"/>
    </row>
    <row r="332" spans="4:23" ht="12.75">
      <c r="D332" s="49"/>
      <c r="E332" s="49"/>
      <c r="F332" s="49"/>
      <c r="G332" s="49"/>
      <c r="H332" s="50"/>
      <c r="I332" s="51"/>
      <c r="W332" s="59"/>
    </row>
    <row r="333" spans="4:23" ht="12.75">
      <c r="D333" s="49"/>
      <c r="E333" s="49"/>
      <c r="F333" s="49"/>
      <c r="G333" s="49"/>
      <c r="H333" s="50"/>
      <c r="I333" s="51"/>
      <c r="W333" s="59"/>
    </row>
    <row r="334" spans="4:23" ht="12.75">
      <c r="D334" s="49"/>
      <c r="E334" s="49"/>
      <c r="F334" s="49"/>
      <c r="G334" s="49"/>
      <c r="H334" s="50"/>
      <c r="I334" s="51"/>
      <c r="W334" s="59"/>
    </row>
    <row r="335" spans="4:23" ht="12.75">
      <c r="D335" s="49"/>
      <c r="E335" s="49"/>
      <c r="F335" s="49"/>
      <c r="G335" s="49"/>
      <c r="H335" s="50"/>
      <c r="I335" s="51"/>
      <c r="W335" s="59"/>
    </row>
    <row r="336" spans="4:23" ht="12.75">
      <c r="D336" s="49"/>
      <c r="E336" s="49"/>
      <c r="F336" s="49"/>
      <c r="G336" s="49"/>
      <c r="H336" s="50"/>
      <c r="I336" s="51"/>
      <c r="W336" s="59"/>
    </row>
    <row r="337" spans="4:23" ht="12.75">
      <c r="D337" s="49"/>
      <c r="E337" s="49"/>
      <c r="F337" s="49"/>
      <c r="G337" s="49"/>
      <c r="H337" s="50"/>
      <c r="I337" s="51"/>
      <c r="W337" s="59"/>
    </row>
    <row r="338" spans="4:23" ht="12.75">
      <c r="D338" s="49"/>
      <c r="E338" s="49"/>
      <c r="F338" s="49"/>
      <c r="G338" s="49"/>
      <c r="H338" s="50"/>
      <c r="I338" s="51"/>
      <c r="W338" s="59"/>
    </row>
    <row r="339" spans="4:23" ht="12.75">
      <c r="D339" s="49"/>
      <c r="E339" s="49"/>
      <c r="F339" s="49"/>
      <c r="G339" s="49"/>
      <c r="H339" s="50"/>
      <c r="I339" s="51"/>
      <c r="W339" s="59"/>
    </row>
    <row r="340" spans="4:23" ht="12.75">
      <c r="D340" s="49"/>
      <c r="E340" s="49"/>
      <c r="F340" s="49"/>
      <c r="G340" s="49"/>
      <c r="H340" s="50"/>
      <c r="I340" s="51"/>
      <c r="W340" s="59"/>
    </row>
    <row r="341" spans="4:23" ht="12.75">
      <c r="D341" s="49"/>
      <c r="E341" s="49"/>
      <c r="F341" s="49"/>
      <c r="G341" s="49"/>
      <c r="H341" s="50"/>
      <c r="I341" s="51"/>
      <c r="W341" s="59"/>
    </row>
    <row r="342" spans="4:23" ht="12.75">
      <c r="D342" s="49"/>
      <c r="E342" s="49"/>
      <c r="F342" s="49"/>
      <c r="G342" s="49"/>
      <c r="H342" s="50"/>
      <c r="I342" s="51"/>
      <c r="W342" s="59"/>
    </row>
    <row r="343" spans="4:23" ht="12.75">
      <c r="D343" s="49"/>
      <c r="E343" s="49"/>
      <c r="F343" s="49"/>
      <c r="G343" s="49"/>
      <c r="H343" s="50"/>
      <c r="I343" s="51"/>
      <c r="W343" s="59"/>
    </row>
    <row r="344" spans="4:23" ht="12.75">
      <c r="D344" s="49"/>
      <c r="E344" s="49"/>
      <c r="F344" s="49"/>
      <c r="G344" s="49"/>
      <c r="H344" s="50"/>
      <c r="I344" s="51"/>
      <c r="W344" s="59"/>
    </row>
    <row r="345" spans="4:23" ht="12.75">
      <c r="D345" s="49"/>
      <c r="E345" s="49"/>
      <c r="F345" s="49"/>
      <c r="G345" s="49"/>
      <c r="H345" s="50"/>
      <c r="I345" s="51"/>
      <c r="W345" s="59"/>
    </row>
    <row r="346" spans="4:23" ht="12.75">
      <c r="D346" s="49"/>
      <c r="E346" s="49"/>
      <c r="F346" s="49"/>
      <c r="G346" s="49"/>
      <c r="H346" s="50"/>
      <c r="I346" s="51"/>
      <c r="W346" s="59"/>
    </row>
    <row r="347" spans="4:23" ht="12.75">
      <c r="D347" s="49"/>
      <c r="E347" s="49"/>
      <c r="F347" s="49"/>
      <c r="G347" s="49"/>
      <c r="H347" s="50"/>
      <c r="I347" s="51"/>
      <c r="W347" s="59"/>
    </row>
    <row r="348" spans="4:23" ht="12.75">
      <c r="D348" s="49"/>
      <c r="E348" s="49"/>
      <c r="F348" s="49"/>
      <c r="G348" s="49"/>
      <c r="H348" s="50"/>
      <c r="I348" s="51"/>
      <c r="W348" s="59"/>
    </row>
    <row r="349" spans="4:23" ht="12.75">
      <c r="D349" s="49"/>
      <c r="E349" s="49"/>
      <c r="F349" s="49"/>
      <c r="G349" s="49"/>
      <c r="H349" s="50"/>
      <c r="I349" s="51"/>
      <c r="W349" s="59"/>
    </row>
    <row r="350" spans="4:23" ht="12.75">
      <c r="D350" s="49"/>
      <c r="E350" s="49"/>
      <c r="F350" s="49"/>
      <c r="G350" s="49"/>
      <c r="H350" s="50"/>
      <c r="I350" s="51"/>
      <c r="W350" s="59"/>
    </row>
    <row r="351" spans="4:23" ht="12.75">
      <c r="D351" s="49"/>
      <c r="E351" s="49"/>
      <c r="F351" s="49"/>
      <c r="G351" s="49"/>
      <c r="H351" s="50"/>
      <c r="I351" s="51"/>
      <c r="W351" s="59"/>
    </row>
    <row r="352" spans="4:23" ht="12.75">
      <c r="D352" s="49"/>
      <c r="E352" s="49"/>
      <c r="F352" s="49"/>
      <c r="G352" s="49"/>
      <c r="H352" s="50"/>
      <c r="I352" s="51"/>
      <c r="W352" s="59"/>
    </row>
    <row r="353" spans="4:23" ht="12.75">
      <c r="D353" s="49"/>
      <c r="E353" s="49"/>
      <c r="F353" s="49"/>
      <c r="G353" s="49"/>
      <c r="H353" s="50"/>
      <c r="I353" s="51"/>
      <c r="W353" s="59"/>
    </row>
    <row r="354" spans="4:23" ht="12.75">
      <c r="D354" s="49"/>
      <c r="E354" s="49"/>
      <c r="F354" s="49"/>
      <c r="G354" s="49"/>
      <c r="H354" s="50"/>
      <c r="I354" s="51"/>
      <c r="W354" s="59"/>
    </row>
    <row r="355" spans="4:23" ht="12.75">
      <c r="D355" s="49"/>
      <c r="E355" s="49"/>
      <c r="F355" s="49"/>
      <c r="G355" s="49"/>
      <c r="H355" s="50"/>
      <c r="I355" s="51"/>
      <c r="W355" s="59"/>
    </row>
    <row r="356" spans="4:23" ht="12.75">
      <c r="D356" s="49"/>
      <c r="E356" s="49"/>
      <c r="F356" s="49"/>
      <c r="G356" s="49"/>
      <c r="H356" s="50"/>
      <c r="I356" s="51"/>
      <c r="W356" s="59"/>
    </row>
    <row r="357" spans="4:23" ht="12.75">
      <c r="D357" s="49"/>
      <c r="E357" s="49"/>
      <c r="F357" s="49"/>
      <c r="G357" s="49"/>
      <c r="H357" s="50"/>
      <c r="I357" s="51"/>
      <c r="W357" s="59"/>
    </row>
    <row r="358" spans="4:23" ht="12.75">
      <c r="D358" s="49"/>
      <c r="E358" s="49"/>
      <c r="F358" s="49"/>
      <c r="G358" s="49"/>
      <c r="H358" s="50"/>
      <c r="I358" s="51"/>
      <c r="W358" s="59"/>
    </row>
    <row r="359" spans="4:23" ht="12.75">
      <c r="D359" s="49"/>
      <c r="E359" s="49"/>
      <c r="F359" s="49"/>
      <c r="G359" s="49"/>
      <c r="H359" s="50"/>
      <c r="I359" s="51"/>
      <c r="W359" s="59"/>
    </row>
    <row r="360" spans="4:23" ht="12.75">
      <c r="D360" s="49"/>
      <c r="E360" s="49"/>
      <c r="F360" s="49"/>
      <c r="G360" s="49"/>
      <c r="H360" s="50"/>
      <c r="I360" s="51"/>
      <c r="W360" s="59"/>
    </row>
    <row r="361" spans="4:23" ht="12.75">
      <c r="D361" s="49"/>
      <c r="E361" s="49"/>
      <c r="F361" s="49"/>
      <c r="G361" s="49"/>
      <c r="H361" s="50"/>
      <c r="I361" s="51"/>
      <c r="W361" s="59"/>
    </row>
    <row r="362" spans="4:23" ht="12.75">
      <c r="D362" s="49"/>
      <c r="E362" s="49"/>
      <c r="F362" s="49"/>
      <c r="G362" s="49"/>
      <c r="H362" s="50"/>
      <c r="I362" s="51"/>
      <c r="W362" s="59"/>
    </row>
    <row r="363" spans="4:23" ht="12.75">
      <c r="D363" s="49"/>
      <c r="E363" s="49"/>
      <c r="F363" s="49"/>
      <c r="G363" s="49"/>
      <c r="H363" s="50"/>
      <c r="I363" s="51"/>
      <c r="W363" s="59"/>
    </row>
    <row r="364" spans="4:23" ht="12.75">
      <c r="D364" s="49"/>
      <c r="E364" s="49"/>
      <c r="F364" s="49"/>
      <c r="G364" s="49"/>
      <c r="H364" s="50"/>
      <c r="I364" s="51"/>
      <c r="W364" s="59"/>
    </row>
    <row r="365" spans="4:23" ht="12.75">
      <c r="D365" s="49"/>
      <c r="E365" s="49"/>
      <c r="F365" s="49"/>
      <c r="G365" s="49"/>
      <c r="H365" s="50"/>
      <c r="I365" s="51"/>
      <c r="W365" s="59"/>
    </row>
    <row r="366" spans="4:23" ht="12.75">
      <c r="D366" s="49"/>
      <c r="E366" s="49"/>
      <c r="F366" s="49"/>
      <c r="G366" s="49"/>
      <c r="H366" s="50"/>
      <c r="I366" s="51"/>
      <c r="W366" s="59"/>
    </row>
    <row r="367" spans="4:23" ht="12.75">
      <c r="D367" s="49"/>
      <c r="E367" s="49"/>
      <c r="F367" s="49"/>
      <c r="G367" s="49"/>
      <c r="H367" s="50"/>
      <c r="I367" s="51"/>
      <c r="W367" s="59"/>
    </row>
    <row r="368" spans="4:23" ht="12.75">
      <c r="D368" s="49"/>
      <c r="E368" s="49"/>
      <c r="F368" s="49"/>
      <c r="G368" s="49"/>
      <c r="H368" s="50"/>
      <c r="I368" s="51"/>
      <c r="W368" s="59"/>
    </row>
    <row r="369" spans="4:23" ht="12.75">
      <c r="D369" s="49"/>
      <c r="E369" s="49"/>
      <c r="F369" s="49"/>
      <c r="G369" s="49"/>
      <c r="H369" s="50"/>
      <c r="I369" s="51"/>
      <c r="W369" s="59"/>
    </row>
    <row r="370" spans="4:23" ht="12.75">
      <c r="D370" s="49"/>
      <c r="E370" s="49"/>
      <c r="F370" s="49"/>
      <c r="G370" s="49"/>
      <c r="H370" s="50"/>
      <c r="I370" s="51"/>
      <c r="W370" s="59"/>
    </row>
    <row r="371" spans="4:23" ht="12.75">
      <c r="D371" s="49"/>
      <c r="E371" s="49"/>
      <c r="F371" s="49"/>
      <c r="G371" s="49"/>
      <c r="H371" s="50"/>
      <c r="I371" s="51"/>
      <c r="W371" s="59"/>
    </row>
    <row r="372" spans="4:23" ht="12.75">
      <c r="D372" s="49"/>
      <c r="E372" s="49"/>
      <c r="F372" s="49"/>
      <c r="G372" s="49"/>
      <c r="H372" s="50"/>
      <c r="I372" s="51"/>
      <c r="W372" s="59"/>
    </row>
    <row r="373" spans="4:23" ht="12.75">
      <c r="D373" s="49"/>
      <c r="E373" s="49"/>
      <c r="F373" s="49"/>
      <c r="G373" s="49"/>
      <c r="H373" s="50"/>
      <c r="I373" s="51"/>
      <c r="W373" s="59"/>
    </row>
    <row r="374" spans="4:23" ht="12.75">
      <c r="D374" s="49"/>
      <c r="E374" s="49"/>
      <c r="F374" s="49"/>
      <c r="G374" s="49"/>
      <c r="H374" s="50"/>
      <c r="I374" s="51"/>
      <c r="W374" s="59"/>
    </row>
    <row r="375" spans="4:23" ht="12.75">
      <c r="D375" s="49"/>
      <c r="E375" s="49"/>
      <c r="F375" s="49"/>
      <c r="G375" s="49"/>
      <c r="H375" s="50"/>
      <c r="I375" s="51"/>
      <c r="W375" s="59"/>
    </row>
    <row r="376" spans="4:23" ht="12.75">
      <c r="D376" s="49"/>
      <c r="E376" s="49"/>
      <c r="F376" s="49"/>
      <c r="G376" s="49"/>
      <c r="H376" s="50"/>
      <c r="I376" s="51"/>
      <c r="W376" s="59"/>
    </row>
    <row r="377" spans="4:23" ht="12.75">
      <c r="D377" s="49"/>
      <c r="E377" s="49"/>
      <c r="F377" s="49"/>
      <c r="G377" s="49"/>
      <c r="H377" s="50"/>
      <c r="I377" s="51"/>
      <c r="W377" s="59"/>
    </row>
    <row r="378" spans="4:23" ht="12.75">
      <c r="D378" s="49"/>
      <c r="E378" s="49"/>
      <c r="F378" s="49"/>
      <c r="G378" s="49"/>
      <c r="H378" s="50"/>
      <c r="I378" s="51"/>
      <c r="W378" s="59"/>
    </row>
    <row r="379" spans="4:23" ht="12.75">
      <c r="D379" s="49"/>
      <c r="E379" s="49"/>
      <c r="F379" s="49"/>
      <c r="G379" s="49"/>
      <c r="H379" s="50"/>
      <c r="I379" s="51"/>
      <c r="W379" s="59"/>
    </row>
    <row r="380" spans="4:23" ht="12.75">
      <c r="D380" s="49"/>
      <c r="E380" s="49"/>
      <c r="F380" s="49"/>
      <c r="G380" s="49"/>
      <c r="H380" s="50"/>
      <c r="I380" s="51"/>
      <c r="W380" s="59"/>
    </row>
    <row r="381" spans="4:23" ht="12.75">
      <c r="D381" s="49"/>
      <c r="E381" s="49"/>
      <c r="F381" s="49"/>
      <c r="G381" s="49"/>
      <c r="H381" s="50"/>
      <c r="I381" s="51"/>
      <c r="W381" s="59"/>
    </row>
    <row r="382" spans="4:23" ht="12.75">
      <c r="D382" s="49"/>
      <c r="E382" s="49"/>
      <c r="F382" s="49"/>
      <c r="G382" s="49"/>
      <c r="H382" s="50"/>
      <c r="I382" s="51"/>
      <c r="W382" s="59"/>
    </row>
    <row r="383" spans="4:23" ht="12.75">
      <c r="D383" s="49"/>
      <c r="E383" s="49"/>
      <c r="F383" s="49"/>
      <c r="G383" s="49"/>
      <c r="H383" s="50"/>
      <c r="I383" s="51"/>
      <c r="W383" s="59"/>
    </row>
    <row r="384" spans="4:23" ht="12.75">
      <c r="D384" s="49"/>
      <c r="E384" s="49"/>
      <c r="F384" s="49"/>
      <c r="G384" s="49"/>
      <c r="H384" s="50"/>
      <c r="I384" s="51"/>
      <c r="W384" s="59"/>
    </row>
    <row r="385" spans="4:23" ht="12.75">
      <c r="D385" s="49"/>
      <c r="E385" s="49"/>
      <c r="F385" s="49"/>
      <c r="G385" s="49"/>
      <c r="H385" s="50"/>
      <c r="I385" s="51"/>
      <c r="W385" s="59"/>
    </row>
    <row r="386" spans="4:23" ht="12.75">
      <c r="D386" s="49"/>
      <c r="E386" s="49"/>
      <c r="F386" s="49"/>
      <c r="G386" s="49"/>
      <c r="H386" s="50"/>
      <c r="I386" s="51"/>
      <c r="W386" s="59"/>
    </row>
    <row r="387" spans="4:23" ht="12.75">
      <c r="D387" s="49"/>
      <c r="E387" s="49"/>
      <c r="F387" s="49"/>
      <c r="G387" s="49"/>
      <c r="H387" s="50"/>
      <c r="I387" s="51"/>
      <c r="W387" s="59"/>
    </row>
    <row r="388" spans="4:23" ht="12.75">
      <c r="D388" s="49"/>
      <c r="E388" s="49"/>
      <c r="F388" s="49"/>
      <c r="G388" s="49"/>
      <c r="H388" s="50"/>
      <c r="I388" s="51"/>
      <c r="W388" s="59"/>
    </row>
    <row r="389" spans="4:23" ht="12.75">
      <c r="D389" s="49"/>
      <c r="E389" s="49"/>
      <c r="F389" s="49"/>
      <c r="G389" s="49"/>
      <c r="H389" s="50"/>
      <c r="I389" s="51"/>
      <c r="W389" s="59"/>
    </row>
    <row r="390" spans="4:23" ht="12.75">
      <c r="D390" s="49"/>
      <c r="E390" s="49"/>
      <c r="F390" s="49"/>
      <c r="G390" s="49"/>
      <c r="H390" s="50"/>
      <c r="I390" s="51"/>
      <c r="W390" s="59"/>
    </row>
    <row r="391" spans="4:23" ht="12.75">
      <c r="D391" s="49"/>
      <c r="E391" s="49"/>
      <c r="F391" s="49"/>
      <c r="G391" s="49"/>
      <c r="H391" s="50"/>
      <c r="I391" s="51"/>
      <c r="W391" s="59"/>
    </row>
    <row r="392" spans="4:23" ht="12.75">
      <c r="D392" s="49"/>
      <c r="E392" s="49"/>
      <c r="F392" s="49"/>
      <c r="G392" s="49"/>
      <c r="H392" s="50"/>
      <c r="I392" s="51"/>
      <c r="W392" s="59"/>
    </row>
    <row r="393" spans="4:23" ht="12.75">
      <c r="D393" s="49"/>
      <c r="E393" s="49"/>
      <c r="F393" s="49"/>
      <c r="G393" s="49"/>
      <c r="H393" s="50"/>
      <c r="I393" s="51"/>
      <c r="W393" s="59"/>
    </row>
    <row r="394" spans="4:23" ht="12.75">
      <c r="D394" s="49"/>
      <c r="E394" s="49"/>
      <c r="F394" s="49"/>
      <c r="G394" s="49"/>
      <c r="H394" s="50"/>
      <c r="I394" s="51"/>
      <c r="W394" s="59"/>
    </row>
    <row r="395" spans="4:23" ht="12.75">
      <c r="D395" s="49"/>
      <c r="E395" s="49"/>
      <c r="F395" s="49"/>
      <c r="G395" s="49"/>
      <c r="H395" s="50"/>
      <c r="I395" s="51"/>
      <c r="W395" s="59"/>
    </row>
    <row r="396" spans="4:23" ht="12.75">
      <c r="D396" s="49"/>
      <c r="E396" s="49"/>
      <c r="F396" s="49"/>
      <c r="G396" s="49"/>
      <c r="H396" s="50"/>
      <c r="I396" s="51"/>
      <c r="W396" s="59"/>
    </row>
    <row r="397" spans="4:23" ht="12.75">
      <c r="D397" s="49"/>
      <c r="E397" s="49"/>
      <c r="F397" s="49"/>
      <c r="G397" s="49"/>
      <c r="H397" s="50"/>
      <c r="I397" s="51"/>
      <c r="W397" s="59"/>
    </row>
    <row r="398" spans="4:23" ht="12.75">
      <c r="D398" s="49"/>
      <c r="E398" s="49"/>
      <c r="F398" s="49"/>
      <c r="G398" s="49"/>
      <c r="H398" s="50"/>
      <c r="I398" s="51"/>
      <c r="W398" s="59"/>
    </row>
    <row r="399" spans="4:23" ht="12.75">
      <c r="D399" s="49"/>
      <c r="E399" s="49"/>
      <c r="F399" s="49"/>
      <c r="G399" s="49"/>
      <c r="H399" s="50"/>
      <c r="I399" s="51"/>
      <c r="W399" s="59"/>
    </row>
    <row r="400" spans="4:23" ht="12.75">
      <c r="D400" s="49"/>
      <c r="E400" s="49"/>
      <c r="F400" s="49"/>
      <c r="G400" s="49"/>
      <c r="H400" s="50"/>
      <c r="I400" s="51"/>
      <c r="W400" s="59"/>
    </row>
    <row r="401" spans="4:23" ht="12.75">
      <c r="D401" s="49"/>
      <c r="E401" s="49"/>
      <c r="F401" s="49"/>
      <c r="G401" s="49"/>
      <c r="H401" s="50"/>
      <c r="I401" s="51"/>
      <c r="W401" s="59"/>
    </row>
    <row r="402" spans="4:23" ht="12.75">
      <c r="D402" s="49"/>
      <c r="E402" s="49"/>
      <c r="F402" s="49"/>
      <c r="G402" s="49"/>
      <c r="H402" s="50"/>
      <c r="I402" s="51"/>
      <c r="W402" s="59"/>
    </row>
    <row r="403" spans="4:23" ht="12.75">
      <c r="D403" s="49"/>
      <c r="E403" s="49"/>
      <c r="F403" s="49"/>
      <c r="G403" s="49"/>
      <c r="H403" s="50"/>
      <c r="I403" s="51"/>
      <c r="W403" s="59"/>
    </row>
    <row r="404" spans="4:23" ht="12.75">
      <c r="D404" s="49"/>
      <c r="E404" s="49"/>
      <c r="F404" s="49"/>
      <c r="G404" s="49"/>
      <c r="H404" s="50"/>
      <c r="I404" s="51"/>
      <c r="W404" s="59"/>
    </row>
    <row r="405" spans="4:23" ht="12.75">
      <c r="D405" s="49"/>
      <c r="E405" s="49"/>
      <c r="F405" s="49"/>
      <c r="G405" s="49"/>
      <c r="H405" s="50"/>
      <c r="I405" s="51"/>
      <c r="W405" s="59"/>
    </row>
    <row r="406" spans="4:23" ht="12.75">
      <c r="D406" s="49"/>
      <c r="E406" s="49"/>
      <c r="F406" s="49"/>
      <c r="G406" s="49"/>
      <c r="H406" s="50"/>
      <c r="I406" s="51"/>
      <c r="W406" s="59"/>
    </row>
    <row r="407" spans="4:23" ht="12.75">
      <c r="D407" s="49"/>
      <c r="E407" s="49"/>
      <c r="F407" s="49"/>
      <c r="G407" s="49"/>
      <c r="H407" s="50"/>
      <c r="I407" s="51"/>
      <c r="W407" s="59"/>
    </row>
    <row r="408" spans="4:23" ht="12.75">
      <c r="D408" s="49"/>
      <c r="E408" s="49"/>
      <c r="F408" s="49"/>
      <c r="G408" s="49"/>
      <c r="H408" s="50"/>
      <c r="I408" s="51"/>
      <c r="W408" s="59"/>
    </row>
    <row r="409" spans="4:23" ht="12.75">
      <c r="D409" s="49"/>
      <c r="E409" s="49"/>
      <c r="F409" s="49"/>
      <c r="G409" s="49"/>
      <c r="H409" s="50"/>
      <c r="I409" s="51"/>
      <c r="W409" s="59"/>
    </row>
    <row r="410" spans="4:23" ht="12.75">
      <c r="D410" s="49"/>
      <c r="E410" s="49"/>
      <c r="F410" s="49"/>
      <c r="G410" s="49"/>
      <c r="H410" s="50"/>
      <c r="I410" s="51"/>
      <c r="W410" s="59"/>
    </row>
    <row r="411" spans="4:23" ht="12.75">
      <c r="D411" s="49"/>
      <c r="E411" s="49"/>
      <c r="F411" s="49"/>
      <c r="G411" s="49"/>
      <c r="H411" s="50"/>
      <c r="I411" s="51"/>
      <c r="W411" s="59"/>
    </row>
    <row r="412" spans="4:23" ht="12.75">
      <c r="D412" s="49"/>
      <c r="E412" s="49"/>
      <c r="F412" s="49"/>
      <c r="G412" s="49"/>
      <c r="H412" s="50"/>
      <c r="I412" s="51"/>
      <c r="W412" s="59"/>
    </row>
    <row r="413" spans="4:23" ht="12.75">
      <c r="D413" s="49"/>
      <c r="E413" s="49"/>
      <c r="F413" s="49"/>
      <c r="G413" s="49"/>
      <c r="H413" s="50"/>
      <c r="I413" s="51"/>
      <c r="W413" s="59"/>
    </row>
    <row r="414" spans="4:23" ht="12.75">
      <c r="D414" s="49"/>
      <c r="E414" s="49"/>
      <c r="F414" s="49"/>
      <c r="G414" s="49"/>
      <c r="H414" s="50"/>
      <c r="I414" s="51"/>
      <c r="W414" s="59"/>
    </row>
    <row r="415" spans="4:23" ht="12.75">
      <c r="D415" s="49"/>
      <c r="E415" s="49"/>
      <c r="F415" s="49"/>
      <c r="G415" s="49"/>
      <c r="H415" s="50"/>
      <c r="I415" s="51"/>
      <c r="W415" s="59"/>
    </row>
    <row r="416" spans="4:23" ht="12.75">
      <c r="D416" s="49"/>
      <c r="E416" s="49"/>
      <c r="F416" s="49"/>
      <c r="G416" s="49"/>
      <c r="H416" s="50"/>
      <c r="I416" s="51"/>
      <c r="W416" s="59"/>
    </row>
    <row r="417" spans="4:23" ht="12.75">
      <c r="D417" s="49"/>
      <c r="E417" s="49"/>
      <c r="F417" s="49"/>
      <c r="G417" s="49"/>
      <c r="H417" s="50"/>
      <c r="I417" s="51"/>
      <c r="W417" s="59"/>
    </row>
    <row r="418" spans="4:23" ht="12.75">
      <c r="D418" s="49"/>
      <c r="E418" s="49"/>
      <c r="F418" s="49"/>
      <c r="G418" s="49"/>
      <c r="H418" s="50"/>
      <c r="I418" s="51"/>
      <c r="W418" s="59"/>
    </row>
    <row r="419" spans="4:23" ht="12.75">
      <c r="D419" s="49"/>
      <c r="E419" s="49"/>
      <c r="F419" s="49"/>
      <c r="G419" s="49"/>
      <c r="H419" s="50"/>
      <c r="I419" s="51"/>
      <c r="W419" s="59"/>
    </row>
    <row r="420" spans="4:23" ht="12.75">
      <c r="D420" s="49"/>
      <c r="E420" s="49"/>
      <c r="F420" s="49"/>
      <c r="G420" s="49"/>
      <c r="H420" s="50"/>
      <c r="I420" s="51"/>
      <c r="W420" s="59"/>
    </row>
    <row r="421" spans="4:23" ht="12.75">
      <c r="D421" s="49"/>
      <c r="E421" s="49"/>
      <c r="F421" s="49"/>
      <c r="G421" s="49"/>
      <c r="H421" s="50"/>
      <c r="I421" s="51"/>
      <c r="W421" s="59"/>
    </row>
    <row r="422" spans="4:23" ht="12.75">
      <c r="D422" s="49"/>
      <c r="E422" s="49"/>
      <c r="F422" s="49"/>
      <c r="G422" s="49"/>
      <c r="H422" s="50"/>
      <c r="I422" s="51"/>
      <c r="W422" s="59"/>
    </row>
    <row r="423" spans="4:23" ht="12.75">
      <c r="D423" s="49"/>
      <c r="E423" s="49"/>
      <c r="F423" s="49"/>
      <c r="G423" s="49"/>
      <c r="H423" s="50"/>
      <c r="I423" s="51"/>
      <c r="W423" s="59"/>
    </row>
    <row r="424" spans="4:23" ht="12.75">
      <c r="D424" s="49"/>
      <c r="E424" s="49"/>
      <c r="F424" s="49"/>
      <c r="G424" s="49"/>
      <c r="H424" s="50"/>
      <c r="I424" s="51"/>
      <c r="W424" s="59"/>
    </row>
    <row r="425" spans="4:23" ht="12.75">
      <c r="D425" s="49"/>
      <c r="E425" s="49"/>
      <c r="F425" s="49"/>
      <c r="G425" s="49"/>
      <c r="H425" s="50"/>
      <c r="I425" s="51"/>
      <c r="W425" s="59"/>
    </row>
    <row r="426" spans="4:23" ht="12.75">
      <c r="D426" s="49"/>
      <c r="E426" s="49"/>
      <c r="F426" s="49"/>
      <c r="G426" s="49"/>
      <c r="H426" s="50"/>
      <c r="I426" s="51"/>
      <c r="W426" s="59"/>
    </row>
    <row r="427" spans="4:23" ht="12.75">
      <c r="D427" s="49"/>
      <c r="E427" s="49"/>
      <c r="F427" s="49"/>
      <c r="G427" s="49"/>
      <c r="H427" s="50"/>
      <c r="I427" s="51"/>
      <c r="W427" s="59"/>
    </row>
    <row r="428" spans="4:23" ht="12.75">
      <c r="D428" s="49"/>
      <c r="E428" s="49"/>
      <c r="F428" s="49"/>
      <c r="G428" s="49"/>
      <c r="H428" s="50"/>
      <c r="I428" s="51"/>
      <c r="W428" s="59"/>
    </row>
    <row r="429" spans="4:23" ht="12.75">
      <c r="D429" s="49"/>
      <c r="E429" s="49"/>
      <c r="F429" s="49"/>
      <c r="G429" s="49"/>
      <c r="H429" s="50"/>
      <c r="I429" s="51"/>
      <c r="W429" s="59"/>
    </row>
    <row r="430" spans="4:23" ht="12.75">
      <c r="D430" s="49"/>
      <c r="E430" s="49"/>
      <c r="F430" s="49"/>
      <c r="G430" s="49"/>
      <c r="H430" s="50"/>
      <c r="I430" s="51"/>
      <c r="W430" s="59"/>
    </row>
    <row r="431" spans="4:23" ht="12.75">
      <c r="D431" s="49"/>
      <c r="E431" s="49"/>
      <c r="F431" s="49"/>
      <c r="G431" s="49"/>
      <c r="H431" s="50"/>
      <c r="I431" s="51"/>
      <c r="W431" s="59"/>
    </row>
    <row r="432" spans="4:23" ht="12.75">
      <c r="D432" s="49"/>
      <c r="E432" s="49"/>
      <c r="F432" s="49"/>
      <c r="G432" s="49"/>
      <c r="H432" s="50"/>
      <c r="I432" s="51"/>
      <c r="W432" s="59"/>
    </row>
    <row r="433" spans="4:23" ht="12.75">
      <c r="D433" s="49"/>
      <c r="E433" s="49"/>
      <c r="F433" s="49"/>
      <c r="G433" s="49"/>
      <c r="H433" s="50"/>
      <c r="I433" s="51"/>
      <c r="W433" s="59"/>
    </row>
    <row r="434" spans="4:23" ht="12.75">
      <c r="D434" s="49"/>
      <c r="E434" s="49"/>
      <c r="F434" s="49"/>
      <c r="G434" s="49"/>
      <c r="H434" s="50"/>
      <c r="I434" s="51"/>
      <c r="W434" s="59"/>
    </row>
    <row r="435" spans="4:23" ht="12.75">
      <c r="D435" s="49"/>
      <c r="E435" s="49"/>
      <c r="F435" s="49"/>
      <c r="G435" s="49"/>
      <c r="H435" s="50"/>
      <c r="I435" s="51"/>
      <c r="W435" s="59"/>
    </row>
    <row r="436" spans="4:23" ht="12.75">
      <c r="D436" s="49"/>
      <c r="E436" s="49"/>
      <c r="F436" s="49"/>
      <c r="G436" s="49"/>
      <c r="H436" s="50"/>
      <c r="I436" s="51"/>
      <c r="W436" s="59"/>
    </row>
    <row r="437" spans="4:23" ht="12.75">
      <c r="D437" s="49"/>
      <c r="E437" s="49"/>
      <c r="F437" s="49"/>
      <c r="G437" s="49"/>
      <c r="H437" s="50"/>
      <c r="I437" s="51"/>
      <c r="W437" s="59"/>
    </row>
    <row r="438" spans="4:23" ht="12.75">
      <c r="D438" s="49"/>
      <c r="E438" s="49"/>
      <c r="F438" s="49"/>
      <c r="G438" s="49"/>
      <c r="H438" s="50"/>
      <c r="I438" s="51"/>
      <c r="W438" s="59"/>
    </row>
    <row r="439" spans="4:23" ht="12.75">
      <c r="D439" s="49"/>
      <c r="E439" s="49"/>
      <c r="F439" s="49"/>
      <c r="G439" s="49"/>
      <c r="H439" s="50"/>
      <c r="I439" s="51"/>
      <c r="W439" s="59"/>
    </row>
    <row r="440" spans="4:23" ht="12.75">
      <c r="D440" s="49"/>
      <c r="E440" s="49"/>
      <c r="F440" s="49"/>
      <c r="G440" s="49"/>
      <c r="H440" s="50"/>
      <c r="I440" s="51"/>
      <c r="W440" s="59"/>
    </row>
    <row r="441" spans="4:23" ht="12.75">
      <c r="D441" s="49"/>
      <c r="E441" s="49"/>
      <c r="F441" s="49"/>
      <c r="G441" s="49"/>
      <c r="H441" s="50"/>
      <c r="I441" s="51"/>
      <c r="W441" s="59"/>
    </row>
    <row r="442" spans="4:23" ht="12.75">
      <c r="D442" s="49"/>
      <c r="E442" s="49"/>
      <c r="F442" s="49"/>
      <c r="G442" s="49"/>
      <c r="H442" s="50"/>
      <c r="I442" s="51"/>
      <c r="W442" s="59"/>
    </row>
    <row r="443" spans="4:23" ht="12.75">
      <c r="D443" s="49"/>
      <c r="E443" s="49"/>
      <c r="F443" s="49"/>
      <c r="G443" s="49"/>
      <c r="H443" s="50"/>
      <c r="I443" s="51"/>
      <c r="W443" s="59"/>
    </row>
    <row r="444" spans="4:23" ht="12.75">
      <c r="D444" s="49"/>
      <c r="E444" s="49"/>
      <c r="F444" s="49"/>
      <c r="G444" s="49"/>
      <c r="H444" s="50"/>
      <c r="I444" s="51"/>
      <c r="W444" s="59"/>
    </row>
    <row r="445" spans="4:23" ht="12.75">
      <c r="D445" s="49"/>
      <c r="E445" s="49"/>
      <c r="F445" s="49"/>
      <c r="G445" s="49"/>
      <c r="H445" s="50"/>
      <c r="I445" s="51"/>
      <c r="W445" s="59"/>
    </row>
    <row r="446" spans="4:23" ht="12.75">
      <c r="D446" s="49"/>
      <c r="E446" s="49"/>
      <c r="F446" s="49"/>
      <c r="G446" s="49"/>
      <c r="H446" s="50"/>
      <c r="I446" s="51"/>
      <c r="W446" s="59"/>
    </row>
    <row r="447" spans="4:23" ht="12.75">
      <c r="D447" s="49"/>
      <c r="E447" s="49"/>
      <c r="F447" s="49"/>
      <c r="G447" s="49"/>
      <c r="H447" s="50"/>
      <c r="I447" s="51"/>
      <c r="W447" s="59"/>
    </row>
    <row r="448" spans="4:23" ht="12.75">
      <c r="D448" s="49"/>
      <c r="E448" s="49"/>
      <c r="F448" s="49"/>
      <c r="G448" s="49"/>
      <c r="H448" s="50"/>
      <c r="I448" s="51"/>
      <c r="W448" s="59"/>
    </row>
    <row r="449" spans="4:23" ht="12.75">
      <c r="D449" s="49"/>
      <c r="E449" s="49"/>
      <c r="F449" s="49"/>
      <c r="G449" s="49"/>
      <c r="H449" s="50"/>
      <c r="I449" s="51"/>
      <c r="W449" s="59"/>
    </row>
    <row r="450" spans="4:23" ht="12.75">
      <c r="D450" s="49"/>
      <c r="E450" s="49"/>
      <c r="F450" s="49"/>
      <c r="G450" s="49"/>
      <c r="H450" s="50"/>
      <c r="I450" s="51"/>
      <c r="W450" s="59"/>
    </row>
    <row r="451" spans="4:23" ht="12.75">
      <c r="D451" s="49"/>
      <c r="E451" s="49"/>
      <c r="F451" s="49"/>
      <c r="G451" s="49"/>
      <c r="H451" s="50"/>
      <c r="I451" s="51"/>
      <c r="W451" s="59"/>
    </row>
    <row r="452" spans="4:23" ht="12.75">
      <c r="D452" s="49"/>
      <c r="E452" s="49"/>
      <c r="F452" s="49"/>
      <c r="G452" s="49"/>
      <c r="H452" s="50"/>
      <c r="I452" s="51"/>
      <c r="W452" s="59"/>
    </row>
    <row r="453" spans="4:23" ht="12.75">
      <c r="D453" s="49"/>
      <c r="E453" s="49"/>
      <c r="F453" s="49"/>
      <c r="G453" s="49"/>
      <c r="H453" s="50"/>
      <c r="I453" s="51"/>
      <c r="W453" s="59"/>
    </row>
    <row r="454" spans="4:23" ht="12.75">
      <c r="D454" s="49"/>
      <c r="E454" s="49"/>
      <c r="F454" s="49"/>
      <c r="G454" s="49"/>
      <c r="H454" s="50"/>
      <c r="I454" s="51"/>
      <c r="W454" s="59"/>
    </row>
    <row r="455" spans="4:23" ht="12.75">
      <c r="D455" s="49"/>
      <c r="E455" s="49"/>
      <c r="F455" s="49"/>
      <c r="G455" s="49"/>
      <c r="H455" s="50"/>
      <c r="I455" s="51"/>
      <c r="W455" s="59"/>
    </row>
    <row r="456" spans="4:23" ht="12.75">
      <c r="D456" s="49"/>
      <c r="E456" s="49"/>
      <c r="F456" s="49"/>
      <c r="G456" s="49"/>
      <c r="H456" s="50"/>
      <c r="I456" s="51"/>
      <c r="W456" s="59"/>
    </row>
    <row r="457" spans="4:23" ht="12.75">
      <c r="D457" s="49"/>
      <c r="E457" s="49"/>
      <c r="F457" s="49"/>
      <c r="G457" s="49"/>
      <c r="H457" s="50"/>
      <c r="I457" s="51"/>
      <c r="W457" s="59"/>
    </row>
    <row r="458" spans="4:23" ht="12.75">
      <c r="D458" s="49"/>
      <c r="E458" s="49"/>
      <c r="F458" s="49"/>
      <c r="G458" s="49"/>
      <c r="H458" s="50"/>
      <c r="I458" s="51"/>
      <c r="W458" s="59"/>
    </row>
    <row r="459" spans="4:23" ht="12.75">
      <c r="D459" s="49"/>
      <c r="E459" s="49"/>
      <c r="F459" s="49"/>
      <c r="G459" s="49"/>
      <c r="H459" s="50"/>
      <c r="I459" s="51"/>
      <c r="W459" s="59"/>
    </row>
    <row r="460" spans="4:23" ht="12.75">
      <c r="D460" s="49"/>
      <c r="E460" s="49"/>
      <c r="F460" s="49"/>
      <c r="G460" s="49"/>
      <c r="H460" s="50"/>
      <c r="I460" s="51"/>
      <c r="W460" s="59"/>
    </row>
    <row r="461" spans="4:23" ht="12.75">
      <c r="D461" s="49"/>
      <c r="E461" s="49"/>
      <c r="F461" s="49"/>
      <c r="G461" s="49"/>
      <c r="H461" s="50"/>
      <c r="I461" s="51"/>
      <c r="W461" s="59"/>
    </row>
    <row r="462" spans="4:23" ht="12.75">
      <c r="D462" s="49"/>
      <c r="E462" s="49"/>
      <c r="F462" s="49"/>
      <c r="G462" s="49"/>
      <c r="H462" s="50"/>
      <c r="I462" s="51"/>
      <c r="W462" s="59"/>
    </row>
    <row r="463" spans="4:23" ht="12.75">
      <c r="D463" s="49"/>
      <c r="E463" s="49"/>
      <c r="F463" s="49"/>
      <c r="G463" s="49"/>
      <c r="H463" s="50"/>
      <c r="I463" s="51"/>
      <c r="W463" s="59"/>
    </row>
    <row r="464" spans="4:23" ht="12.75">
      <c r="D464" s="49"/>
      <c r="E464" s="49"/>
      <c r="F464" s="49"/>
      <c r="G464" s="49"/>
      <c r="H464" s="50"/>
      <c r="I464" s="51"/>
      <c r="W464" s="59"/>
    </row>
    <row r="465" spans="4:23" ht="12.75">
      <c r="D465" s="49"/>
      <c r="E465" s="49"/>
      <c r="F465" s="49"/>
      <c r="G465" s="49"/>
      <c r="H465" s="50"/>
      <c r="I465" s="51"/>
      <c r="W465" s="59"/>
    </row>
    <row r="466" spans="4:23" ht="12.75">
      <c r="D466" s="49"/>
      <c r="E466" s="49"/>
      <c r="F466" s="49"/>
      <c r="G466" s="49"/>
      <c r="H466" s="50"/>
      <c r="I466" s="51"/>
      <c r="W466" s="59"/>
    </row>
    <row r="467" spans="4:23" ht="12.75">
      <c r="D467" s="49"/>
      <c r="E467" s="49"/>
      <c r="F467" s="49"/>
      <c r="G467" s="49"/>
      <c r="H467" s="50"/>
      <c r="I467" s="51"/>
      <c r="W467" s="59"/>
    </row>
    <row r="468" spans="4:23" ht="12.75">
      <c r="D468" s="49"/>
      <c r="E468" s="49"/>
      <c r="F468" s="49"/>
      <c r="G468" s="49"/>
      <c r="H468" s="50"/>
      <c r="I468" s="51"/>
      <c r="W468" s="59"/>
    </row>
    <row r="469" spans="4:23" ht="12.75">
      <c r="D469" s="49"/>
      <c r="E469" s="49"/>
      <c r="F469" s="49"/>
      <c r="G469" s="49"/>
      <c r="H469" s="50"/>
      <c r="I469" s="51"/>
      <c r="W469" s="59"/>
    </row>
    <row r="470" spans="4:23" ht="12.75">
      <c r="D470" s="49"/>
      <c r="E470" s="49"/>
      <c r="F470" s="49"/>
      <c r="G470" s="49"/>
      <c r="H470" s="50"/>
      <c r="I470" s="51"/>
      <c r="W470" s="59"/>
    </row>
    <row r="471" spans="4:23" ht="12.75">
      <c r="D471" s="49"/>
      <c r="E471" s="49"/>
      <c r="F471" s="49"/>
      <c r="G471" s="49"/>
      <c r="H471" s="50"/>
      <c r="I471" s="51"/>
      <c r="W471" s="59"/>
    </row>
    <row r="472" spans="4:23" ht="12.75">
      <c r="D472" s="49"/>
      <c r="E472" s="49"/>
      <c r="F472" s="49"/>
      <c r="G472" s="49"/>
      <c r="H472" s="50"/>
      <c r="I472" s="51"/>
      <c r="W472" s="59"/>
    </row>
    <row r="473" spans="4:23" ht="12.75">
      <c r="D473" s="49"/>
      <c r="E473" s="49"/>
      <c r="F473" s="49"/>
      <c r="G473" s="49"/>
      <c r="H473" s="50"/>
      <c r="I473" s="51"/>
      <c r="W473" s="59"/>
    </row>
    <row r="474" spans="4:23" ht="12.75">
      <c r="D474" s="49"/>
      <c r="E474" s="49"/>
      <c r="F474" s="49"/>
      <c r="G474" s="49"/>
      <c r="H474" s="50"/>
      <c r="I474" s="51"/>
      <c r="W474" s="59"/>
    </row>
    <row r="475" spans="4:23" ht="12.75">
      <c r="D475" s="49"/>
      <c r="E475" s="49"/>
      <c r="F475" s="49"/>
      <c r="G475" s="49"/>
      <c r="H475" s="50"/>
      <c r="I475" s="51"/>
      <c r="W475" s="59"/>
    </row>
    <row r="476" spans="4:23" ht="12.75">
      <c r="D476" s="49"/>
      <c r="E476" s="49"/>
      <c r="F476" s="49"/>
      <c r="G476" s="49"/>
      <c r="H476" s="50"/>
      <c r="I476" s="51"/>
      <c r="W476" s="59"/>
    </row>
    <row r="477" spans="4:23" ht="12.75">
      <c r="D477" s="49"/>
      <c r="E477" s="49"/>
      <c r="F477" s="49"/>
      <c r="G477" s="49"/>
      <c r="H477" s="50"/>
      <c r="I477" s="51"/>
      <c r="W477" s="59"/>
    </row>
    <row r="478" spans="4:23" ht="12.75">
      <c r="D478" s="49"/>
      <c r="E478" s="49"/>
      <c r="F478" s="49"/>
      <c r="G478" s="49"/>
      <c r="H478" s="50"/>
      <c r="I478" s="51"/>
      <c r="W478" s="59"/>
    </row>
    <row r="479" spans="4:23" ht="12.75">
      <c r="D479" s="49"/>
      <c r="E479" s="49"/>
      <c r="F479" s="49"/>
      <c r="G479" s="49"/>
      <c r="H479" s="50"/>
      <c r="I479" s="51"/>
      <c r="W479" s="59"/>
    </row>
    <row r="480" spans="4:23" ht="12.75">
      <c r="D480" s="49"/>
      <c r="E480" s="49"/>
      <c r="F480" s="49"/>
      <c r="G480" s="49"/>
      <c r="H480" s="50"/>
      <c r="I480" s="51"/>
      <c r="W480" s="59"/>
    </row>
    <row r="481" spans="4:23" ht="12.75">
      <c r="D481" s="49"/>
      <c r="E481" s="49"/>
      <c r="F481" s="49"/>
      <c r="G481" s="49"/>
      <c r="H481" s="50"/>
      <c r="I481" s="51"/>
      <c r="W481" s="59"/>
    </row>
    <row r="482" spans="4:23" ht="12.75">
      <c r="D482" s="49"/>
      <c r="E482" s="49"/>
      <c r="F482" s="49"/>
      <c r="G482" s="49"/>
      <c r="H482" s="50"/>
      <c r="I482" s="51"/>
      <c r="W482" s="59"/>
    </row>
    <row r="483" spans="4:23" ht="12.75">
      <c r="D483" s="49"/>
      <c r="E483" s="49"/>
      <c r="F483" s="49"/>
      <c r="G483" s="49"/>
      <c r="H483" s="50"/>
      <c r="I483" s="51"/>
      <c r="W483" s="59"/>
    </row>
    <row r="484" spans="4:23" ht="12.75">
      <c r="D484" s="49"/>
      <c r="E484" s="49"/>
      <c r="F484" s="49"/>
      <c r="G484" s="49"/>
      <c r="H484" s="50"/>
      <c r="I484" s="51"/>
      <c r="W484" s="59"/>
    </row>
    <row r="485" spans="4:23" ht="12.75">
      <c r="D485" s="49"/>
      <c r="E485" s="49"/>
      <c r="F485" s="49"/>
      <c r="G485" s="49"/>
      <c r="H485" s="50"/>
      <c r="I485" s="51"/>
      <c r="W485" s="59"/>
    </row>
    <row r="486" spans="4:23" ht="12.75">
      <c r="D486" s="49"/>
      <c r="E486" s="49"/>
      <c r="F486" s="49"/>
      <c r="G486" s="49"/>
      <c r="H486" s="50"/>
      <c r="I486" s="51"/>
      <c r="W486" s="59"/>
    </row>
    <row r="487" spans="4:23" ht="12.75">
      <c r="D487" s="49"/>
      <c r="E487" s="49"/>
      <c r="F487" s="49"/>
      <c r="G487" s="49"/>
      <c r="H487" s="50"/>
      <c r="I487" s="51"/>
      <c r="W487" s="59"/>
    </row>
    <row r="488" spans="4:23" ht="12.75">
      <c r="D488" s="49"/>
      <c r="E488" s="49"/>
      <c r="F488" s="49"/>
      <c r="G488" s="49"/>
      <c r="H488" s="50"/>
      <c r="I488" s="51"/>
      <c r="W488" s="59"/>
    </row>
    <row r="489" spans="4:23" ht="12.75">
      <c r="D489" s="49"/>
      <c r="E489" s="49"/>
      <c r="F489" s="49"/>
      <c r="G489" s="49"/>
      <c r="H489" s="50"/>
      <c r="I489" s="51"/>
      <c r="W489" s="59"/>
    </row>
    <row r="490" spans="4:23" ht="12.75">
      <c r="D490" s="49"/>
      <c r="E490" s="49"/>
      <c r="F490" s="49"/>
      <c r="G490" s="49"/>
      <c r="H490" s="50"/>
      <c r="I490" s="51"/>
      <c r="W490" s="59"/>
    </row>
    <row r="491" spans="4:23" ht="12.75">
      <c r="D491" s="49"/>
      <c r="E491" s="49"/>
      <c r="F491" s="49"/>
      <c r="G491" s="49"/>
      <c r="H491" s="50"/>
      <c r="I491" s="51"/>
      <c r="W491" s="59"/>
    </row>
    <row r="492" spans="4:23" ht="12.75">
      <c r="D492" s="49"/>
      <c r="E492" s="49"/>
      <c r="F492" s="49"/>
      <c r="G492" s="49"/>
      <c r="H492" s="50"/>
      <c r="I492" s="51"/>
      <c r="W492" s="59"/>
    </row>
    <row r="493" spans="4:23" ht="12.75">
      <c r="D493" s="49"/>
      <c r="E493" s="49"/>
      <c r="F493" s="49"/>
      <c r="G493" s="49"/>
      <c r="H493" s="50"/>
      <c r="I493" s="51"/>
      <c r="W493" s="59"/>
    </row>
    <row r="494" spans="4:23" ht="12.75">
      <c r="D494" s="49"/>
      <c r="E494" s="49"/>
      <c r="F494" s="49"/>
      <c r="G494" s="49"/>
      <c r="H494" s="50"/>
      <c r="I494" s="51"/>
      <c r="W494" s="59"/>
    </row>
    <row r="495" spans="4:23" ht="12.75">
      <c r="D495" s="49"/>
      <c r="E495" s="49"/>
      <c r="F495" s="49"/>
      <c r="G495" s="49"/>
      <c r="H495" s="50"/>
      <c r="I495" s="51"/>
      <c r="W495" s="59"/>
    </row>
    <row r="496" spans="4:23" ht="12.75">
      <c r="D496" s="49"/>
      <c r="E496" s="49"/>
      <c r="F496" s="49"/>
      <c r="G496" s="49"/>
      <c r="H496" s="50"/>
      <c r="I496" s="51"/>
      <c r="W496" s="59"/>
    </row>
    <row r="497" spans="4:23" ht="12.75">
      <c r="D497" s="49"/>
      <c r="E497" s="49"/>
      <c r="F497" s="49"/>
      <c r="G497" s="49"/>
      <c r="H497" s="50"/>
      <c r="I497" s="51"/>
      <c r="W497" s="59"/>
    </row>
    <row r="498" spans="4:23" ht="12.75">
      <c r="D498" s="49"/>
      <c r="E498" s="49"/>
      <c r="F498" s="49"/>
      <c r="G498" s="49"/>
      <c r="H498" s="50"/>
      <c r="I498" s="51"/>
      <c r="W498" s="59"/>
    </row>
    <row r="499" spans="4:23" ht="12.75">
      <c r="D499" s="49"/>
      <c r="E499" s="49"/>
      <c r="F499" s="49"/>
      <c r="G499" s="49"/>
      <c r="H499" s="50"/>
      <c r="I499" s="51"/>
      <c r="W499" s="59"/>
    </row>
    <row r="500" spans="4:23" ht="12.75">
      <c r="D500" s="49"/>
      <c r="E500" s="49"/>
      <c r="F500" s="49"/>
      <c r="G500" s="49"/>
      <c r="H500" s="50"/>
      <c r="I500" s="51"/>
      <c r="W500" s="59"/>
    </row>
    <row r="501" spans="4:23" ht="12.75">
      <c r="D501" s="49"/>
      <c r="E501" s="49"/>
      <c r="F501" s="49"/>
      <c r="G501" s="49"/>
      <c r="H501" s="50"/>
      <c r="I501" s="51"/>
      <c r="W501" s="59"/>
    </row>
    <row r="502" spans="4:23" ht="12.75">
      <c r="D502" s="49"/>
      <c r="E502" s="49"/>
      <c r="F502" s="49"/>
      <c r="G502" s="49"/>
      <c r="H502" s="50"/>
      <c r="I502" s="51"/>
      <c r="W502" s="59"/>
    </row>
    <row r="503" spans="4:23" ht="12.75">
      <c r="D503" s="49"/>
      <c r="E503" s="49"/>
      <c r="F503" s="49"/>
      <c r="G503" s="49"/>
      <c r="H503" s="50"/>
      <c r="I503" s="51"/>
      <c r="W503" s="59"/>
    </row>
    <row r="504" spans="4:23" ht="12.75">
      <c r="D504" s="49"/>
      <c r="E504" s="49"/>
      <c r="F504" s="49"/>
      <c r="G504" s="49"/>
      <c r="H504" s="50"/>
      <c r="I504" s="51"/>
      <c r="W504" s="59"/>
    </row>
    <row r="505" spans="4:23" ht="12.75">
      <c r="D505" s="49"/>
      <c r="E505" s="49"/>
      <c r="F505" s="49"/>
      <c r="G505" s="49"/>
      <c r="H505" s="50"/>
      <c r="I505" s="51"/>
      <c r="W505" s="59"/>
    </row>
    <row r="506" spans="4:23" ht="12.75">
      <c r="D506" s="49"/>
      <c r="E506" s="49"/>
      <c r="F506" s="49"/>
      <c r="G506" s="49"/>
      <c r="H506" s="50"/>
      <c r="I506" s="51"/>
      <c r="W506" s="59"/>
    </row>
    <row r="507" spans="4:23" ht="12.75">
      <c r="D507" s="49"/>
      <c r="E507" s="49"/>
      <c r="F507" s="49"/>
      <c r="G507" s="49"/>
      <c r="H507" s="50"/>
      <c r="I507" s="51"/>
      <c r="W507" s="59"/>
    </row>
    <row r="508" spans="4:23" ht="12.75">
      <c r="D508" s="49"/>
      <c r="E508" s="49"/>
      <c r="F508" s="49"/>
      <c r="G508" s="49"/>
      <c r="H508" s="50"/>
      <c r="I508" s="51"/>
      <c r="W508" s="59"/>
    </row>
    <row r="509" spans="4:23" ht="12.75">
      <c r="D509" s="49"/>
      <c r="E509" s="49"/>
      <c r="F509" s="49"/>
      <c r="G509" s="49"/>
      <c r="H509" s="50"/>
      <c r="I509" s="51"/>
      <c r="W509" s="59"/>
    </row>
    <row r="510" spans="4:23" ht="12.75">
      <c r="D510" s="49"/>
      <c r="E510" s="49"/>
      <c r="F510" s="49"/>
      <c r="G510" s="49"/>
      <c r="H510" s="50"/>
      <c r="I510" s="51"/>
      <c r="W510" s="59"/>
    </row>
    <row r="511" spans="4:23" ht="12.75">
      <c r="D511" s="49"/>
      <c r="E511" s="49"/>
      <c r="F511" s="49"/>
      <c r="G511" s="49"/>
      <c r="H511" s="50"/>
      <c r="I511" s="51"/>
      <c r="W511" s="59"/>
    </row>
    <row r="512" spans="4:23" ht="12.75">
      <c r="D512" s="49"/>
      <c r="E512" s="49"/>
      <c r="F512" s="49"/>
      <c r="G512" s="49"/>
      <c r="H512" s="50"/>
      <c r="I512" s="51"/>
      <c r="W512" s="59"/>
    </row>
    <row r="513" spans="4:23" ht="12.75">
      <c r="D513" s="49"/>
      <c r="E513" s="49"/>
      <c r="F513" s="49"/>
      <c r="G513" s="49"/>
      <c r="H513" s="50"/>
      <c r="I513" s="51"/>
      <c r="W513" s="59"/>
    </row>
    <row r="514" spans="4:23" ht="12.75">
      <c r="D514" s="49"/>
      <c r="E514" s="49"/>
      <c r="F514" s="49"/>
      <c r="G514" s="49"/>
      <c r="H514" s="50"/>
      <c r="I514" s="51"/>
      <c r="W514" s="59"/>
    </row>
    <row r="515" spans="4:23" ht="12.75">
      <c r="D515" s="49"/>
      <c r="E515" s="49"/>
      <c r="F515" s="49"/>
      <c r="G515" s="49"/>
      <c r="H515" s="50"/>
      <c r="I515" s="51"/>
      <c r="W515" s="59"/>
    </row>
    <row r="516" spans="4:23" ht="12.75">
      <c r="D516" s="49"/>
      <c r="E516" s="49"/>
      <c r="F516" s="49"/>
      <c r="G516" s="49"/>
      <c r="H516" s="50"/>
      <c r="I516" s="51"/>
      <c r="W516" s="59"/>
    </row>
    <row r="517" spans="4:23" ht="12.75">
      <c r="D517" s="49"/>
      <c r="E517" s="49"/>
      <c r="F517" s="49"/>
      <c r="G517" s="49"/>
      <c r="H517" s="50"/>
      <c r="I517" s="51"/>
      <c r="W517" s="59"/>
    </row>
    <row r="518" spans="4:23" ht="12.75">
      <c r="D518" s="49"/>
      <c r="E518" s="49"/>
      <c r="F518" s="49"/>
      <c r="G518" s="49"/>
      <c r="H518" s="50"/>
      <c r="I518" s="51"/>
      <c r="W518" s="59"/>
    </row>
    <row r="519" spans="4:23" ht="12.75">
      <c r="D519" s="49"/>
      <c r="E519" s="49"/>
      <c r="F519" s="49"/>
      <c r="G519" s="49"/>
      <c r="H519" s="50"/>
      <c r="I519" s="51"/>
      <c r="W519" s="59"/>
    </row>
    <row r="520" spans="4:23" ht="12.75">
      <c r="D520" s="49"/>
      <c r="E520" s="49"/>
      <c r="F520" s="49"/>
      <c r="G520" s="49"/>
      <c r="H520" s="50"/>
      <c r="I520" s="51"/>
      <c r="W520" s="59"/>
    </row>
    <row r="521" spans="4:23" ht="12.75">
      <c r="D521" s="49"/>
      <c r="E521" s="49"/>
      <c r="F521" s="49"/>
      <c r="G521" s="49"/>
      <c r="H521" s="50"/>
      <c r="I521" s="51"/>
      <c r="W521" s="59"/>
    </row>
    <row r="522" spans="4:23" ht="12.75">
      <c r="D522" s="49"/>
      <c r="E522" s="49"/>
      <c r="F522" s="49"/>
      <c r="G522" s="49"/>
      <c r="H522" s="50"/>
      <c r="I522" s="51"/>
      <c r="W522" s="59"/>
    </row>
    <row r="523" spans="4:23" ht="12.75">
      <c r="D523" s="49"/>
      <c r="E523" s="49"/>
      <c r="F523" s="49"/>
      <c r="G523" s="49"/>
      <c r="H523" s="50"/>
      <c r="I523" s="51"/>
      <c r="W523" s="59"/>
    </row>
    <row r="524" spans="4:23" ht="12.75">
      <c r="D524" s="49"/>
      <c r="E524" s="49"/>
      <c r="F524" s="49"/>
      <c r="G524" s="49"/>
      <c r="H524" s="50"/>
      <c r="I524" s="51"/>
      <c r="W524" s="59"/>
    </row>
    <row r="525" spans="4:23" ht="12.75">
      <c r="D525" s="49"/>
      <c r="E525" s="49"/>
      <c r="F525" s="49"/>
      <c r="G525" s="49"/>
      <c r="H525" s="50"/>
      <c r="I525" s="51"/>
      <c r="W525" s="59"/>
    </row>
    <row r="526" spans="4:23" ht="12.75">
      <c r="D526" s="49"/>
      <c r="E526" s="49"/>
      <c r="F526" s="49"/>
      <c r="G526" s="49"/>
      <c r="H526" s="50"/>
      <c r="I526" s="51"/>
      <c r="W526" s="59"/>
    </row>
    <row r="527" spans="4:23" ht="12.75">
      <c r="D527" s="49"/>
      <c r="E527" s="49"/>
      <c r="F527" s="49"/>
      <c r="G527" s="49"/>
      <c r="H527" s="50"/>
      <c r="I527" s="51"/>
      <c r="W527" s="59"/>
    </row>
    <row r="528" spans="4:23" ht="12.75">
      <c r="D528" s="49"/>
      <c r="E528" s="49"/>
      <c r="F528" s="49"/>
      <c r="G528" s="49"/>
      <c r="H528" s="50"/>
      <c r="I528" s="51"/>
      <c r="W528" s="59"/>
    </row>
    <row r="529" spans="4:23" ht="12.75">
      <c r="D529" s="49"/>
      <c r="E529" s="49"/>
      <c r="F529" s="49"/>
      <c r="G529" s="49"/>
      <c r="H529" s="50"/>
      <c r="I529" s="51"/>
      <c r="W529" s="59"/>
    </row>
    <row r="530" spans="4:23" ht="12.75">
      <c r="D530" s="49"/>
      <c r="E530" s="49"/>
      <c r="F530" s="49"/>
      <c r="G530" s="49"/>
      <c r="H530" s="50"/>
      <c r="I530" s="51"/>
      <c r="W530" s="59"/>
    </row>
    <row r="531" spans="4:23" ht="12.75">
      <c r="D531" s="49"/>
      <c r="E531" s="49"/>
      <c r="F531" s="49"/>
      <c r="G531" s="49"/>
      <c r="H531" s="50"/>
      <c r="I531" s="51"/>
      <c r="W531" s="59"/>
    </row>
    <row r="532" spans="4:23" ht="12.75">
      <c r="D532" s="49"/>
      <c r="E532" s="49"/>
      <c r="F532" s="49"/>
      <c r="G532" s="49"/>
      <c r="H532" s="50"/>
      <c r="I532" s="51"/>
      <c r="W532" s="59"/>
    </row>
    <row r="533" spans="4:23" ht="12.75">
      <c r="D533" s="49"/>
      <c r="E533" s="49"/>
      <c r="F533" s="49"/>
      <c r="G533" s="49"/>
      <c r="H533" s="50"/>
      <c r="I533" s="51"/>
      <c r="W533" s="59"/>
    </row>
    <row r="534" spans="4:23" ht="12.75">
      <c r="D534" s="49"/>
      <c r="E534" s="49"/>
      <c r="F534" s="49"/>
      <c r="G534" s="49"/>
      <c r="H534" s="50"/>
      <c r="I534" s="51"/>
      <c r="W534" s="59"/>
    </row>
    <row r="535" spans="4:23" ht="12.75">
      <c r="D535" s="49"/>
      <c r="E535" s="49"/>
      <c r="F535" s="49"/>
      <c r="G535" s="49"/>
      <c r="H535" s="50"/>
      <c r="I535" s="51"/>
      <c r="W535" s="59"/>
    </row>
    <row r="536" spans="4:23" ht="12.75">
      <c r="D536" s="49"/>
      <c r="E536" s="49"/>
      <c r="F536" s="49"/>
      <c r="G536" s="49"/>
      <c r="H536" s="50"/>
      <c r="I536" s="51"/>
      <c r="W536" s="59"/>
    </row>
    <row r="537" spans="4:23" ht="12.75">
      <c r="D537" s="49"/>
      <c r="E537" s="49"/>
      <c r="F537" s="49"/>
      <c r="G537" s="49"/>
      <c r="H537" s="50"/>
      <c r="I537" s="51"/>
      <c r="W537" s="59"/>
    </row>
    <row r="538" spans="4:23" ht="12.75">
      <c r="D538" s="49"/>
      <c r="E538" s="49"/>
      <c r="F538" s="49"/>
      <c r="G538" s="49"/>
      <c r="H538" s="50"/>
      <c r="I538" s="51"/>
      <c r="W538" s="59"/>
    </row>
    <row r="539" spans="4:23" ht="12.75">
      <c r="D539" s="49"/>
      <c r="E539" s="49"/>
      <c r="F539" s="49"/>
      <c r="G539" s="49"/>
      <c r="H539" s="50"/>
      <c r="I539" s="51"/>
      <c r="W539" s="59"/>
    </row>
    <row r="540" spans="4:23" ht="12.75">
      <c r="D540" s="49"/>
      <c r="E540" s="49"/>
      <c r="F540" s="49"/>
      <c r="G540" s="49"/>
      <c r="H540" s="50"/>
      <c r="I540" s="51"/>
      <c r="W540" s="59"/>
    </row>
    <row r="541" spans="4:23" ht="12.75">
      <c r="D541" s="49"/>
      <c r="E541" s="49"/>
      <c r="F541" s="49"/>
      <c r="G541" s="49"/>
      <c r="H541" s="50"/>
      <c r="I541" s="51"/>
      <c r="W541" s="59"/>
    </row>
    <row r="542" spans="4:23" ht="12.75">
      <c r="D542" s="49"/>
      <c r="E542" s="49"/>
      <c r="F542" s="49"/>
      <c r="G542" s="49"/>
      <c r="H542" s="50"/>
      <c r="I542" s="51"/>
      <c r="W542" s="59"/>
    </row>
    <row r="543" spans="4:23" ht="12.75">
      <c r="D543" s="49"/>
      <c r="E543" s="49"/>
      <c r="F543" s="49"/>
      <c r="G543" s="49"/>
      <c r="H543" s="50"/>
      <c r="I543" s="51"/>
      <c r="W543" s="59"/>
    </row>
    <row r="544" spans="4:23" ht="12.75">
      <c r="D544" s="49"/>
      <c r="E544" s="49"/>
      <c r="F544" s="49"/>
      <c r="G544" s="49"/>
      <c r="H544" s="50"/>
      <c r="I544" s="51"/>
      <c r="W544" s="59"/>
    </row>
    <row r="545" spans="4:23" ht="12.75">
      <c r="D545" s="49"/>
      <c r="E545" s="49"/>
      <c r="F545" s="49"/>
      <c r="G545" s="49"/>
      <c r="H545" s="50"/>
      <c r="I545" s="51"/>
      <c r="W545" s="59"/>
    </row>
    <row r="546" spans="4:23" ht="12.75">
      <c r="D546" s="49"/>
      <c r="E546" s="49"/>
      <c r="F546" s="49"/>
      <c r="G546" s="49"/>
      <c r="H546" s="50"/>
      <c r="I546" s="51"/>
      <c r="W546" s="59"/>
    </row>
    <row r="547" spans="4:23" ht="12.75">
      <c r="D547" s="49"/>
      <c r="E547" s="49"/>
      <c r="F547" s="49"/>
      <c r="G547" s="49"/>
      <c r="H547" s="50"/>
      <c r="I547" s="51"/>
      <c r="W547" s="59"/>
    </row>
    <row r="548" spans="4:23" ht="12.75">
      <c r="D548" s="49"/>
      <c r="E548" s="49"/>
      <c r="F548" s="49"/>
      <c r="G548" s="49"/>
      <c r="H548" s="50"/>
      <c r="I548" s="51"/>
      <c r="W548" s="59"/>
    </row>
    <row r="549" spans="4:23" ht="12.75">
      <c r="D549" s="49"/>
      <c r="E549" s="49"/>
      <c r="F549" s="49"/>
      <c r="G549" s="49"/>
      <c r="H549" s="50"/>
      <c r="I549" s="51"/>
      <c r="W549" s="59"/>
    </row>
    <row r="550" spans="4:23" ht="12.75">
      <c r="D550" s="49"/>
      <c r="E550" s="49"/>
      <c r="F550" s="49"/>
      <c r="G550" s="49"/>
      <c r="H550" s="50"/>
      <c r="I550" s="51"/>
      <c r="W550" s="59"/>
    </row>
    <row r="551" spans="4:23" ht="12.75">
      <c r="D551" s="49"/>
      <c r="E551" s="49"/>
      <c r="F551" s="49"/>
      <c r="G551" s="49"/>
      <c r="H551" s="50"/>
      <c r="I551" s="51"/>
      <c r="W551" s="59"/>
    </row>
    <row r="552" spans="4:23" ht="12.75">
      <c r="D552" s="49"/>
      <c r="E552" s="49"/>
      <c r="F552" s="49"/>
      <c r="G552" s="49"/>
      <c r="H552" s="50"/>
      <c r="I552" s="51"/>
      <c r="W552" s="59"/>
    </row>
    <row r="553" spans="4:23" ht="12.75">
      <c r="D553" s="49"/>
      <c r="E553" s="49"/>
      <c r="F553" s="49"/>
      <c r="G553" s="49"/>
      <c r="H553" s="50"/>
      <c r="I553" s="51"/>
      <c r="W553" s="59"/>
    </row>
    <row r="554" spans="4:23" ht="12.75">
      <c r="D554" s="49"/>
      <c r="E554" s="49"/>
      <c r="F554" s="49"/>
      <c r="G554" s="49"/>
      <c r="H554" s="50"/>
      <c r="I554" s="51"/>
      <c r="W554" s="59"/>
    </row>
    <row r="555" spans="4:23" ht="12.75">
      <c r="D555" s="49"/>
      <c r="E555" s="49"/>
      <c r="F555" s="49"/>
      <c r="G555" s="49"/>
      <c r="H555" s="50"/>
      <c r="I555" s="51"/>
      <c r="W555" s="59"/>
    </row>
    <row r="556" spans="4:23" ht="12.75">
      <c r="D556" s="49"/>
      <c r="E556" s="49"/>
      <c r="F556" s="49"/>
      <c r="G556" s="49"/>
      <c r="H556" s="50"/>
      <c r="I556" s="51"/>
      <c r="W556" s="59"/>
    </row>
    <row r="557" spans="4:23" ht="12.75">
      <c r="D557" s="49"/>
      <c r="E557" s="49"/>
      <c r="F557" s="49"/>
      <c r="G557" s="49"/>
      <c r="H557" s="50"/>
      <c r="I557" s="51"/>
      <c r="W557" s="59"/>
    </row>
    <row r="558" spans="4:23" ht="12.75">
      <c r="D558" s="49"/>
      <c r="E558" s="49"/>
      <c r="F558" s="49"/>
      <c r="G558" s="49"/>
      <c r="H558" s="50"/>
      <c r="I558" s="51"/>
      <c r="W558" s="59"/>
    </row>
    <row r="559" spans="4:23" ht="12.75">
      <c r="D559" s="49"/>
      <c r="E559" s="49"/>
      <c r="F559" s="49"/>
      <c r="G559" s="49"/>
      <c r="H559" s="50"/>
      <c r="I559" s="51"/>
      <c r="W559" s="59"/>
    </row>
    <row r="560" spans="4:23" ht="12.75">
      <c r="D560" s="49"/>
      <c r="E560" s="49"/>
      <c r="F560" s="49"/>
      <c r="G560" s="49"/>
      <c r="H560" s="50"/>
      <c r="I560" s="51"/>
      <c r="W560" s="59"/>
    </row>
    <row r="561" spans="4:23" ht="12.75">
      <c r="D561" s="49"/>
      <c r="E561" s="49"/>
      <c r="F561" s="49"/>
      <c r="G561" s="49"/>
      <c r="H561" s="50"/>
      <c r="I561" s="51"/>
      <c r="W561" s="59"/>
    </row>
    <row r="562" spans="4:23" ht="12.75">
      <c r="D562" s="49"/>
      <c r="E562" s="49"/>
      <c r="F562" s="49"/>
      <c r="G562" s="49"/>
      <c r="H562" s="50"/>
      <c r="I562" s="51"/>
      <c r="W562" s="59"/>
    </row>
    <row r="563" spans="4:23" ht="12.75">
      <c r="D563" s="49"/>
      <c r="E563" s="49"/>
      <c r="F563" s="49"/>
      <c r="G563" s="49"/>
      <c r="H563" s="50"/>
      <c r="I563" s="51"/>
      <c r="W563" s="59"/>
    </row>
    <row r="564" spans="4:23" ht="12.75">
      <c r="D564" s="49"/>
      <c r="E564" s="49"/>
      <c r="F564" s="49"/>
      <c r="G564" s="49"/>
      <c r="H564" s="50"/>
      <c r="I564" s="51"/>
      <c r="W564" s="59"/>
    </row>
    <row r="565" spans="4:23" ht="12.75">
      <c r="D565" s="49"/>
      <c r="E565" s="49"/>
      <c r="F565" s="49"/>
      <c r="G565" s="49"/>
      <c r="H565" s="50"/>
      <c r="I565" s="51"/>
      <c r="W565" s="59"/>
    </row>
    <row r="566" spans="4:23" ht="12.75">
      <c r="D566" s="49"/>
      <c r="E566" s="49"/>
      <c r="F566" s="49"/>
      <c r="G566" s="49"/>
      <c r="H566" s="50"/>
      <c r="I566" s="51"/>
      <c r="W566" s="59"/>
    </row>
    <row r="567" spans="4:23" ht="12.75">
      <c r="D567" s="49"/>
      <c r="E567" s="49"/>
      <c r="F567" s="49"/>
      <c r="G567" s="49"/>
      <c r="H567" s="50"/>
      <c r="I567" s="51"/>
      <c r="W567" s="59"/>
    </row>
    <row r="568" spans="4:23" ht="12.75">
      <c r="D568" s="49"/>
      <c r="E568" s="49"/>
      <c r="F568" s="49"/>
      <c r="G568" s="49"/>
      <c r="H568" s="50"/>
      <c r="I568" s="51"/>
      <c r="W568" s="59"/>
    </row>
    <row r="569" spans="4:23" ht="12.75">
      <c r="D569" s="49"/>
      <c r="E569" s="49"/>
      <c r="F569" s="49"/>
      <c r="G569" s="49"/>
      <c r="H569" s="50"/>
      <c r="I569" s="51"/>
      <c r="W569" s="59"/>
    </row>
    <row r="570" spans="4:23" ht="12.75">
      <c r="D570" s="49"/>
      <c r="E570" s="49"/>
      <c r="F570" s="49"/>
      <c r="G570" s="49"/>
      <c r="H570" s="50"/>
      <c r="I570" s="51"/>
      <c r="W570" s="59"/>
    </row>
    <row r="571" spans="4:23" ht="12.75">
      <c r="D571" s="49"/>
      <c r="E571" s="49"/>
      <c r="F571" s="49"/>
      <c r="G571" s="49"/>
      <c r="H571" s="50"/>
      <c r="I571" s="51"/>
      <c r="W571" s="59"/>
    </row>
    <row r="572" spans="4:23" ht="12.75">
      <c r="D572" s="49"/>
      <c r="E572" s="49"/>
      <c r="F572" s="49"/>
      <c r="G572" s="49"/>
      <c r="H572" s="50"/>
      <c r="I572" s="51"/>
      <c r="W572" s="59"/>
    </row>
    <row r="573" spans="4:23" ht="12.75">
      <c r="D573" s="49"/>
      <c r="E573" s="49"/>
      <c r="F573" s="49"/>
      <c r="G573" s="49"/>
      <c r="H573" s="50"/>
      <c r="I573" s="51"/>
      <c r="W573" s="59"/>
    </row>
    <row r="574" spans="4:23" ht="12.75">
      <c r="D574" s="49"/>
      <c r="E574" s="49"/>
      <c r="F574" s="49"/>
      <c r="G574" s="49"/>
      <c r="H574" s="50"/>
      <c r="I574" s="51"/>
      <c r="W574" s="59"/>
    </row>
    <row r="575" spans="4:23" ht="12.75">
      <c r="D575" s="49"/>
      <c r="E575" s="49"/>
      <c r="F575" s="49"/>
      <c r="G575" s="49"/>
      <c r="H575" s="50"/>
      <c r="I575" s="51"/>
      <c r="W575" s="59"/>
    </row>
    <row r="576" spans="4:23" ht="12.75">
      <c r="D576" s="49"/>
      <c r="E576" s="49"/>
      <c r="F576" s="49"/>
      <c r="G576" s="49"/>
      <c r="H576" s="50"/>
      <c r="I576" s="51"/>
      <c r="W576" s="59"/>
    </row>
    <row r="577" spans="4:23" ht="12.75">
      <c r="D577" s="49"/>
      <c r="E577" s="49"/>
      <c r="F577" s="49"/>
      <c r="G577" s="49"/>
      <c r="H577" s="50"/>
      <c r="I577" s="51"/>
      <c r="W577" s="59"/>
    </row>
    <row r="578" spans="4:23" ht="12.75">
      <c r="D578" s="49"/>
      <c r="E578" s="49"/>
      <c r="F578" s="49"/>
      <c r="G578" s="49"/>
      <c r="H578" s="50"/>
      <c r="I578" s="51"/>
      <c r="W578" s="59"/>
    </row>
    <row r="579" spans="4:23" ht="12.75">
      <c r="D579" s="49"/>
      <c r="E579" s="49"/>
      <c r="F579" s="49"/>
      <c r="G579" s="49"/>
      <c r="H579" s="50"/>
      <c r="I579" s="51"/>
      <c r="W579" s="59"/>
    </row>
    <row r="580" spans="4:23" ht="12.75">
      <c r="D580" s="49"/>
      <c r="E580" s="49"/>
      <c r="F580" s="49"/>
      <c r="G580" s="49"/>
      <c r="H580" s="50"/>
      <c r="I580" s="51"/>
      <c r="W580" s="59"/>
    </row>
    <row r="581" spans="4:23" ht="12.75">
      <c r="D581" s="49"/>
      <c r="E581" s="49"/>
      <c r="F581" s="49"/>
      <c r="G581" s="49"/>
      <c r="H581" s="50"/>
      <c r="I581" s="51"/>
      <c r="W581" s="59"/>
    </row>
    <row r="582" spans="4:23" ht="12.75">
      <c r="D582" s="49"/>
      <c r="E582" s="49"/>
      <c r="F582" s="49"/>
      <c r="G582" s="49"/>
      <c r="H582" s="50"/>
      <c r="I582" s="51"/>
      <c r="W582" s="59"/>
    </row>
    <row r="583" spans="4:23" ht="12.75">
      <c r="D583" s="49"/>
      <c r="E583" s="49"/>
      <c r="F583" s="49"/>
      <c r="G583" s="49"/>
      <c r="H583" s="50"/>
      <c r="I583" s="51"/>
      <c r="W583" s="59"/>
    </row>
    <row r="584" spans="4:23" ht="12.75">
      <c r="D584" s="49"/>
      <c r="E584" s="49"/>
      <c r="F584" s="49"/>
      <c r="G584" s="49"/>
      <c r="H584" s="50"/>
      <c r="I584" s="51"/>
      <c r="W584" s="59"/>
    </row>
    <row r="585" spans="4:23" ht="12.75">
      <c r="D585" s="49"/>
      <c r="E585" s="49"/>
      <c r="F585" s="49"/>
      <c r="G585" s="49"/>
      <c r="H585" s="50"/>
      <c r="I585" s="51"/>
      <c r="W585" s="59"/>
    </row>
    <row r="586" spans="4:23" ht="12.75">
      <c r="D586" s="49"/>
      <c r="E586" s="49"/>
      <c r="F586" s="49"/>
      <c r="G586" s="49"/>
      <c r="H586" s="50"/>
      <c r="I586" s="51"/>
      <c r="W586" s="59"/>
    </row>
    <row r="587" spans="4:23" ht="12.75">
      <c r="D587" s="49"/>
      <c r="E587" s="49"/>
      <c r="F587" s="49"/>
      <c r="G587" s="49"/>
      <c r="H587" s="50"/>
      <c r="I587" s="51"/>
      <c r="W587" s="59"/>
    </row>
    <row r="588" spans="4:23" ht="12.75">
      <c r="D588" s="49"/>
      <c r="E588" s="49"/>
      <c r="F588" s="49"/>
      <c r="G588" s="49"/>
      <c r="H588" s="50"/>
      <c r="I588" s="51"/>
      <c r="W588" s="59"/>
    </row>
    <row r="589" spans="4:23" ht="12.75">
      <c r="D589" s="49"/>
      <c r="E589" s="49"/>
      <c r="F589" s="49"/>
      <c r="G589" s="49"/>
      <c r="H589" s="50"/>
      <c r="I589" s="51"/>
      <c r="W589" s="59"/>
    </row>
    <row r="590" spans="4:23" ht="12.75">
      <c r="D590" s="49"/>
      <c r="E590" s="49"/>
      <c r="F590" s="49"/>
      <c r="G590" s="49"/>
      <c r="H590" s="50"/>
      <c r="I590" s="51"/>
      <c r="W590" s="59"/>
    </row>
    <row r="591" spans="4:23" ht="12.75">
      <c r="D591" s="49"/>
      <c r="E591" s="49"/>
      <c r="F591" s="49"/>
      <c r="G591" s="49"/>
      <c r="H591" s="50"/>
      <c r="I591" s="51"/>
      <c r="W591" s="59"/>
    </row>
    <row r="592" spans="4:23" ht="12.75">
      <c r="D592" s="49"/>
      <c r="E592" s="49"/>
      <c r="F592" s="49"/>
      <c r="G592" s="49"/>
      <c r="H592" s="50"/>
      <c r="I592" s="51"/>
      <c r="W592" s="59"/>
    </row>
    <row r="593" spans="4:23" ht="12.75">
      <c r="D593" s="49"/>
      <c r="E593" s="49"/>
      <c r="F593" s="49"/>
      <c r="G593" s="49"/>
      <c r="H593" s="50"/>
      <c r="I593" s="51"/>
      <c r="W593" s="59"/>
    </row>
    <row r="594" spans="4:23" ht="12.75">
      <c r="D594" s="49"/>
      <c r="E594" s="49"/>
      <c r="F594" s="49"/>
      <c r="G594" s="49"/>
      <c r="H594" s="50"/>
      <c r="I594" s="51"/>
      <c r="W594" s="59"/>
    </row>
    <row r="595" spans="4:23" ht="12.75">
      <c r="D595" s="49"/>
      <c r="E595" s="49"/>
      <c r="F595" s="49"/>
      <c r="G595" s="49"/>
      <c r="H595" s="50"/>
      <c r="I595" s="51"/>
      <c r="W595" s="59"/>
    </row>
    <row r="596" spans="4:23" ht="12.75">
      <c r="D596" s="49"/>
      <c r="E596" s="49"/>
      <c r="F596" s="49"/>
      <c r="G596" s="49"/>
      <c r="H596" s="50"/>
      <c r="I596" s="51"/>
      <c r="W596" s="59"/>
    </row>
    <row r="597" spans="4:23" ht="12.75">
      <c r="D597" s="49"/>
      <c r="E597" s="49"/>
      <c r="F597" s="49"/>
      <c r="G597" s="49"/>
      <c r="H597" s="50"/>
      <c r="I597" s="51"/>
      <c r="W597" s="59"/>
    </row>
    <row r="598" spans="4:23" ht="12.75">
      <c r="D598" s="49"/>
      <c r="E598" s="49"/>
      <c r="F598" s="49"/>
      <c r="G598" s="49"/>
      <c r="H598" s="50"/>
      <c r="I598" s="51"/>
      <c r="W598" s="59"/>
    </row>
    <row r="599" spans="4:23" ht="12.75">
      <c r="D599" s="49"/>
      <c r="E599" s="49"/>
      <c r="F599" s="49"/>
      <c r="G599" s="49"/>
      <c r="H599" s="50"/>
      <c r="I599" s="51"/>
      <c r="W599" s="59"/>
    </row>
    <row r="600" spans="4:23" ht="12.75">
      <c r="D600" s="49"/>
      <c r="E600" s="49"/>
      <c r="F600" s="49"/>
      <c r="G600" s="49"/>
      <c r="H600" s="50"/>
      <c r="I600" s="51"/>
      <c r="W600" s="59"/>
    </row>
    <row r="601" spans="4:23" ht="12.75">
      <c r="D601" s="49"/>
      <c r="E601" s="49"/>
      <c r="F601" s="49"/>
      <c r="G601" s="49"/>
      <c r="H601" s="50"/>
      <c r="I601" s="51"/>
      <c r="W601" s="59"/>
    </row>
    <row r="602" spans="4:23" ht="12.75">
      <c r="D602" s="49"/>
      <c r="E602" s="49"/>
      <c r="F602" s="49"/>
      <c r="G602" s="49"/>
      <c r="H602" s="50"/>
      <c r="I602" s="51"/>
      <c r="W602" s="59"/>
    </row>
    <row r="603" spans="4:23" ht="12.75">
      <c r="D603" s="49"/>
      <c r="E603" s="49"/>
      <c r="F603" s="49"/>
      <c r="G603" s="49"/>
      <c r="H603" s="50"/>
      <c r="I603" s="51"/>
      <c r="W603" s="59"/>
    </row>
    <row r="604" spans="4:23" ht="12.75">
      <c r="D604" s="49"/>
      <c r="E604" s="49"/>
      <c r="F604" s="49"/>
      <c r="G604" s="49"/>
      <c r="H604" s="50"/>
      <c r="I604" s="51"/>
      <c r="W604" s="59"/>
    </row>
    <row r="605" spans="4:23" ht="12.75">
      <c r="D605" s="49"/>
      <c r="E605" s="49"/>
      <c r="F605" s="49"/>
      <c r="G605" s="49"/>
      <c r="H605" s="50"/>
      <c r="I605" s="51"/>
      <c r="W605" s="59"/>
    </row>
    <row r="606" spans="4:23" ht="12.75">
      <c r="D606" s="49"/>
      <c r="E606" s="49"/>
      <c r="F606" s="49"/>
      <c r="G606" s="49"/>
      <c r="H606" s="50"/>
      <c r="I606" s="51"/>
      <c r="W606" s="59"/>
    </row>
    <row r="607" spans="4:23" ht="12.75">
      <c r="D607" s="49"/>
      <c r="E607" s="49"/>
      <c r="F607" s="49"/>
      <c r="G607" s="49"/>
      <c r="H607" s="50"/>
      <c r="I607" s="51"/>
      <c r="W607" s="59"/>
    </row>
    <row r="608" spans="4:23" ht="12.75">
      <c r="D608" s="49"/>
      <c r="E608" s="49"/>
      <c r="F608" s="49"/>
      <c r="G608" s="49"/>
      <c r="H608" s="50"/>
      <c r="I608" s="51"/>
      <c r="W608" s="59"/>
    </row>
    <row r="609" spans="4:23" ht="12.75">
      <c r="D609" s="49"/>
      <c r="E609" s="49"/>
      <c r="F609" s="49"/>
      <c r="G609" s="49"/>
      <c r="H609" s="50"/>
      <c r="I609" s="51"/>
      <c r="W609" s="59"/>
    </row>
    <row r="610" spans="4:23" ht="12.75">
      <c r="D610" s="49"/>
      <c r="E610" s="49"/>
      <c r="F610" s="49"/>
      <c r="G610" s="49"/>
      <c r="H610" s="50"/>
      <c r="I610" s="51"/>
      <c r="W610" s="59"/>
    </row>
    <row r="611" spans="4:23" ht="12.75">
      <c r="D611" s="49"/>
      <c r="E611" s="49"/>
      <c r="F611" s="49"/>
      <c r="G611" s="49"/>
      <c r="H611" s="50"/>
      <c r="I611" s="51"/>
      <c r="W611" s="59"/>
    </row>
    <row r="612" spans="4:23" ht="12.75">
      <c r="D612" s="49"/>
      <c r="E612" s="49"/>
      <c r="F612" s="49"/>
      <c r="G612" s="49"/>
      <c r="H612" s="50"/>
      <c r="I612" s="51"/>
      <c r="W612" s="59"/>
    </row>
    <row r="613" spans="4:23" ht="12.75">
      <c r="D613" s="49"/>
      <c r="E613" s="49"/>
      <c r="F613" s="49"/>
      <c r="G613" s="49"/>
      <c r="H613" s="50"/>
      <c r="I613" s="51"/>
      <c r="W613" s="59"/>
    </row>
    <row r="614" spans="4:23" ht="12.75">
      <c r="D614" s="49"/>
      <c r="E614" s="49"/>
      <c r="F614" s="49"/>
      <c r="G614" s="49"/>
      <c r="H614" s="50"/>
      <c r="I614" s="51"/>
      <c r="W614" s="59"/>
    </row>
    <row r="615" spans="4:23" ht="12.75">
      <c r="D615" s="49"/>
      <c r="E615" s="49"/>
      <c r="F615" s="49"/>
      <c r="G615" s="49"/>
      <c r="H615" s="50"/>
      <c r="I615" s="51"/>
      <c r="W615" s="59"/>
    </row>
    <row r="616" spans="4:23" ht="12.75">
      <c r="D616" s="49"/>
      <c r="E616" s="49"/>
      <c r="F616" s="49"/>
      <c r="G616" s="49"/>
      <c r="H616" s="50"/>
      <c r="I616" s="51"/>
      <c r="W616" s="59"/>
    </row>
    <row r="617" spans="4:23" ht="12.75">
      <c r="D617" s="49"/>
      <c r="E617" s="49"/>
      <c r="F617" s="49"/>
      <c r="G617" s="49"/>
      <c r="H617" s="50"/>
      <c r="I617" s="51"/>
      <c r="W617" s="59"/>
    </row>
    <row r="618" spans="4:23" ht="12.75">
      <c r="D618" s="49"/>
      <c r="E618" s="49"/>
      <c r="F618" s="49"/>
      <c r="G618" s="49"/>
      <c r="H618" s="50"/>
      <c r="I618" s="51"/>
      <c r="W618" s="59"/>
    </row>
    <row r="619" spans="4:23" ht="12.75">
      <c r="D619" s="49"/>
      <c r="E619" s="49"/>
      <c r="F619" s="49"/>
      <c r="G619" s="49"/>
      <c r="H619" s="50"/>
      <c r="I619" s="51"/>
      <c r="W619" s="59"/>
    </row>
    <row r="620" spans="4:23" ht="12.75">
      <c r="D620" s="49"/>
      <c r="E620" s="49"/>
      <c r="F620" s="49"/>
      <c r="G620" s="49"/>
      <c r="H620" s="50"/>
      <c r="I620" s="51"/>
      <c r="W620" s="59"/>
    </row>
    <row r="621" spans="4:23" ht="12.75">
      <c r="D621" s="49"/>
      <c r="E621" s="49"/>
      <c r="F621" s="49"/>
      <c r="G621" s="49"/>
      <c r="H621" s="50"/>
      <c r="I621" s="51"/>
      <c r="W621" s="59"/>
    </row>
    <row r="622" spans="4:23" ht="12.75">
      <c r="D622" s="49"/>
      <c r="E622" s="49"/>
      <c r="F622" s="49"/>
      <c r="G622" s="49"/>
      <c r="H622" s="50"/>
      <c r="I622" s="51"/>
      <c r="W622" s="59"/>
    </row>
    <row r="623" spans="4:23" ht="12.75">
      <c r="D623" s="49"/>
      <c r="E623" s="49"/>
      <c r="F623" s="49"/>
      <c r="G623" s="49"/>
      <c r="H623" s="50"/>
      <c r="I623" s="51"/>
      <c r="W623" s="59"/>
    </row>
    <row r="624" spans="4:23" ht="12.75">
      <c r="D624" s="49"/>
      <c r="E624" s="49"/>
      <c r="F624" s="49"/>
      <c r="G624" s="49"/>
      <c r="H624" s="50"/>
      <c r="I624" s="51"/>
      <c r="W624" s="59"/>
    </row>
    <row r="625" spans="4:23" ht="12.75">
      <c r="D625" s="49"/>
      <c r="E625" s="49"/>
      <c r="F625" s="49"/>
      <c r="G625" s="49"/>
      <c r="H625" s="50"/>
      <c r="I625" s="51"/>
      <c r="W625" s="59"/>
    </row>
    <row r="626" spans="4:23" ht="12.75">
      <c r="D626" s="49"/>
      <c r="E626" s="49"/>
      <c r="F626" s="49"/>
      <c r="G626" s="49"/>
      <c r="H626" s="50"/>
      <c r="I626" s="51"/>
      <c r="W626" s="59"/>
    </row>
    <row r="627" spans="4:23" ht="12.75">
      <c r="D627" s="49"/>
      <c r="E627" s="49"/>
      <c r="F627" s="49"/>
      <c r="G627" s="49"/>
      <c r="H627" s="50"/>
      <c r="I627" s="51"/>
      <c r="W627" s="59"/>
    </row>
    <row r="628" spans="4:23" ht="12.75">
      <c r="D628" s="49"/>
      <c r="E628" s="49"/>
      <c r="F628" s="49"/>
      <c r="G628" s="49"/>
      <c r="H628" s="50"/>
      <c r="I628" s="51"/>
      <c r="W628" s="59"/>
    </row>
    <row r="629" spans="4:23" ht="12.75">
      <c r="D629" s="49"/>
      <c r="E629" s="49"/>
      <c r="F629" s="49"/>
      <c r="G629" s="49"/>
      <c r="H629" s="50"/>
      <c r="I629" s="51"/>
      <c r="W629" s="59"/>
    </row>
    <row r="630" spans="4:23" ht="12.75">
      <c r="D630" s="49"/>
      <c r="E630" s="49"/>
      <c r="F630" s="49"/>
      <c r="G630" s="49"/>
      <c r="H630" s="50"/>
      <c r="I630" s="51"/>
      <c r="W630" s="59"/>
    </row>
    <row r="631" spans="4:23" ht="12.75">
      <c r="D631" s="49"/>
      <c r="E631" s="49"/>
      <c r="F631" s="49"/>
      <c r="G631" s="49"/>
      <c r="H631" s="50"/>
      <c r="I631" s="51"/>
      <c r="W631" s="59"/>
    </row>
    <row r="632" spans="4:23" ht="12.75">
      <c r="D632" s="49"/>
      <c r="E632" s="49"/>
      <c r="F632" s="49"/>
      <c r="G632" s="49"/>
      <c r="H632" s="50"/>
      <c r="I632" s="51"/>
      <c r="W632" s="59"/>
    </row>
    <row r="633" spans="4:23" ht="12.75">
      <c r="D633" s="49"/>
      <c r="E633" s="49"/>
      <c r="F633" s="49"/>
      <c r="G633" s="49"/>
      <c r="H633" s="50"/>
      <c r="I633" s="51"/>
      <c r="W633" s="59"/>
    </row>
    <row r="634" spans="4:23" ht="12.75">
      <c r="D634" s="49"/>
      <c r="E634" s="49"/>
      <c r="F634" s="49"/>
      <c r="G634" s="49"/>
      <c r="H634" s="50"/>
      <c r="I634" s="51"/>
      <c r="W634" s="59"/>
    </row>
    <row r="635" spans="4:23" ht="12.75">
      <c r="D635" s="49"/>
      <c r="E635" s="49"/>
      <c r="F635" s="49"/>
      <c r="G635" s="49"/>
      <c r="H635" s="50"/>
      <c r="I635" s="51"/>
      <c r="W635" s="59"/>
    </row>
    <row r="636" spans="4:23" ht="12.75">
      <c r="D636" s="49"/>
      <c r="E636" s="49"/>
      <c r="F636" s="49"/>
      <c r="G636" s="49"/>
      <c r="H636" s="50"/>
      <c r="I636" s="51"/>
      <c r="W636" s="59"/>
    </row>
    <row r="637" spans="4:23" ht="12.75">
      <c r="D637" s="49"/>
      <c r="E637" s="49"/>
      <c r="F637" s="49"/>
      <c r="G637" s="49"/>
      <c r="H637" s="50"/>
      <c r="I637" s="51"/>
      <c r="W637" s="59"/>
    </row>
    <row r="638" spans="4:23" ht="12.75">
      <c r="D638" s="49"/>
      <c r="E638" s="49"/>
      <c r="F638" s="49"/>
      <c r="G638" s="49"/>
      <c r="H638" s="50"/>
      <c r="I638" s="51"/>
      <c r="W638" s="59"/>
    </row>
    <row r="639" spans="4:23" ht="12.75">
      <c r="D639" s="49"/>
      <c r="E639" s="49"/>
      <c r="F639" s="49"/>
      <c r="G639" s="49"/>
      <c r="H639" s="50"/>
      <c r="I639" s="51"/>
      <c r="W639" s="59"/>
    </row>
    <row r="640" spans="4:23" ht="12.75">
      <c r="D640" s="49"/>
      <c r="E640" s="49"/>
      <c r="F640" s="49"/>
      <c r="G640" s="49"/>
      <c r="H640" s="50"/>
      <c r="I640" s="51"/>
      <c r="W640" s="59"/>
    </row>
    <row r="641" spans="4:23" ht="12.75">
      <c r="D641" s="49"/>
      <c r="E641" s="49"/>
      <c r="F641" s="49"/>
      <c r="G641" s="49"/>
      <c r="H641" s="50"/>
      <c r="I641" s="51"/>
      <c r="W641" s="59"/>
    </row>
    <row r="642" spans="4:23" ht="12.75">
      <c r="D642" s="49"/>
      <c r="E642" s="49"/>
      <c r="F642" s="49"/>
      <c r="G642" s="49"/>
      <c r="H642" s="50"/>
      <c r="I642" s="51"/>
      <c r="W642" s="59"/>
    </row>
    <row r="643" spans="4:23" ht="12.75">
      <c r="D643" s="49"/>
      <c r="E643" s="49"/>
      <c r="F643" s="49"/>
      <c r="G643" s="49"/>
      <c r="H643" s="50"/>
      <c r="I643" s="51"/>
      <c r="W643" s="59"/>
    </row>
    <row r="644" spans="4:23" ht="12.75">
      <c r="D644" s="49"/>
      <c r="E644" s="49"/>
      <c r="F644" s="49"/>
      <c r="G644" s="49"/>
      <c r="H644" s="50"/>
      <c r="I644" s="51"/>
      <c r="W644" s="59"/>
    </row>
    <row r="645" spans="4:23" ht="12.75">
      <c r="D645" s="49"/>
      <c r="E645" s="49"/>
      <c r="F645" s="49"/>
      <c r="G645" s="49"/>
      <c r="H645" s="50"/>
      <c r="I645" s="51"/>
      <c r="W645" s="59"/>
    </row>
    <row r="646" spans="4:23" ht="12.75">
      <c r="D646" s="49"/>
      <c r="E646" s="49"/>
      <c r="F646" s="49"/>
      <c r="G646" s="49"/>
      <c r="H646" s="50"/>
      <c r="I646" s="51"/>
      <c r="W646" s="59"/>
    </row>
    <row r="647" spans="4:23" ht="12.75">
      <c r="D647" s="49"/>
      <c r="E647" s="49"/>
      <c r="F647" s="49"/>
      <c r="G647" s="49"/>
      <c r="H647" s="50"/>
      <c r="I647" s="51"/>
      <c r="W647" s="59"/>
    </row>
    <row r="648" spans="4:23" ht="12.75">
      <c r="D648" s="49"/>
      <c r="E648" s="49"/>
      <c r="F648" s="49"/>
      <c r="G648" s="49"/>
      <c r="H648" s="50"/>
      <c r="I648" s="51"/>
      <c r="W648" s="59"/>
    </row>
    <row r="649" spans="4:23" ht="12.75">
      <c r="D649" s="49"/>
      <c r="E649" s="49"/>
      <c r="F649" s="49"/>
      <c r="G649" s="49"/>
      <c r="H649" s="50"/>
      <c r="I649" s="51"/>
      <c r="W649" s="59"/>
    </row>
    <row r="650" spans="4:23" ht="12.75">
      <c r="D650" s="49"/>
      <c r="E650" s="49"/>
      <c r="F650" s="49"/>
      <c r="G650" s="49"/>
      <c r="H650" s="50"/>
      <c r="I650" s="51"/>
      <c r="W650" s="59"/>
    </row>
    <row r="651" spans="4:23" ht="12.75">
      <c r="D651" s="49"/>
      <c r="E651" s="49"/>
      <c r="F651" s="49"/>
      <c r="G651" s="49"/>
      <c r="H651" s="50"/>
      <c r="I651" s="51"/>
      <c r="W651" s="59"/>
    </row>
    <row r="652" spans="4:23" ht="12.75">
      <c r="D652" s="49"/>
      <c r="E652" s="49"/>
      <c r="F652" s="49"/>
      <c r="G652" s="49"/>
      <c r="H652" s="50"/>
      <c r="I652" s="51"/>
      <c r="W652" s="59"/>
    </row>
    <row r="653" spans="4:23" ht="12.75">
      <c r="D653" s="49"/>
      <c r="E653" s="49"/>
      <c r="F653" s="49"/>
      <c r="G653" s="49"/>
      <c r="H653" s="50"/>
      <c r="I653" s="51"/>
      <c r="W653" s="59"/>
    </row>
    <row r="654" spans="4:23" ht="12.75">
      <c r="D654" s="49"/>
      <c r="E654" s="49"/>
      <c r="F654" s="49"/>
      <c r="G654" s="49"/>
      <c r="H654" s="50"/>
      <c r="I654" s="51"/>
      <c r="W654" s="59"/>
    </row>
    <row r="655" spans="4:23" ht="12.75">
      <c r="D655" s="49"/>
      <c r="E655" s="49"/>
      <c r="F655" s="49"/>
      <c r="G655" s="49"/>
      <c r="H655" s="50"/>
      <c r="I655" s="51"/>
      <c r="W655" s="59"/>
    </row>
    <row r="656" spans="4:23" ht="12.75">
      <c r="D656" s="49"/>
      <c r="E656" s="49"/>
      <c r="F656" s="49"/>
      <c r="G656" s="49"/>
      <c r="H656" s="50"/>
      <c r="I656" s="51"/>
      <c r="W656" s="59"/>
    </row>
    <row r="657" spans="4:23" ht="12.75">
      <c r="D657" s="49"/>
      <c r="E657" s="49"/>
      <c r="F657" s="49"/>
      <c r="G657" s="49"/>
      <c r="H657" s="50"/>
      <c r="I657" s="51"/>
      <c r="W657" s="59"/>
    </row>
    <row r="658" spans="4:23" ht="12.75">
      <c r="D658" s="49"/>
      <c r="E658" s="49"/>
      <c r="F658" s="49"/>
      <c r="G658" s="49"/>
      <c r="H658" s="50"/>
      <c r="I658" s="51"/>
      <c r="W658" s="59"/>
    </row>
    <row r="659" spans="4:23" ht="12.75">
      <c r="D659" s="49"/>
      <c r="E659" s="49"/>
      <c r="F659" s="49"/>
      <c r="G659" s="49"/>
      <c r="H659" s="50"/>
      <c r="I659" s="51"/>
      <c r="W659" s="59"/>
    </row>
    <row r="660" spans="4:23" ht="12.75">
      <c r="D660" s="49"/>
      <c r="E660" s="49"/>
      <c r="F660" s="49"/>
      <c r="G660" s="49"/>
      <c r="H660" s="50"/>
      <c r="I660" s="51"/>
      <c r="W660" s="59"/>
    </row>
    <row r="661" spans="4:23" ht="12.75">
      <c r="D661" s="49"/>
      <c r="E661" s="49"/>
      <c r="F661" s="49"/>
      <c r="G661" s="49"/>
      <c r="H661" s="50"/>
      <c r="I661" s="51"/>
      <c r="W661" s="59"/>
    </row>
    <row r="662" spans="4:23" ht="12.75">
      <c r="D662" s="49"/>
      <c r="E662" s="49"/>
      <c r="F662" s="49"/>
      <c r="G662" s="49"/>
      <c r="H662" s="50"/>
      <c r="I662" s="51"/>
      <c r="W662" s="59"/>
    </row>
    <row r="663" spans="4:23" ht="12.75">
      <c r="D663" s="49"/>
      <c r="E663" s="49"/>
      <c r="F663" s="49"/>
      <c r="G663" s="49"/>
      <c r="H663" s="50"/>
      <c r="I663" s="51"/>
      <c r="W663" s="59"/>
    </row>
    <row r="664" spans="4:23" ht="12.75">
      <c r="D664" s="49"/>
      <c r="E664" s="49"/>
      <c r="F664" s="49"/>
      <c r="G664" s="49"/>
      <c r="H664" s="50"/>
      <c r="I664" s="51"/>
      <c r="W664" s="59"/>
    </row>
    <row r="665" spans="4:23" ht="12.75">
      <c r="D665" s="49"/>
      <c r="E665" s="49"/>
      <c r="F665" s="49"/>
      <c r="G665" s="49"/>
      <c r="H665" s="50"/>
      <c r="I665" s="51"/>
      <c r="W665" s="59"/>
    </row>
    <row r="666" spans="4:23" ht="12.75">
      <c r="D666" s="49"/>
      <c r="E666" s="49"/>
      <c r="F666" s="49"/>
      <c r="G666" s="49"/>
      <c r="H666" s="50"/>
      <c r="I666" s="51"/>
      <c r="W666" s="59"/>
    </row>
    <row r="667" spans="4:23" ht="12.75">
      <c r="D667" s="49"/>
      <c r="E667" s="49"/>
      <c r="F667" s="49"/>
      <c r="G667" s="49"/>
      <c r="H667" s="50"/>
      <c r="I667" s="51"/>
      <c r="W667" s="59"/>
    </row>
    <row r="668" spans="4:23" ht="12.75">
      <c r="D668" s="49"/>
      <c r="E668" s="49"/>
      <c r="F668" s="49"/>
      <c r="G668" s="49"/>
      <c r="H668" s="50"/>
      <c r="I668" s="51"/>
      <c r="W668" s="59"/>
    </row>
    <row r="669" spans="4:23" ht="12.75">
      <c r="D669" s="49"/>
      <c r="E669" s="49"/>
      <c r="F669" s="49"/>
      <c r="G669" s="49"/>
      <c r="H669" s="50"/>
      <c r="I669" s="51"/>
      <c r="W669" s="59"/>
    </row>
    <row r="670" spans="4:23" ht="12.75">
      <c r="D670" s="49"/>
      <c r="E670" s="49"/>
      <c r="F670" s="49"/>
      <c r="G670" s="49"/>
      <c r="H670" s="50"/>
      <c r="I670" s="51"/>
      <c r="W670" s="59"/>
    </row>
    <row r="671" spans="4:23" ht="12.75">
      <c r="D671" s="49"/>
      <c r="E671" s="49"/>
      <c r="F671" s="49"/>
      <c r="G671" s="49"/>
      <c r="H671" s="50"/>
      <c r="I671" s="51"/>
      <c r="W671" s="59"/>
    </row>
    <row r="672" spans="4:23" ht="12.75">
      <c r="D672" s="49"/>
      <c r="E672" s="49"/>
      <c r="F672" s="49"/>
      <c r="G672" s="49"/>
      <c r="H672" s="50"/>
      <c r="I672" s="51"/>
      <c r="W672" s="59"/>
    </row>
    <row r="673" spans="4:23" ht="12.75">
      <c r="D673" s="49"/>
      <c r="E673" s="49"/>
      <c r="F673" s="49"/>
      <c r="G673" s="49"/>
      <c r="H673" s="50"/>
      <c r="I673" s="51"/>
      <c r="W673" s="59"/>
    </row>
    <row r="674" spans="4:23" ht="12.75">
      <c r="D674" s="49"/>
      <c r="E674" s="49"/>
      <c r="F674" s="49"/>
      <c r="G674" s="49"/>
      <c r="H674" s="50"/>
      <c r="I674" s="51"/>
      <c r="W674" s="59"/>
    </row>
    <row r="675" spans="4:23" ht="12.75">
      <c r="D675" s="49"/>
      <c r="E675" s="49"/>
      <c r="F675" s="49"/>
      <c r="G675" s="49"/>
      <c r="H675" s="50"/>
      <c r="I675" s="51"/>
      <c r="W675" s="59"/>
    </row>
    <row r="676" spans="4:23" ht="12.75">
      <c r="D676" s="49"/>
      <c r="E676" s="49"/>
      <c r="F676" s="49"/>
      <c r="G676" s="49"/>
      <c r="H676" s="50"/>
      <c r="I676" s="51"/>
      <c r="W676" s="59"/>
    </row>
    <row r="677" spans="4:23" ht="12.75">
      <c r="D677" s="49"/>
      <c r="E677" s="49"/>
      <c r="F677" s="49"/>
      <c r="G677" s="49"/>
      <c r="H677" s="50"/>
      <c r="I677" s="51"/>
      <c r="W677" s="59"/>
    </row>
    <row r="678" spans="4:23" ht="12.75">
      <c r="D678" s="49"/>
      <c r="E678" s="49"/>
      <c r="F678" s="49"/>
      <c r="G678" s="49"/>
      <c r="H678" s="50"/>
      <c r="I678" s="51"/>
      <c r="W678" s="59"/>
    </row>
    <row r="679" spans="4:23" ht="12.75">
      <c r="D679" s="49"/>
      <c r="E679" s="49"/>
      <c r="F679" s="49"/>
      <c r="G679" s="49"/>
      <c r="H679" s="50"/>
      <c r="I679" s="51"/>
      <c r="W679" s="59"/>
    </row>
    <row r="680" spans="4:23" ht="12.75">
      <c r="D680" s="49"/>
      <c r="E680" s="49"/>
      <c r="F680" s="49"/>
      <c r="G680" s="49"/>
      <c r="H680" s="50"/>
      <c r="I680" s="51"/>
      <c r="W680" s="59"/>
    </row>
    <row r="681" spans="4:23" ht="12.75">
      <c r="D681" s="49"/>
      <c r="E681" s="49"/>
      <c r="F681" s="49"/>
      <c r="G681" s="49"/>
      <c r="H681" s="50"/>
      <c r="I681" s="51"/>
      <c r="W681" s="59"/>
    </row>
    <row r="682" spans="4:23" ht="12.75">
      <c r="D682" s="49"/>
      <c r="E682" s="49"/>
      <c r="F682" s="49"/>
      <c r="G682" s="49"/>
      <c r="H682" s="50"/>
      <c r="I682" s="51"/>
      <c r="W682" s="59"/>
    </row>
    <row r="683" spans="4:23" ht="12.75">
      <c r="D683" s="49"/>
      <c r="E683" s="49"/>
      <c r="F683" s="49"/>
      <c r="G683" s="49"/>
      <c r="H683" s="50"/>
      <c r="I683" s="51"/>
      <c r="W683" s="59"/>
    </row>
    <row r="684" spans="4:23" ht="12.75">
      <c r="D684" s="49"/>
      <c r="E684" s="49"/>
      <c r="F684" s="49"/>
      <c r="G684" s="49"/>
      <c r="H684" s="50"/>
      <c r="I684" s="51"/>
      <c r="W684" s="59"/>
    </row>
    <row r="685" spans="4:23" ht="12.75">
      <c r="D685" s="49"/>
      <c r="E685" s="49"/>
      <c r="F685" s="49"/>
      <c r="G685" s="49"/>
      <c r="H685" s="50"/>
      <c r="I685" s="51"/>
      <c r="W685" s="59"/>
    </row>
    <row r="686" spans="4:23" ht="12.75">
      <c r="D686" s="49"/>
      <c r="E686" s="49"/>
      <c r="F686" s="49"/>
      <c r="G686" s="49"/>
      <c r="H686" s="50"/>
      <c r="I686" s="51"/>
      <c r="W686" s="59"/>
    </row>
    <row r="687" spans="4:23" ht="12.75">
      <c r="D687" s="49"/>
      <c r="E687" s="49"/>
      <c r="F687" s="49"/>
      <c r="G687" s="49"/>
      <c r="H687" s="50"/>
      <c r="I687" s="51"/>
      <c r="W687" s="59"/>
    </row>
    <row r="688" spans="4:23" ht="12.75">
      <c r="D688" s="49"/>
      <c r="E688" s="49"/>
      <c r="F688" s="49"/>
      <c r="G688" s="49"/>
      <c r="H688" s="50"/>
      <c r="I688" s="51"/>
      <c r="W688" s="59"/>
    </row>
    <row r="689" spans="4:23" ht="12.75">
      <c r="D689" s="49"/>
      <c r="E689" s="49"/>
      <c r="F689" s="49"/>
      <c r="G689" s="49"/>
      <c r="H689" s="50"/>
      <c r="I689" s="51"/>
      <c r="W689" s="59"/>
    </row>
    <row r="690" spans="4:23" ht="12.75">
      <c r="D690" s="49"/>
      <c r="E690" s="49"/>
      <c r="F690" s="49"/>
      <c r="G690" s="49"/>
      <c r="H690" s="50"/>
      <c r="I690" s="51"/>
      <c r="W690" s="59"/>
    </row>
    <row r="691" spans="4:23" ht="12.75">
      <c r="D691" s="49"/>
      <c r="E691" s="49"/>
      <c r="F691" s="49"/>
      <c r="G691" s="49"/>
      <c r="H691" s="50"/>
      <c r="I691" s="51"/>
      <c r="W691" s="59"/>
    </row>
    <row r="692" spans="4:23" ht="12.75">
      <c r="D692" s="49"/>
      <c r="E692" s="49"/>
      <c r="F692" s="49"/>
      <c r="G692" s="49"/>
      <c r="H692" s="50"/>
      <c r="I692" s="51"/>
      <c r="W692" s="59"/>
    </row>
    <row r="693" spans="4:23" ht="12.75">
      <c r="D693" s="49"/>
      <c r="E693" s="49"/>
      <c r="F693" s="49"/>
      <c r="G693" s="49"/>
      <c r="H693" s="50"/>
      <c r="I693" s="51"/>
      <c r="W693" s="59"/>
    </row>
    <row r="694" spans="4:23" ht="12.75">
      <c r="D694" s="49"/>
      <c r="E694" s="49"/>
      <c r="F694" s="49"/>
      <c r="G694" s="49"/>
      <c r="H694" s="50"/>
      <c r="I694" s="51"/>
      <c r="W694" s="59"/>
    </row>
    <row r="695" spans="4:23" ht="12.75">
      <c r="D695" s="49"/>
      <c r="E695" s="49"/>
      <c r="F695" s="49"/>
      <c r="G695" s="49"/>
      <c r="H695" s="50"/>
      <c r="I695" s="51"/>
      <c r="W695" s="59"/>
    </row>
    <row r="696" spans="4:23" ht="12.75">
      <c r="D696" s="49"/>
      <c r="E696" s="49"/>
      <c r="F696" s="49"/>
      <c r="G696" s="49"/>
      <c r="H696" s="50"/>
      <c r="I696" s="51"/>
      <c r="W696" s="59"/>
    </row>
    <row r="697" spans="4:23" ht="12.75">
      <c r="D697" s="49"/>
      <c r="E697" s="49"/>
      <c r="F697" s="49"/>
      <c r="G697" s="49"/>
      <c r="H697" s="50"/>
      <c r="I697" s="51"/>
      <c r="W697" s="59"/>
    </row>
    <row r="698" spans="4:23" ht="12.75">
      <c r="D698" s="49"/>
      <c r="E698" s="49"/>
      <c r="F698" s="49"/>
      <c r="G698" s="49"/>
      <c r="H698" s="50"/>
      <c r="I698" s="51"/>
      <c r="W698" s="59"/>
    </row>
    <row r="699" spans="4:23" ht="12.75">
      <c r="D699" s="49"/>
      <c r="E699" s="49"/>
      <c r="F699" s="49"/>
      <c r="G699" s="49"/>
      <c r="H699" s="50"/>
      <c r="I699" s="51"/>
      <c r="W699" s="59"/>
    </row>
    <row r="700" spans="4:23" ht="12.75">
      <c r="D700" s="49"/>
      <c r="E700" s="49"/>
      <c r="F700" s="49"/>
      <c r="G700" s="49"/>
      <c r="H700" s="50"/>
      <c r="I700" s="51"/>
      <c r="W700" s="59"/>
    </row>
    <row r="701" spans="4:23" ht="12.75">
      <c r="D701" s="49"/>
      <c r="E701" s="49"/>
      <c r="F701" s="49"/>
      <c r="G701" s="49"/>
      <c r="H701" s="50"/>
      <c r="I701" s="51"/>
      <c r="W701" s="59"/>
    </row>
    <row r="702" spans="4:23" ht="12.75">
      <c r="D702" s="49"/>
      <c r="E702" s="49"/>
      <c r="F702" s="49"/>
      <c r="G702" s="49"/>
      <c r="H702" s="50"/>
      <c r="I702" s="51"/>
      <c r="W702" s="59"/>
    </row>
    <row r="703" spans="4:23" ht="12.75">
      <c r="D703" s="49"/>
      <c r="E703" s="49"/>
      <c r="F703" s="49"/>
      <c r="G703" s="49"/>
      <c r="H703" s="50"/>
      <c r="I703" s="51"/>
      <c r="W703" s="59"/>
    </row>
    <row r="704" spans="4:23" ht="12.75">
      <c r="D704" s="49"/>
      <c r="E704" s="49"/>
      <c r="F704" s="49"/>
      <c r="G704" s="49"/>
      <c r="H704" s="50"/>
      <c r="I704" s="51"/>
      <c r="W704" s="59"/>
    </row>
    <row r="705" spans="4:23" ht="12.75">
      <c r="D705" s="49"/>
      <c r="E705" s="49"/>
      <c r="F705" s="49"/>
      <c r="G705" s="49"/>
      <c r="H705" s="50"/>
      <c r="I705" s="51"/>
      <c r="W705" s="59"/>
    </row>
    <row r="706" spans="4:23" ht="12.75">
      <c r="D706" s="49"/>
      <c r="E706" s="49"/>
      <c r="F706" s="49"/>
      <c r="G706" s="49"/>
      <c r="H706" s="50"/>
      <c r="I706" s="51"/>
      <c r="W706" s="59"/>
    </row>
    <row r="707" spans="4:23" ht="12.75">
      <c r="D707" s="49"/>
      <c r="E707" s="49"/>
      <c r="F707" s="49"/>
      <c r="G707" s="49"/>
      <c r="H707" s="50"/>
      <c r="I707" s="51"/>
      <c r="W707" s="59"/>
    </row>
    <row r="708" spans="4:23" ht="12.75">
      <c r="D708" s="49"/>
      <c r="E708" s="49"/>
      <c r="F708" s="49"/>
      <c r="G708" s="49"/>
      <c r="H708" s="50"/>
      <c r="I708" s="51"/>
      <c r="W708" s="59"/>
    </row>
    <row r="709" spans="4:23" ht="12.75">
      <c r="D709" s="49"/>
      <c r="E709" s="49"/>
      <c r="F709" s="49"/>
      <c r="G709" s="49"/>
      <c r="H709" s="50"/>
      <c r="I709" s="51"/>
      <c r="W709" s="59"/>
    </row>
    <row r="710" spans="4:23" ht="12.75">
      <c r="D710" s="49"/>
      <c r="E710" s="49"/>
      <c r="F710" s="49"/>
      <c r="G710" s="49"/>
      <c r="H710" s="50"/>
      <c r="I710" s="51"/>
      <c r="W710" s="59"/>
    </row>
    <row r="711" spans="4:23" ht="12.75">
      <c r="D711" s="49"/>
      <c r="E711" s="49"/>
      <c r="F711" s="49"/>
      <c r="G711" s="49"/>
      <c r="H711" s="50"/>
      <c r="I711" s="51"/>
      <c r="W711" s="59"/>
    </row>
    <row r="712" spans="4:23" ht="12.75">
      <c r="D712" s="49"/>
      <c r="E712" s="49"/>
      <c r="F712" s="49"/>
      <c r="G712" s="49"/>
      <c r="H712" s="50"/>
      <c r="I712" s="51"/>
      <c r="W712" s="59"/>
    </row>
    <row r="713" spans="4:23" ht="12.75">
      <c r="D713" s="49"/>
      <c r="E713" s="49"/>
      <c r="F713" s="49"/>
      <c r="G713" s="49"/>
      <c r="H713" s="50"/>
      <c r="I713" s="51"/>
      <c r="W713" s="59"/>
    </row>
    <row r="714" spans="4:23" ht="12.75">
      <c r="D714" s="49"/>
      <c r="E714" s="49"/>
      <c r="F714" s="49"/>
      <c r="G714" s="49"/>
      <c r="H714" s="50"/>
      <c r="I714" s="51"/>
      <c r="W714" s="59"/>
    </row>
    <row r="715" spans="4:23" ht="12.75">
      <c r="D715" s="49"/>
      <c r="E715" s="49"/>
      <c r="F715" s="49"/>
      <c r="G715" s="49"/>
      <c r="H715" s="50"/>
      <c r="I715" s="51"/>
      <c r="W715" s="59"/>
    </row>
    <row r="716" spans="4:23" ht="12.75">
      <c r="D716" s="49"/>
      <c r="E716" s="49"/>
      <c r="F716" s="49"/>
      <c r="G716" s="49"/>
      <c r="H716" s="50"/>
      <c r="I716" s="51"/>
      <c r="W716" s="59"/>
    </row>
    <row r="717" spans="4:23" ht="12.75">
      <c r="D717" s="49"/>
      <c r="E717" s="49"/>
      <c r="F717" s="49"/>
      <c r="G717" s="49"/>
      <c r="H717" s="50"/>
      <c r="I717" s="51"/>
      <c r="W717" s="59"/>
    </row>
    <row r="718" spans="4:23" ht="12.75">
      <c r="D718" s="49"/>
      <c r="E718" s="49"/>
      <c r="F718" s="49"/>
      <c r="G718" s="49"/>
      <c r="H718" s="50"/>
      <c r="I718" s="51"/>
      <c r="W718" s="59"/>
    </row>
    <row r="719" spans="4:23" ht="12.75">
      <c r="D719" s="49"/>
      <c r="E719" s="49"/>
      <c r="F719" s="49"/>
      <c r="G719" s="49"/>
      <c r="H719" s="50"/>
      <c r="I719" s="51"/>
      <c r="W719" s="59"/>
    </row>
    <row r="720" spans="4:23" ht="12.75">
      <c r="D720" s="49"/>
      <c r="E720" s="49"/>
      <c r="F720" s="49"/>
      <c r="G720" s="49"/>
      <c r="H720" s="50"/>
      <c r="I720" s="51"/>
      <c r="W720" s="59"/>
    </row>
    <row r="721" spans="4:23" ht="12.75">
      <c r="D721" s="49"/>
      <c r="E721" s="49"/>
      <c r="F721" s="49"/>
      <c r="G721" s="49"/>
      <c r="H721" s="50"/>
      <c r="I721" s="51"/>
      <c r="W721" s="59"/>
    </row>
    <row r="722" spans="4:23" ht="12.75">
      <c r="D722" s="49"/>
      <c r="E722" s="49"/>
      <c r="F722" s="49"/>
      <c r="G722" s="49"/>
      <c r="H722" s="50"/>
      <c r="I722" s="51"/>
      <c r="W722" s="59"/>
    </row>
    <row r="723" spans="4:23" ht="12.75">
      <c r="D723" s="49"/>
      <c r="E723" s="49"/>
      <c r="F723" s="49"/>
      <c r="G723" s="49"/>
      <c r="H723" s="50"/>
      <c r="I723" s="51"/>
      <c r="W723" s="59"/>
    </row>
    <row r="724" spans="4:23" ht="12.75">
      <c r="D724" s="49"/>
      <c r="E724" s="49"/>
      <c r="F724" s="49"/>
      <c r="G724" s="49"/>
      <c r="H724" s="50"/>
      <c r="I724" s="51"/>
      <c r="W724" s="59"/>
    </row>
    <row r="725" spans="4:23" ht="12.75">
      <c r="D725" s="49"/>
      <c r="E725" s="49"/>
      <c r="F725" s="49"/>
      <c r="G725" s="49"/>
      <c r="H725" s="50"/>
      <c r="I725" s="51"/>
      <c r="W725" s="59"/>
    </row>
    <row r="726" spans="4:23" ht="12.75">
      <c r="D726" s="49"/>
      <c r="E726" s="49"/>
      <c r="F726" s="49"/>
      <c r="G726" s="49"/>
      <c r="H726" s="50"/>
      <c r="I726" s="51"/>
      <c r="W726" s="59"/>
    </row>
    <row r="727" spans="4:23" ht="12.75">
      <c r="D727" s="49"/>
      <c r="E727" s="49"/>
      <c r="F727" s="49"/>
      <c r="G727" s="49"/>
      <c r="H727" s="50"/>
      <c r="I727" s="51"/>
      <c r="W727" s="59"/>
    </row>
    <row r="728" spans="4:23" ht="12.75">
      <c r="D728" s="49"/>
      <c r="E728" s="49"/>
      <c r="F728" s="49"/>
      <c r="G728" s="49"/>
      <c r="H728" s="50"/>
      <c r="I728" s="51"/>
      <c r="W728" s="59"/>
    </row>
    <row r="729" spans="4:23" ht="12.75">
      <c r="D729" s="49"/>
      <c r="E729" s="49"/>
      <c r="F729" s="49"/>
      <c r="G729" s="49"/>
      <c r="H729" s="50"/>
      <c r="I729" s="51"/>
      <c r="W729" s="59"/>
    </row>
    <row r="730" spans="4:23" ht="12.75">
      <c r="D730" s="49"/>
      <c r="E730" s="49"/>
      <c r="F730" s="49"/>
      <c r="G730" s="49"/>
      <c r="H730" s="50"/>
      <c r="I730" s="51"/>
      <c r="W730" s="59"/>
    </row>
    <row r="731" spans="4:23" ht="12.75">
      <c r="D731" s="49"/>
      <c r="E731" s="49"/>
      <c r="F731" s="49"/>
      <c r="G731" s="49"/>
      <c r="H731" s="50"/>
      <c r="I731" s="51"/>
      <c r="W731" s="59"/>
    </row>
    <row r="732" spans="4:23" ht="12.75">
      <c r="D732" s="49"/>
      <c r="E732" s="49"/>
      <c r="F732" s="49"/>
      <c r="G732" s="49"/>
      <c r="H732" s="50"/>
      <c r="I732" s="51"/>
      <c r="W732" s="59"/>
    </row>
    <row r="733" spans="4:23" ht="12.75">
      <c r="D733" s="49"/>
      <c r="E733" s="49"/>
      <c r="F733" s="49"/>
      <c r="G733" s="49"/>
      <c r="H733" s="50"/>
      <c r="I733" s="51"/>
      <c r="W733" s="59"/>
    </row>
    <row r="734" spans="4:23" ht="12.75">
      <c r="D734" s="49"/>
      <c r="E734" s="49"/>
      <c r="F734" s="49"/>
      <c r="G734" s="49"/>
      <c r="H734" s="50"/>
      <c r="I734" s="51"/>
      <c r="W734" s="59"/>
    </row>
    <row r="735" spans="4:23" ht="12.75">
      <c r="D735" s="49"/>
      <c r="E735" s="49"/>
      <c r="F735" s="49"/>
      <c r="G735" s="49"/>
      <c r="H735" s="50"/>
      <c r="I735" s="51"/>
      <c r="W735" s="59"/>
    </row>
    <row r="736" spans="4:23" ht="12.75">
      <c r="D736" s="49"/>
      <c r="E736" s="49"/>
      <c r="F736" s="49"/>
      <c r="G736" s="49"/>
      <c r="H736" s="50"/>
      <c r="I736" s="51"/>
      <c r="W736" s="59"/>
    </row>
    <row r="737" spans="4:23" ht="12.75">
      <c r="D737" s="49"/>
      <c r="E737" s="49"/>
      <c r="F737" s="49"/>
      <c r="G737" s="49"/>
      <c r="H737" s="50"/>
      <c r="I737" s="51"/>
      <c r="W737" s="59"/>
    </row>
    <row r="738" spans="4:23" ht="12.75">
      <c r="D738" s="49"/>
      <c r="E738" s="49"/>
      <c r="F738" s="49"/>
      <c r="G738" s="49"/>
      <c r="H738" s="50"/>
      <c r="I738" s="51"/>
      <c r="W738" s="59"/>
    </row>
    <row r="739" spans="4:23" ht="12.75">
      <c r="D739" s="49"/>
      <c r="E739" s="49"/>
      <c r="F739" s="49"/>
      <c r="G739" s="49"/>
      <c r="H739" s="50"/>
      <c r="I739" s="51"/>
      <c r="W739" s="59"/>
    </row>
    <row r="740" spans="4:23" ht="12.75">
      <c r="D740" s="49"/>
      <c r="E740" s="49"/>
      <c r="F740" s="49"/>
      <c r="G740" s="49"/>
      <c r="H740" s="50"/>
      <c r="I740" s="51"/>
      <c r="W740" s="59"/>
    </row>
    <row r="741" spans="4:23" ht="12.75">
      <c r="D741" s="49"/>
      <c r="E741" s="49"/>
      <c r="F741" s="49"/>
      <c r="G741" s="49"/>
      <c r="H741" s="50"/>
      <c r="I741" s="51"/>
      <c r="W741" s="59"/>
    </row>
    <row r="742" spans="4:23" ht="12.75">
      <c r="D742" s="49"/>
      <c r="E742" s="49"/>
      <c r="F742" s="49"/>
      <c r="G742" s="49"/>
      <c r="H742" s="50"/>
      <c r="I742" s="51"/>
      <c r="W742" s="59"/>
    </row>
    <row r="743" spans="4:23" ht="12.75">
      <c r="D743" s="49"/>
      <c r="E743" s="49"/>
      <c r="F743" s="49"/>
      <c r="G743" s="49"/>
      <c r="H743" s="50"/>
      <c r="I743" s="51"/>
      <c r="W743" s="59"/>
    </row>
    <row r="744" spans="4:23" ht="12.75">
      <c r="D744" s="49"/>
      <c r="E744" s="49"/>
      <c r="F744" s="49"/>
      <c r="G744" s="49"/>
      <c r="H744" s="50"/>
      <c r="I744" s="51"/>
      <c r="W744" s="59"/>
    </row>
    <row r="745" spans="4:23" ht="12.75">
      <c r="D745" s="49"/>
      <c r="E745" s="49"/>
      <c r="F745" s="49"/>
      <c r="G745" s="49"/>
      <c r="H745" s="50"/>
      <c r="I745" s="51"/>
      <c r="W745" s="59"/>
    </row>
    <row r="746" spans="4:23" ht="12.75">
      <c r="D746" s="49"/>
      <c r="E746" s="49"/>
      <c r="F746" s="49"/>
      <c r="G746" s="49"/>
      <c r="H746" s="50"/>
      <c r="I746" s="51"/>
      <c r="W746" s="59"/>
    </row>
    <row r="747" spans="4:23" ht="12.75">
      <c r="D747" s="49"/>
      <c r="E747" s="49"/>
      <c r="F747" s="49"/>
      <c r="G747" s="49"/>
      <c r="H747" s="50"/>
      <c r="I747" s="51"/>
      <c r="W747" s="59"/>
    </row>
    <row r="748" spans="4:23" ht="12.75">
      <c r="D748" s="49"/>
      <c r="E748" s="49"/>
      <c r="F748" s="49"/>
      <c r="G748" s="49"/>
      <c r="H748" s="50"/>
      <c r="I748" s="51"/>
      <c r="W748" s="59"/>
    </row>
    <row r="749" spans="4:23" ht="12.75">
      <c r="D749" s="49"/>
      <c r="E749" s="49"/>
      <c r="F749" s="49"/>
      <c r="G749" s="49"/>
      <c r="H749" s="50"/>
      <c r="I749" s="51"/>
      <c r="W749" s="59"/>
    </row>
    <row r="750" spans="4:23" ht="12.75">
      <c r="D750" s="49"/>
      <c r="E750" s="49"/>
      <c r="F750" s="49"/>
      <c r="G750" s="49"/>
      <c r="H750" s="50"/>
      <c r="I750" s="51"/>
      <c r="W750" s="59"/>
    </row>
    <row r="751" spans="4:23" ht="12.75">
      <c r="D751" s="49"/>
      <c r="E751" s="49"/>
      <c r="F751" s="49"/>
      <c r="G751" s="49"/>
      <c r="H751" s="50"/>
      <c r="I751" s="51"/>
      <c r="W751" s="59"/>
    </row>
    <row r="752" spans="4:23" ht="12.75">
      <c r="D752" s="49"/>
      <c r="E752" s="49"/>
      <c r="F752" s="49"/>
      <c r="G752" s="49"/>
      <c r="H752" s="50"/>
      <c r="I752" s="51"/>
      <c r="W752" s="59"/>
    </row>
    <row r="753" spans="4:23" ht="12.75">
      <c r="D753" s="49"/>
      <c r="E753" s="49"/>
      <c r="F753" s="49"/>
      <c r="G753" s="49"/>
      <c r="H753" s="50"/>
      <c r="I753" s="51"/>
      <c r="W753" s="59"/>
    </row>
    <row r="754" spans="4:23" ht="12.75">
      <c r="D754" s="49"/>
      <c r="E754" s="49"/>
      <c r="F754" s="49"/>
      <c r="G754" s="49"/>
      <c r="H754" s="50"/>
      <c r="I754" s="51"/>
      <c r="W754" s="59"/>
    </row>
    <row r="755" spans="4:23" ht="12.75">
      <c r="D755" s="49"/>
      <c r="E755" s="49"/>
      <c r="F755" s="49"/>
      <c r="G755" s="49"/>
      <c r="H755" s="50"/>
      <c r="I755" s="51"/>
      <c r="W755" s="59"/>
    </row>
    <row r="756" spans="4:23" ht="12.75">
      <c r="D756" s="49"/>
      <c r="E756" s="49"/>
      <c r="F756" s="49"/>
      <c r="G756" s="49"/>
      <c r="H756" s="50"/>
      <c r="I756" s="51"/>
      <c r="W756" s="59"/>
    </row>
    <row r="757" spans="4:23" ht="12.75">
      <c r="D757" s="49"/>
      <c r="E757" s="49"/>
      <c r="F757" s="49"/>
      <c r="G757" s="49"/>
      <c r="H757" s="50"/>
      <c r="I757" s="51"/>
      <c r="W757" s="59"/>
    </row>
    <row r="758" spans="4:23" ht="12.75">
      <c r="D758" s="49"/>
      <c r="E758" s="49"/>
      <c r="F758" s="49"/>
      <c r="G758" s="49"/>
      <c r="H758" s="50"/>
      <c r="I758" s="51"/>
      <c r="W758" s="59"/>
    </row>
    <row r="759" spans="4:23" ht="12.75">
      <c r="D759" s="49"/>
      <c r="E759" s="49"/>
      <c r="F759" s="49"/>
      <c r="G759" s="49"/>
      <c r="H759" s="50"/>
      <c r="I759" s="51"/>
      <c r="W759" s="59"/>
    </row>
    <row r="760" spans="4:23" ht="12.75">
      <c r="D760" s="49"/>
      <c r="E760" s="49"/>
      <c r="F760" s="49"/>
      <c r="G760" s="49"/>
      <c r="H760" s="50"/>
      <c r="I760" s="51"/>
      <c r="W760" s="59"/>
    </row>
    <row r="761" spans="4:23" ht="12.75">
      <c r="D761" s="49"/>
      <c r="E761" s="49"/>
      <c r="F761" s="49"/>
      <c r="G761" s="49"/>
      <c r="H761" s="50"/>
      <c r="I761" s="51"/>
      <c r="W761" s="59"/>
    </row>
    <row r="762" spans="4:23" ht="12.75">
      <c r="D762" s="49"/>
      <c r="E762" s="49"/>
      <c r="F762" s="49"/>
      <c r="G762" s="49"/>
      <c r="H762" s="50"/>
      <c r="I762" s="51"/>
      <c r="W762" s="59"/>
    </row>
    <row r="763" spans="4:23" ht="12.75">
      <c r="D763" s="49"/>
      <c r="E763" s="49"/>
      <c r="F763" s="49"/>
      <c r="G763" s="49"/>
      <c r="H763" s="50"/>
      <c r="I763" s="51"/>
      <c r="W763" s="59"/>
    </row>
    <row r="764" spans="4:23" ht="12.75">
      <c r="D764" s="49"/>
      <c r="E764" s="49"/>
      <c r="F764" s="49"/>
      <c r="G764" s="49"/>
      <c r="H764" s="50"/>
      <c r="I764" s="51"/>
      <c r="W764" s="59"/>
    </row>
    <row r="765" spans="4:23" ht="12.75">
      <c r="D765" s="49"/>
      <c r="E765" s="49"/>
      <c r="F765" s="49"/>
      <c r="G765" s="49"/>
      <c r="H765" s="50"/>
      <c r="I765" s="51"/>
      <c r="W765" s="59"/>
    </row>
    <row r="766" spans="4:23" ht="12.75">
      <c r="D766" s="49"/>
      <c r="E766" s="49"/>
      <c r="F766" s="49"/>
      <c r="G766" s="49"/>
      <c r="H766" s="50"/>
      <c r="I766" s="51"/>
      <c r="W766" s="59"/>
    </row>
    <row r="767" spans="4:23" ht="12.75">
      <c r="D767" s="49"/>
      <c r="E767" s="49"/>
      <c r="F767" s="49"/>
      <c r="G767" s="49"/>
      <c r="H767" s="50"/>
      <c r="I767" s="51"/>
      <c r="W767" s="59"/>
    </row>
    <row r="768" spans="4:23" ht="12.75">
      <c r="D768" s="49"/>
      <c r="E768" s="49"/>
      <c r="F768" s="49"/>
      <c r="G768" s="49"/>
      <c r="H768" s="50"/>
      <c r="I768" s="51"/>
      <c r="W768" s="59"/>
    </row>
    <row r="769" spans="4:23" ht="12.75">
      <c r="D769" s="49"/>
      <c r="E769" s="49"/>
      <c r="F769" s="49"/>
      <c r="G769" s="49"/>
      <c r="H769" s="50"/>
      <c r="I769" s="51"/>
      <c r="W769" s="59"/>
    </row>
    <row r="770" spans="4:23" ht="12.75">
      <c r="D770" s="49"/>
      <c r="E770" s="49"/>
      <c r="F770" s="49"/>
      <c r="G770" s="49"/>
      <c r="H770" s="50"/>
      <c r="I770" s="51"/>
      <c r="W770" s="59"/>
    </row>
    <row r="771" spans="4:23" ht="12.75">
      <c r="D771" s="49"/>
      <c r="E771" s="49"/>
      <c r="F771" s="49"/>
      <c r="G771" s="49"/>
      <c r="H771" s="50"/>
      <c r="I771" s="51"/>
      <c r="W771" s="59"/>
    </row>
    <row r="772" spans="4:23" ht="12.75">
      <c r="D772" s="49"/>
      <c r="E772" s="49"/>
      <c r="F772" s="49"/>
      <c r="G772" s="49"/>
      <c r="H772" s="50"/>
      <c r="I772" s="51"/>
      <c r="W772" s="59"/>
    </row>
    <row r="773" spans="4:23" ht="12.75">
      <c r="D773" s="49"/>
      <c r="E773" s="49"/>
      <c r="F773" s="49"/>
      <c r="G773" s="49"/>
      <c r="H773" s="50"/>
      <c r="I773" s="51"/>
      <c r="W773" s="59"/>
    </row>
    <row r="774" spans="4:23" ht="12.75">
      <c r="D774" s="49"/>
      <c r="E774" s="49"/>
      <c r="F774" s="49"/>
      <c r="G774" s="49"/>
      <c r="H774" s="50"/>
      <c r="I774" s="51"/>
      <c r="W774" s="59"/>
    </row>
    <row r="775" spans="4:23" ht="12.75">
      <c r="D775" s="49"/>
      <c r="E775" s="49"/>
      <c r="F775" s="49"/>
      <c r="G775" s="49"/>
      <c r="H775" s="50"/>
      <c r="I775" s="51"/>
      <c r="W775" s="59"/>
    </row>
    <row r="776" spans="4:23" ht="12.75">
      <c r="D776" s="49"/>
      <c r="E776" s="49"/>
      <c r="F776" s="49"/>
      <c r="G776" s="49"/>
      <c r="H776" s="50"/>
      <c r="I776" s="51"/>
      <c r="W776" s="59"/>
    </row>
    <row r="777" spans="4:23" ht="12.75">
      <c r="D777" s="49"/>
      <c r="E777" s="49"/>
      <c r="F777" s="49"/>
      <c r="G777" s="49"/>
      <c r="H777" s="50"/>
      <c r="I777" s="51"/>
      <c r="W777" s="59"/>
    </row>
    <row r="778" spans="4:23" ht="12.75">
      <c r="D778" s="49"/>
      <c r="E778" s="49"/>
      <c r="F778" s="49"/>
      <c r="G778" s="49"/>
      <c r="H778" s="50"/>
      <c r="I778" s="51"/>
      <c r="W778" s="59"/>
    </row>
    <row r="779" spans="4:23" ht="12.75">
      <c r="D779" s="49"/>
      <c r="E779" s="49"/>
      <c r="F779" s="49"/>
      <c r="G779" s="49"/>
      <c r="H779" s="50"/>
      <c r="I779" s="51"/>
      <c r="W779" s="59"/>
    </row>
    <row r="780" spans="4:23" ht="12.75">
      <c r="D780" s="49"/>
      <c r="E780" s="49"/>
      <c r="F780" s="49"/>
      <c r="G780" s="49"/>
      <c r="H780" s="50"/>
      <c r="I780" s="51"/>
      <c r="W780" s="59"/>
    </row>
    <row r="781" spans="4:23" ht="12.75">
      <c r="D781" s="49"/>
      <c r="E781" s="49"/>
      <c r="F781" s="49"/>
      <c r="G781" s="49"/>
      <c r="H781" s="50"/>
      <c r="I781" s="51"/>
      <c r="W781" s="59"/>
    </row>
    <row r="782" spans="4:23" ht="12.75">
      <c r="D782" s="49"/>
      <c r="E782" s="49"/>
      <c r="F782" s="49"/>
      <c r="G782" s="49"/>
      <c r="H782" s="50"/>
      <c r="I782" s="51"/>
      <c r="W782" s="59"/>
    </row>
    <row r="783" spans="4:23" ht="12.75">
      <c r="D783" s="49"/>
      <c r="E783" s="49"/>
      <c r="F783" s="49"/>
      <c r="G783" s="49"/>
      <c r="H783" s="50"/>
      <c r="I783" s="51"/>
      <c r="W783" s="59"/>
    </row>
    <row r="784" spans="4:23" ht="12.75">
      <c r="D784" s="49"/>
      <c r="E784" s="49"/>
      <c r="F784" s="49"/>
      <c r="G784" s="49"/>
      <c r="H784" s="50"/>
      <c r="I784" s="51"/>
      <c r="W784" s="59"/>
    </row>
    <row r="785" spans="4:23" ht="12.75">
      <c r="D785" s="49"/>
      <c r="E785" s="49"/>
      <c r="F785" s="49"/>
      <c r="G785" s="49"/>
      <c r="H785" s="50"/>
      <c r="I785" s="51"/>
      <c r="W785" s="59"/>
    </row>
    <row r="786" spans="4:23" ht="12.75">
      <c r="D786" s="49"/>
      <c r="E786" s="49"/>
      <c r="F786" s="49"/>
      <c r="G786" s="49"/>
      <c r="H786" s="50"/>
      <c r="I786" s="51"/>
      <c r="W786" s="59"/>
    </row>
    <row r="787" spans="4:23" ht="12.75">
      <c r="D787" s="49"/>
      <c r="E787" s="49"/>
      <c r="F787" s="49"/>
      <c r="G787" s="49"/>
      <c r="H787" s="50"/>
      <c r="I787" s="51"/>
      <c r="W787" s="59"/>
    </row>
    <row r="788" spans="4:23" ht="12.75">
      <c r="D788" s="49"/>
      <c r="E788" s="49"/>
      <c r="F788" s="49"/>
      <c r="G788" s="49"/>
      <c r="H788" s="50"/>
      <c r="I788" s="51"/>
      <c r="W788" s="59"/>
    </row>
    <row r="789" spans="4:23" ht="12.75">
      <c r="D789" s="49"/>
      <c r="E789" s="49"/>
      <c r="F789" s="49"/>
      <c r="G789" s="49"/>
      <c r="H789" s="50"/>
      <c r="I789" s="51"/>
      <c r="W789" s="59"/>
    </row>
    <row r="790" spans="4:23" ht="12.75">
      <c r="D790" s="49"/>
      <c r="E790" s="49"/>
      <c r="F790" s="49"/>
      <c r="G790" s="49"/>
      <c r="H790" s="50"/>
      <c r="I790" s="51"/>
      <c r="W790" s="59"/>
    </row>
    <row r="791" spans="4:23" ht="12.75">
      <c r="D791" s="49"/>
      <c r="E791" s="49"/>
      <c r="F791" s="49"/>
      <c r="G791" s="49"/>
      <c r="H791" s="50"/>
      <c r="I791" s="51"/>
      <c r="W791" s="59"/>
    </row>
    <row r="792" spans="4:23" ht="12.75">
      <c r="D792" s="49"/>
      <c r="E792" s="49"/>
      <c r="F792" s="49"/>
      <c r="G792" s="49"/>
      <c r="H792" s="50"/>
      <c r="I792" s="51"/>
      <c r="W792" s="59"/>
    </row>
    <row r="793" spans="4:23" ht="12.75">
      <c r="D793" s="49"/>
      <c r="E793" s="49"/>
      <c r="F793" s="49"/>
      <c r="G793" s="49"/>
      <c r="H793" s="50"/>
      <c r="I793" s="51"/>
      <c r="W793" s="59"/>
    </row>
    <row r="794" spans="4:23" ht="12.75">
      <c r="D794" s="49"/>
      <c r="E794" s="49"/>
      <c r="F794" s="49"/>
      <c r="G794" s="49"/>
      <c r="H794" s="50"/>
      <c r="I794" s="51"/>
      <c r="W794" s="59"/>
    </row>
    <row r="795" spans="4:23" ht="12.75">
      <c r="D795" s="49"/>
      <c r="E795" s="49"/>
      <c r="F795" s="49"/>
      <c r="G795" s="49"/>
      <c r="H795" s="50"/>
      <c r="I795" s="51"/>
      <c r="W795" s="59"/>
    </row>
    <row r="796" spans="4:23" ht="12.75">
      <c r="D796" s="49"/>
      <c r="E796" s="49"/>
      <c r="F796" s="49"/>
      <c r="G796" s="49"/>
      <c r="H796" s="50"/>
      <c r="I796" s="51"/>
      <c r="W796" s="59"/>
    </row>
    <row r="797" spans="4:23" ht="12.75">
      <c r="D797" s="49"/>
      <c r="E797" s="49"/>
      <c r="F797" s="49"/>
      <c r="G797" s="49"/>
      <c r="H797" s="50"/>
      <c r="I797" s="51"/>
      <c r="W797" s="59"/>
    </row>
    <row r="798" spans="4:23" ht="12.75">
      <c r="D798" s="49"/>
      <c r="E798" s="49"/>
      <c r="F798" s="49"/>
      <c r="G798" s="49"/>
      <c r="H798" s="50"/>
      <c r="I798" s="51"/>
      <c r="W798" s="59"/>
    </row>
    <row r="799" spans="4:23" ht="12.75">
      <c r="D799" s="49"/>
      <c r="E799" s="49"/>
      <c r="F799" s="49"/>
      <c r="G799" s="49"/>
      <c r="H799" s="50"/>
      <c r="I799" s="51"/>
      <c r="W799" s="59"/>
    </row>
    <row r="800" spans="4:23" ht="12.75">
      <c r="D800" s="49"/>
      <c r="E800" s="49"/>
      <c r="F800" s="49"/>
      <c r="G800" s="49"/>
      <c r="H800" s="50"/>
      <c r="I800" s="51"/>
      <c r="W800" s="59"/>
    </row>
    <row r="801" spans="4:23" ht="12.75">
      <c r="D801" s="49"/>
      <c r="E801" s="49"/>
      <c r="F801" s="49"/>
      <c r="G801" s="49"/>
      <c r="H801" s="50"/>
      <c r="I801" s="51"/>
      <c r="W801" s="59"/>
    </row>
    <row r="802" spans="4:23" ht="12.75">
      <c r="D802" s="49"/>
      <c r="E802" s="49"/>
      <c r="F802" s="49"/>
      <c r="G802" s="49"/>
      <c r="H802" s="50"/>
      <c r="I802" s="51"/>
      <c r="W802" s="59"/>
    </row>
    <row r="803" spans="4:23" ht="12.75">
      <c r="D803" s="49"/>
      <c r="E803" s="49"/>
      <c r="F803" s="49"/>
      <c r="G803" s="49"/>
      <c r="H803" s="50"/>
      <c r="I803" s="51"/>
      <c r="W803" s="59"/>
    </row>
    <row r="804" spans="4:23" ht="12.75">
      <c r="D804" s="49"/>
      <c r="E804" s="49"/>
      <c r="F804" s="49"/>
      <c r="G804" s="49"/>
      <c r="H804" s="50"/>
      <c r="I804" s="51"/>
      <c r="W804" s="59"/>
    </row>
    <row r="805" spans="4:23" ht="12.75">
      <c r="D805" s="49"/>
      <c r="E805" s="49"/>
      <c r="F805" s="49"/>
      <c r="G805" s="49"/>
      <c r="H805" s="50"/>
      <c r="I805" s="51"/>
      <c r="W805" s="59"/>
    </row>
    <row r="806" spans="4:23" ht="12.75">
      <c r="D806" s="49"/>
      <c r="E806" s="49"/>
      <c r="F806" s="49"/>
      <c r="G806" s="49"/>
      <c r="H806" s="50"/>
      <c r="I806" s="51"/>
      <c r="W806" s="59"/>
    </row>
    <row r="807" spans="4:23" ht="12.75">
      <c r="D807" s="49"/>
      <c r="E807" s="49"/>
      <c r="F807" s="49"/>
      <c r="G807" s="49"/>
      <c r="H807" s="50"/>
      <c r="I807" s="51"/>
      <c r="W807" s="59"/>
    </row>
    <row r="808" spans="4:23" ht="12.75">
      <c r="D808" s="49"/>
      <c r="E808" s="49"/>
      <c r="F808" s="49"/>
      <c r="G808" s="49"/>
      <c r="H808" s="50"/>
      <c r="I808" s="51"/>
      <c r="W808" s="59"/>
    </row>
    <row r="809" spans="4:23" ht="12.75">
      <c r="D809" s="49"/>
      <c r="E809" s="49"/>
      <c r="F809" s="49"/>
      <c r="G809" s="49"/>
      <c r="H809" s="50"/>
      <c r="I809" s="51"/>
      <c r="W809" s="59"/>
    </row>
    <row r="810" spans="4:23" ht="12.75">
      <c r="D810" s="49"/>
      <c r="E810" s="49"/>
      <c r="F810" s="49"/>
      <c r="G810" s="49"/>
      <c r="H810" s="50"/>
      <c r="I810" s="51"/>
      <c r="W810" s="59"/>
    </row>
    <row r="811" spans="4:23" ht="12.75">
      <c r="D811" s="49"/>
      <c r="E811" s="49"/>
      <c r="F811" s="49"/>
      <c r="G811" s="49"/>
      <c r="H811" s="50"/>
      <c r="I811" s="51"/>
      <c r="W811" s="59"/>
    </row>
    <row r="812" spans="4:23" ht="12.75">
      <c r="D812" s="49"/>
      <c r="E812" s="49"/>
      <c r="F812" s="49"/>
      <c r="G812" s="49"/>
      <c r="H812" s="50"/>
      <c r="I812" s="51"/>
      <c r="W812" s="59"/>
    </row>
    <row r="813" spans="4:23" ht="12.75">
      <c r="D813" s="49"/>
      <c r="E813" s="49"/>
      <c r="F813" s="49"/>
      <c r="G813" s="49"/>
      <c r="H813" s="50"/>
      <c r="I813" s="51"/>
      <c r="W813" s="59"/>
    </row>
    <row r="814" spans="4:23" ht="12.75">
      <c r="D814" s="49"/>
      <c r="E814" s="49"/>
      <c r="F814" s="49"/>
      <c r="G814" s="49"/>
      <c r="H814" s="50"/>
      <c r="I814" s="51"/>
      <c r="W814" s="59"/>
    </row>
    <row r="815" spans="4:23" ht="12.75">
      <c r="D815" s="49"/>
      <c r="E815" s="49"/>
      <c r="F815" s="49"/>
      <c r="G815" s="49"/>
      <c r="H815" s="50"/>
      <c r="I815" s="51"/>
      <c r="W815" s="59"/>
    </row>
    <row r="816" spans="4:23" ht="12.75">
      <c r="D816" s="49"/>
      <c r="E816" s="49"/>
      <c r="F816" s="49"/>
      <c r="G816" s="49"/>
      <c r="H816" s="50"/>
      <c r="I816" s="51"/>
      <c r="W816" s="59"/>
    </row>
    <row r="817" spans="4:23" ht="12.75">
      <c r="D817" s="49"/>
      <c r="E817" s="49"/>
      <c r="F817" s="49"/>
      <c r="G817" s="49"/>
      <c r="H817" s="50"/>
      <c r="I817" s="51"/>
      <c r="W817" s="59"/>
    </row>
    <row r="818" spans="4:23" ht="12.75">
      <c r="D818" s="49"/>
      <c r="E818" s="49"/>
      <c r="F818" s="49"/>
      <c r="G818" s="49"/>
      <c r="H818" s="50"/>
      <c r="I818" s="51"/>
      <c r="W818" s="59"/>
    </row>
    <row r="819" spans="4:23" ht="12.75">
      <c r="D819" s="49"/>
      <c r="E819" s="49"/>
      <c r="F819" s="49"/>
      <c r="G819" s="49"/>
      <c r="H819" s="50"/>
      <c r="I819" s="51"/>
      <c r="W819" s="59"/>
    </row>
    <row r="820" spans="4:23" ht="12.75">
      <c r="D820" s="49"/>
      <c r="E820" s="49"/>
      <c r="F820" s="49"/>
      <c r="G820" s="49"/>
      <c r="H820" s="50"/>
      <c r="I820" s="51"/>
      <c r="W820" s="59"/>
    </row>
    <row r="821" spans="4:23" ht="12.75">
      <c r="D821" s="49"/>
      <c r="E821" s="49"/>
      <c r="F821" s="49"/>
      <c r="G821" s="49"/>
      <c r="H821" s="50"/>
      <c r="I821" s="51"/>
      <c r="W821" s="59"/>
    </row>
    <row r="822" spans="4:23" ht="12.75">
      <c r="D822" s="49"/>
      <c r="E822" s="49"/>
      <c r="F822" s="49"/>
      <c r="G822" s="49"/>
      <c r="H822" s="50"/>
      <c r="I822" s="51"/>
      <c r="W822" s="59"/>
    </row>
    <row r="823" spans="4:23" ht="12.75">
      <c r="D823" s="49"/>
      <c r="E823" s="49"/>
      <c r="F823" s="49"/>
      <c r="G823" s="49"/>
      <c r="H823" s="50"/>
      <c r="I823" s="51"/>
      <c r="W823" s="59"/>
    </row>
    <row r="824" spans="4:23" ht="12.75">
      <c r="D824" s="49"/>
      <c r="E824" s="49"/>
      <c r="F824" s="49"/>
      <c r="G824" s="49"/>
      <c r="H824" s="50"/>
      <c r="I824" s="51"/>
      <c r="W824" s="59"/>
    </row>
    <row r="825" spans="4:23" ht="12.75">
      <c r="D825" s="49"/>
      <c r="E825" s="49"/>
      <c r="F825" s="49"/>
      <c r="G825" s="49"/>
      <c r="H825" s="50"/>
      <c r="I825" s="51"/>
      <c r="W825" s="59"/>
    </row>
    <row r="826" spans="4:23" ht="12.75">
      <c r="D826" s="49"/>
      <c r="E826" s="49"/>
      <c r="F826" s="49"/>
      <c r="G826" s="49"/>
      <c r="H826" s="50"/>
      <c r="I826" s="51"/>
      <c r="W826" s="59"/>
    </row>
    <row r="827" spans="4:23" ht="12.75">
      <c r="D827" s="49"/>
      <c r="E827" s="49"/>
      <c r="F827" s="49"/>
      <c r="G827" s="49"/>
      <c r="H827" s="50"/>
      <c r="I827" s="51"/>
      <c r="W827" s="59"/>
    </row>
    <row r="828" spans="4:23" ht="12.75">
      <c r="D828" s="49"/>
      <c r="E828" s="49"/>
      <c r="F828" s="49"/>
      <c r="G828" s="49"/>
      <c r="H828" s="50"/>
      <c r="I828" s="51"/>
      <c r="W828" s="59"/>
    </row>
    <row r="829" spans="4:23" ht="12.75">
      <c r="D829" s="49"/>
      <c r="E829" s="49"/>
      <c r="F829" s="49"/>
      <c r="G829" s="49"/>
      <c r="H829" s="50"/>
      <c r="I829" s="51"/>
      <c r="W829" s="59"/>
    </row>
    <row r="830" spans="4:23" ht="12.75">
      <c r="D830" s="49"/>
      <c r="E830" s="49"/>
      <c r="F830" s="49"/>
      <c r="G830" s="49"/>
      <c r="H830" s="50"/>
      <c r="I830" s="51"/>
      <c r="W830" s="59"/>
    </row>
    <row r="831" spans="4:23" ht="12.75">
      <c r="D831" s="49"/>
      <c r="E831" s="49"/>
      <c r="F831" s="49"/>
      <c r="G831" s="49"/>
      <c r="H831" s="50"/>
      <c r="I831" s="51"/>
      <c r="W831" s="59"/>
    </row>
    <row r="832" spans="4:23" ht="12.75">
      <c r="D832" s="49"/>
      <c r="E832" s="49"/>
      <c r="F832" s="49"/>
      <c r="G832" s="49"/>
      <c r="H832" s="50"/>
      <c r="I832" s="51"/>
      <c r="W832" s="59"/>
    </row>
    <row r="833" spans="4:23" ht="12.75">
      <c r="D833" s="49"/>
      <c r="E833" s="49"/>
      <c r="F833" s="49"/>
      <c r="G833" s="49"/>
      <c r="H833" s="50"/>
      <c r="I833" s="51"/>
      <c r="W833" s="59"/>
    </row>
    <row r="834" spans="4:23" ht="12.75">
      <c r="D834" s="49"/>
      <c r="E834" s="49"/>
      <c r="F834" s="49"/>
      <c r="G834" s="49"/>
      <c r="H834" s="50"/>
      <c r="I834" s="51"/>
      <c r="W834" s="59"/>
    </row>
    <row r="835" spans="4:23" ht="12.75">
      <c r="D835" s="49"/>
      <c r="E835" s="49"/>
      <c r="F835" s="49"/>
      <c r="G835" s="49"/>
      <c r="H835" s="50"/>
      <c r="I835" s="51"/>
      <c r="W835" s="59"/>
    </row>
    <row r="836" spans="4:23" ht="12.75">
      <c r="D836" s="49"/>
      <c r="E836" s="49"/>
      <c r="F836" s="49"/>
      <c r="G836" s="49"/>
      <c r="H836" s="50"/>
      <c r="I836" s="51"/>
      <c r="W836" s="59"/>
    </row>
    <row r="837" spans="4:23" ht="12.75">
      <c r="D837" s="49"/>
      <c r="E837" s="49"/>
      <c r="F837" s="49"/>
      <c r="G837" s="49"/>
      <c r="H837" s="50"/>
      <c r="I837" s="51"/>
      <c r="W837" s="59"/>
    </row>
    <row r="838" spans="4:23" ht="12.75">
      <c r="D838" s="49"/>
      <c r="E838" s="49"/>
      <c r="F838" s="49"/>
      <c r="G838" s="49"/>
      <c r="H838" s="50"/>
      <c r="I838" s="51"/>
      <c r="W838" s="59"/>
    </row>
    <row r="839" spans="4:23" ht="12.75">
      <c r="D839" s="49"/>
      <c r="E839" s="49"/>
      <c r="F839" s="49"/>
      <c r="G839" s="49"/>
      <c r="H839" s="50"/>
      <c r="I839" s="51"/>
      <c r="W839" s="59"/>
    </row>
    <row r="840" spans="4:23" ht="12.75">
      <c r="D840" s="49"/>
      <c r="E840" s="49"/>
      <c r="F840" s="49"/>
      <c r="G840" s="49"/>
      <c r="H840" s="50"/>
      <c r="I840" s="51"/>
      <c r="W840" s="59"/>
    </row>
    <row r="841" spans="4:23" ht="12.75">
      <c r="D841" s="49"/>
      <c r="E841" s="49"/>
      <c r="F841" s="49"/>
      <c r="G841" s="49"/>
      <c r="H841" s="50"/>
      <c r="I841" s="51"/>
      <c r="W841" s="59"/>
    </row>
    <row r="842" spans="4:23" ht="12.75">
      <c r="D842" s="49"/>
      <c r="E842" s="49"/>
      <c r="F842" s="49"/>
      <c r="G842" s="49"/>
      <c r="H842" s="50"/>
      <c r="I842" s="51"/>
      <c r="W842" s="59"/>
    </row>
    <row r="843" spans="4:23" ht="12.75">
      <c r="D843" s="49"/>
      <c r="E843" s="49"/>
      <c r="F843" s="49"/>
      <c r="G843" s="49"/>
      <c r="H843" s="50"/>
      <c r="I843" s="51"/>
      <c r="W843" s="59"/>
    </row>
    <row r="844" spans="4:23" ht="12.75">
      <c r="D844" s="49"/>
      <c r="E844" s="49"/>
      <c r="F844" s="49"/>
      <c r="G844" s="49"/>
      <c r="H844" s="50"/>
      <c r="I844" s="51"/>
      <c r="W844" s="59"/>
    </row>
    <row r="845" spans="4:23" ht="12.75">
      <c r="D845" s="49"/>
      <c r="E845" s="49"/>
      <c r="F845" s="49"/>
      <c r="G845" s="49"/>
      <c r="H845" s="50"/>
      <c r="I845" s="51"/>
      <c r="W845" s="59"/>
    </row>
    <row r="846" spans="4:23" ht="12.75">
      <c r="D846" s="49"/>
      <c r="E846" s="49"/>
      <c r="F846" s="49"/>
      <c r="G846" s="49"/>
      <c r="H846" s="50"/>
      <c r="I846" s="51"/>
      <c r="W846" s="59"/>
    </row>
    <row r="847" spans="4:23" ht="12.75">
      <c r="D847" s="49"/>
      <c r="E847" s="49"/>
      <c r="F847" s="49"/>
      <c r="G847" s="49"/>
      <c r="H847" s="50"/>
      <c r="I847" s="51"/>
      <c r="W847" s="59"/>
    </row>
    <row r="848" spans="4:23" ht="12.75">
      <c r="D848" s="49"/>
      <c r="E848" s="49"/>
      <c r="F848" s="49"/>
      <c r="G848" s="49"/>
      <c r="H848" s="50"/>
      <c r="I848" s="51"/>
      <c r="W848" s="59"/>
    </row>
    <row r="849" spans="4:23" ht="12.75">
      <c r="D849" s="49"/>
      <c r="E849" s="49"/>
      <c r="F849" s="49"/>
      <c r="G849" s="49"/>
      <c r="H849" s="50"/>
      <c r="I849" s="51"/>
      <c r="W849" s="59"/>
    </row>
    <row r="850" spans="4:23" ht="12.75">
      <c r="D850" s="49"/>
      <c r="E850" s="49"/>
      <c r="F850" s="49"/>
      <c r="G850" s="49"/>
      <c r="H850" s="50"/>
      <c r="I850" s="51"/>
      <c r="W850" s="59"/>
    </row>
    <row r="851" spans="4:23" ht="12.75">
      <c r="D851" s="49"/>
      <c r="E851" s="49"/>
      <c r="F851" s="49"/>
      <c r="G851" s="49"/>
      <c r="H851" s="50"/>
      <c r="I851" s="51"/>
      <c r="W851" s="59"/>
    </row>
    <row r="852" spans="4:23" ht="12.75">
      <c r="D852" s="49"/>
      <c r="E852" s="49"/>
      <c r="F852" s="49"/>
      <c r="G852" s="49"/>
      <c r="H852" s="50"/>
      <c r="I852" s="51"/>
      <c r="W852" s="59"/>
    </row>
    <row r="853" spans="4:23" ht="12.75">
      <c r="D853" s="49"/>
      <c r="E853" s="49"/>
      <c r="F853" s="49"/>
      <c r="G853" s="49"/>
      <c r="H853" s="50"/>
      <c r="I853" s="51"/>
      <c r="W853" s="59"/>
    </row>
    <row r="854" spans="4:23" ht="12.75">
      <c r="D854" s="49"/>
      <c r="E854" s="49"/>
      <c r="F854" s="49"/>
      <c r="G854" s="49"/>
      <c r="H854" s="50"/>
      <c r="I854" s="51"/>
      <c r="W854" s="59"/>
    </row>
    <row r="855" spans="4:23" ht="12.75">
      <c r="D855" s="49"/>
      <c r="E855" s="49"/>
      <c r="F855" s="49"/>
      <c r="G855" s="49"/>
      <c r="H855" s="50"/>
      <c r="I855" s="51"/>
      <c r="W855" s="59"/>
    </row>
    <row r="856" spans="4:23" ht="12.75">
      <c r="D856" s="49"/>
      <c r="E856" s="49"/>
      <c r="F856" s="49"/>
      <c r="G856" s="49"/>
      <c r="H856" s="50"/>
      <c r="I856" s="51"/>
      <c r="W856" s="59"/>
    </row>
    <row r="857" spans="4:23" ht="12.75">
      <c r="D857" s="49"/>
      <c r="E857" s="49"/>
      <c r="F857" s="49"/>
      <c r="G857" s="49"/>
      <c r="H857" s="50"/>
      <c r="I857" s="51"/>
      <c r="W857" s="59"/>
    </row>
    <row r="858" spans="4:23" ht="12.75">
      <c r="D858" s="49"/>
      <c r="E858" s="49"/>
      <c r="F858" s="49"/>
      <c r="G858" s="49"/>
      <c r="H858" s="50"/>
      <c r="I858" s="51"/>
      <c r="W858" s="59"/>
    </row>
    <row r="859" spans="4:23" ht="12.75">
      <c r="D859" s="49"/>
      <c r="E859" s="49"/>
      <c r="F859" s="49"/>
      <c r="G859" s="49"/>
      <c r="H859" s="50"/>
      <c r="I859" s="51"/>
      <c r="W859" s="59"/>
    </row>
    <row r="860" spans="4:23" ht="12.75">
      <c r="D860" s="49"/>
      <c r="E860" s="49"/>
      <c r="F860" s="49"/>
      <c r="G860" s="49"/>
      <c r="H860" s="50"/>
      <c r="I860" s="51"/>
      <c r="W860" s="59"/>
    </row>
    <row r="861" spans="4:23" ht="12.75">
      <c r="D861" s="49"/>
      <c r="E861" s="49"/>
      <c r="F861" s="49"/>
      <c r="G861" s="49"/>
      <c r="H861" s="50"/>
      <c r="I861" s="51"/>
      <c r="W861" s="59"/>
    </row>
    <row r="862" spans="4:23" ht="12.75">
      <c r="D862" s="49"/>
      <c r="E862" s="49"/>
      <c r="F862" s="49"/>
      <c r="G862" s="49"/>
      <c r="H862" s="50"/>
      <c r="I862" s="51"/>
      <c r="W862" s="59"/>
    </row>
    <row r="863" spans="4:23" ht="12.75">
      <c r="D863" s="49"/>
      <c r="E863" s="49"/>
      <c r="F863" s="49"/>
      <c r="G863" s="49"/>
      <c r="H863" s="50"/>
      <c r="I863" s="51"/>
      <c r="W863" s="59"/>
    </row>
    <row r="864" spans="4:23" ht="12.75">
      <c r="D864" s="49"/>
      <c r="E864" s="49"/>
      <c r="F864" s="49"/>
      <c r="G864" s="49"/>
      <c r="H864" s="50"/>
      <c r="I864" s="51"/>
      <c r="W864" s="59"/>
    </row>
    <row r="865" spans="4:23" ht="12.75">
      <c r="D865" s="49"/>
      <c r="E865" s="49"/>
      <c r="F865" s="49"/>
      <c r="G865" s="49"/>
      <c r="H865" s="50"/>
      <c r="I865" s="51"/>
      <c r="W865" s="59"/>
    </row>
    <row r="866" spans="4:23" ht="12.75">
      <c r="D866" s="49"/>
      <c r="E866" s="49"/>
      <c r="F866" s="49"/>
      <c r="G866" s="49"/>
      <c r="H866" s="50"/>
      <c r="I866" s="51"/>
      <c r="W866" s="59"/>
    </row>
    <row r="867" spans="4:23" ht="12.75">
      <c r="D867" s="49"/>
      <c r="E867" s="49"/>
      <c r="F867" s="49"/>
      <c r="G867" s="49"/>
      <c r="H867" s="50"/>
      <c r="I867" s="51"/>
      <c r="W867" s="59"/>
    </row>
    <row r="868" spans="4:23" ht="12.75">
      <c r="D868" s="49"/>
      <c r="E868" s="49"/>
      <c r="F868" s="49"/>
      <c r="G868" s="49"/>
      <c r="H868" s="50"/>
      <c r="I868" s="51"/>
      <c r="W868" s="59"/>
    </row>
    <row r="869" spans="4:23" ht="12.75">
      <c r="D869" s="49"/>
      <c r="E869" s="49"/>
      <c r="F869" s="49"/>
      <c r="G869" s="49"/>
      <c r="H869" s="50"/>
      <c r="I869" s="51"/>
      <c r="W869" s="59"/>
    </row>
    <row r="870" spans="4:23" ht="12.75">
      <c r="D870" s="49"/>
      <c r="E870" s="49"/>
      <c r="F870" s="49"/>
      <c r="G870" s="49"/>
      <c r="H870" s="50"/>
      <c r="I870" s="51"/>
      <c r="W870" s="59"/>
    </row>
    <row r="871" spans="4:23" ht="12.75">
      <c r="D871" s="49"/>
      <c r="E871" s="49"/>
      <c r="F871" s="49"/>
      <c r="G871" s="49"/>
      <c r="H871" s="50"/>
      <c r="I871" s="51"/>
      <c r="W871" s="59"/>
    </row>
    <row r="872" spans="4:23" ht="12.75">
      <c r="D872" s="49"/>
      <c r="E872" s="49"/>
      <c r="F872" s="49"/>
      <c r="G872" s="49"/>
      <c r="H872" s="50"/>
      <c r="I872" s="51"/>
      <c r="W872" s="59"/>
    </row>
    <row r="873" spans="4:23" ht="12.75">
      <c r="D873" s="49"/>
      <c r="E873" s="49"/>
      <c r="F873" s="49"/>
      <c r="G873" s="49"/>
      <c r="H873" s="50"/>
      <c r="I873" s="51"/>
      <c r="W873" s="59"/>
    </row>
    <row r="874" spans="4:23" ht="12.75">
      <c r="D874" s="49"/>
      <c r="E874" s="49"/>
      <c r="F874" s="49"/>
      <c r="G874" s="49"/>
      <c r="H874" s="50"/>
      <c r="I874" s="51"/>
      <c r="W874" s="59"/>
    </row>
    <row r="875" spans="4:23" ht="12.75">
      <c r="D875" s="49"/>
      <c r="E875" s="49"/>
      <c r="F875" s="49"/>
      <c r="G875" s="49"/>
      <c r="H875" s="50"/>
      <c r="I875" s="51"/>
      <c r="W875" s="59"/>
    </row>
    <row r="876" spans="4:23" ht="12.75">
      <c r="D876" s="49"/>
      <c r="E876" s="49"/>
      <c r="F876" s="49"/>
      <c r="G876" s="49"/>
      <c r="H876" s="50"/>
      <c r="I876" s="51"/>
      <c r="W876" s="59"/>
    </row>
    <row r="877" spans="4:23" ht="12.75">
      <c r="D877" s="49"/>
      <c r="E877" s="49"/>
      <c r="F877" s="49"/>
      <c r="G877" s="49"/>
      <c r="H877" s="50"/>
      <c r="I877" s="51"/>
      <c r="W877" s="59"/>
    </row>
    <row r="878" spans="4:23" ht="12.75">
      <c r="D878" s="49"/>
      <c r="E878" s="49"/>
      <c r="F878" s="49"/>
      <c r="G878" s="49"/>
      <c r="H878" s="50"/>
      <c r="I878" s="51"/>
      <c r="W878" s="59"/>
    </row>
    <row r="879" spans="4:23" ht="12.75">
      <c r="D879" s="49"/>
      <c r="E879" s="49"/>
      <c r="F879" s="49"/>
      <c r="G879" s="49"/>
      <c r="H879" s="50"/>
      <c r="I879" s="51"/>
      <c r="W879" s="59"/>
    </row>
    <row r="880" spans="4:23" ht="12.75">
      <c r="D880" s="49"/>
      <c r="E880" s="49"/>
      <c r="F880" s="49"/>
      <c r="G880" s="49"/>
      <c r="H880" s="50"/>
      <c r="I880" s="51"/>
      <c r="W880" s="59"/>
    </row>
    <row r="881" spans="4:23" ht="12.75">
      <c r="D881" s="49"/>
      <c r="E881" s="49"/>
      <c r="F881" s="49"/>
      <c r="G881" s="49"/>
      <c r="H881" s="50"/>
      <c r="I881" s="51"/>
      <c r="W881" s="59"/>
    </row>
    <row r="882" spans="4:23" ht="12.75">
      <c r="D882" s="49"/>
      <c r="E882" s="49"/>
      <c r="F882" s="49"/>
      <c r="G882" s="49"/>
      <c r="H882" s="50"/>
      <c r="I882" s="51"/>
      <c r="W882" s="59"/>
    </row>
    <row r="883" spans="4:23" ht="12.75">
      <c r="D883" s="49"/>
      <c r="E883" s="49"/>
      <c r="F883" s="49"/>
      <c r="G883" s="49"/>
      <c r="H883" s="50"/>
      <c r="I883" s="51"/>
      <c r="W883" s="59"/>
    </row>
    <row r="884" spans="4:23" ht="12.75">
      <c r="D884" s="49"/>
      <c r="E884" s="49"/>
      <c r="F884" s="49"/>
      <c r="G884" s="49"/>
      <c r="H884" s="50"/>
      <c r="I884" s="51"/>
      <c r="W884" s="59"/>
    </row>
    <row r="885" spans="4:23" ht="12.75">
      <c r="D885" s="49"/>
      <c r="E885" s="49"/>
      <c r="F885" s="49"/>
      <c r="G885" s="49"/>
      <c r="H885" s="50"/>
      <c r="I885" s="51"/>
      <c r="W885" s="59"/>
    </row>
    <row r="886" spans="4:23" ht="12.75">
      <c r="D886" s="49"/>
      <c r="E886" s="49"/>
      <c r="F886" s="49"/>
      <c r="G886" s="49"/>
      <c r="H886" s="50"/>
      <c r="I886" s="51"/>
      <c r="W886" s="59"/>
    </row>
    <row r="887" spans="4:23" ht="12.75">
      <c r="D887" s="49"/>
      <c r="E887" s="49"/>
      <c r="F887" s="49"/>
      <c r="G887" s="49"/>
      <c r="H887" s="50"/>
      <c r="I887" s="51"/>
      <c r="W887" s="59"/>
    </row>
    <row r="888" spans="4:23" ht="12.75">
      <c r="D888" s="49"/>
      <c r="E888" s="49"/>
      <c r="F888" s="49"/>
      <c r="G888" s="49"/>
      <c r="H888" s="50"/>
      <c r="I888" s="51"/>
      <c r="W888" s="59"/>
    </row>
    <row r="889" spans="4:23" ht="12.75">
      <c r="D889" s="49"/>
      <c r="E889" s="49"/>
      <c r="F889" s="49"/>
      <c r="G889" s="49"/>
      <c r="H889" s="50"/>
      <c r="I889" s="51"/>
      <c r="W889" s="59"/>
    </row>
    <row r="890" spans="4:23" ht="12.75">
      <c r="D890" s="49"/>
      <c r="E890" s="49"/>
      <c r="F890" s="49"/>
      <c r="G890" s="49"/>
      <c r="H890" s="50"/>
      <c r="I890" s="51"/>
      <c r="W890" s="59"/>
    </row>
    <row r="891" spans="4:23" ht="12.75">
      <c r="D891" s="49"/>
      <c r="E891" s="49"/>
      <c r="F891" s="49"/>
      <c r="G891" s="49"/>
      <c r="H891" s="50"/>
      <c r="I891" s="51"/>
      <c r="W891" s="59"/>
    </row>
    <row r="892" spans="4:23" ht="12.75">
      <c r="D892" s="49"/>
      <c r="E892" s="49"/>
      <c r="F892" s="49"/>
      <c r="G892" s="49"/>
      <c r="H892" s="50"/>
      <c r="I892" s="51"/>
      <c r="W892" s="59"/>
    </row>
    <row r="893" spans="4:23" ht="12.75">
      <c r="D893" s="49"/>
      <c r="E893" s="49"/>
      <c r="F893" s="49"/>
      <c r="G893" s="49"/>
      <c r="H893" s="50"/>
      <c r="I893" s="51"/>
      <c r="W893" s="59"/>
    </row>
    <row r="894" spans="4:23" ht="12.75">
      <c r="D894" s="49"/>
      <c r="E894" s="49"/>
      <c r="F894" s="49"/>
      <c r="G894" s="49"/>
      <c r="H894" s="50"/>
      <c r="I894" s="51"/>
      <c r="W894" s="59"/>
    </row>
    <row r="895" spans="4:23" ht="12.75">
      <c r="D895" s="49"/>
      <c r="E895" s="49"/>
      <c r="F895" s="49"/>
      <c r="G895" s="49"/>
      <c r="H895" s="50"/>
      <c r="I895" s="51"/>
      <c r="W895" s="59"/>
    </row>
    <row r="896" spans="4:23" ht="12.75">
      <c r="D896" s="49"/>
      <c r="E896" s="49"/>
      <c r="F896" s="49"/>
      <c r="G896" s="49"/>
      <c r="H896" s="50"/>
      <c r="I896" s="51"/>
      <c r="W896" s="59"/>
    </row>
    <row r="897" spans="4:23" ht="12.75">
      <c r="D897" s="49"/>
      <c r="E897" s="49"/>
      <c r="F897" s="49"/>
      <c r="G897" s="49"/>
      <c r="H897" s="50"/>
      <c r="I897" s="51"/>
      <c r="W897" s="59"/>
    </row>
    <row r="898" spans="4:23" ht="12.75">
      <c r="D898" s="49"/>
      <c r="E898" s="49"/>
      <c r="F898" s="49"/>
      <c r="G898" s="49"/>
      <c r="H898" s="50"/>
      <c r="I898" s="51"/>
      <c r="W898" s="59"/>
    </row>
    <row r="899" spans="4:23" ht="12.75">
      <c r="D899" s="49"/>
      <c r="E899" s="49"/>
      <c r="F899" s="49"/>
      <c r="G899" s="49"/>
      <c r="H899" s="50"/>
      <c r="I899" s="51"/>
      <c r="W899" s="59"/>
    </row>
    <row r="900" spans="4:23" ht="12.75">
      <c r="D900" s="49"/>
      <c r="E900" s="49"/>
      <c r="F900" s="49"/>
      <c r="G900" s="49"/>
      <c r="H900" s="50"/>
      <c r="I900" s="51"/>
      <c r="W900" s="59"/>
    </row>
    <row r="901" spans="4:23" ht="12.75">
      <c r="D901" s="49"/>
      <c r="E901" s="49"/>
      <c r="F901" s="49"/>
      <c r="G901" s="49"/>
      <c r="H901" s="50"/>
      <c r="I901" s="51"/>
      <c r="W901" s="59"/>
    </row>
    <row r="902" spans="4:23" ht="12.75">
      <c r="D902" s="49"/>
      <c r="E902" s="49"/>
      <c r="F902" s="49"/>
      <c r="G902" s="49"/>
      <c r="H902" s="50"/>
      <c r="I902" s="51"/>
      <c r="W902" s="59"/>
    </row>
    <row r="903" spans="4:23" ht="12.75">
      <c r="D903" s="49"/>
      <c r="E903" s="49"/>
      <c r="F903" s="49"/>
      <c r="G903" s="49"/>
      <c r="H903" s="50"/>
      <c r="I903" s="51"/>
      <c r="W903" s="59"/>
    </row>
    <row r="904" spans="4:23" ht="12.75">
      <c r="D904" s="49"/>
      <c r="E904" s="49"/>
      <c r="F904" s="49"/>
      <c r="G904" s="49"/>
      <c r="H904" s="50"/>
      <c r="I904" s="51"/>
      <c r="W904" s="59"/>
    </row>
    <row r="905" spans="4:23" ht="12.75">
      <c r="D905" s="49"/>
      <c r="E905" s="49"/>
      <c r="F905" s="49"/>
      <c r="G905" s="49"/>
      <c r="H905" s="50"/>
      <c r="I905" s="51"/>
      <c r="W905" s="59"/>
    </row>
    <row r="906" spans="4:23" ht="12.75">
      <c r="D906" s="49"/>
      <c r="E906" s="49"/>
      <c r="F906" s="49"/>
      <c r="G906" s="49"/>
      <c r="H906" s="50"/>
      <c r="I906" s="51"/>
      <c r="W906" s="59"/>
    </row>
    <row r="907" spans="4:23" ht="12.75">
      <c r="D907" s="49"/>
      <c r="E907" s="49"/>
      <c r="F907" s="49"/>
      <c r="G907" s="49"/>
      <c r="H907" s="50"/>
      <c r="I907" s="51"/>
      <c r="W907" s="59"/>
    </row>
    <row r="908" spans="4:23" ht="12.75">
      <c r="D908" s="49"/>
      <c r="E908" s="49"/>
      <c r="F908" s="49"/>
      <c r="G908" s="49"/>
      <c r="H908" s="50"/>
      <c r="I908" s="51"/>
      <c r="W908" s="59"/>
    </row>
    <row r="909" spans="4:23" ht="12.75">
      <c r="D909" s="49"/>
      <c r="E909" s="49"/>
      <c r="F909" s="49"/>
      <c r="G909" s="49"/>
      <c r="H909" s="50"/>
      <c r="I909" s="51"/>
      <c r="W909" s="59"/>
    </row>
    <row r="910" spans="4:23" ht="12.75">
      <c r="D910" s="49"/>
      <c r="E910" s="49"/>
      <c r="F910" s="49"/>
      <c r="G910" s="49"/>
      <c r="H910" s="50"/>
      <c r="I910" s="51"/>
      <c r="W910" s="59"/>
    </row>
    <row r="911" spans="4:23" ht="12.75">
      <c r="D911" s="49"/>
      <c r="E911" s="49"/>
      <c r="F911" s="49"/>
      <c r="G911" s="49"/>
      <c r="H911" s="50"/>
      <c r="I911" s="51"/>
      <c r="W911" s="59"/>
    </row>
    <row r="912" spans="4:23" ht="12.75">
      <c r="D912" s="49"/>
      <c r="E912" s="49"/>
      <c r="F912" s="49"/>
      <c r="G912" s="49"/>
      <c r="H912" s="50"/>
      <c r="I912" s="51"/>
      <c r="W912" s="59"/>
    </row>
    <row r="913" spans="4:23" ht="12.75">
      <c r="D913" s="49"/>
      <c r="E913" s="49"/>
      <c r="F913" s="49"/>
      <c r="G913" s="49"/>
      <c r="H913" s="50"/>
      <c r="I913" s="51"/>
      <c r="W913" s="59"/>
    </row>
    <row r="914" spans="4:23" ht="12.75">
      <c r="D914" s="49"/>
      <c r="E914" s="49"/>
      <c r="F914" s="49"/>
      <c r="G914" s="49"/>
      <c r="H914" s="50"/>
      <c r="I914" s="51"/>
      <c r="W914" s="59"/>
    </row>
    <row r="915" spans="4:23" ht="12.75">
      <c r="D915" s="49"/>
      <c r="E915" s="49"/>
      <c r="F915" s="49"/>
      <c r="G915" s="49"/>
      <c r="H915" s="50"/>
      <c r="I915" s="51"/>
      <c r="W915" s="59"/>
    </row>
    <row r="916" spans="4:23" ht="12.75">
      <c r="D916" s="49"/>
      <c r="E916" s="49"/>
      <c r="F916" s="49"/>
      <c r="G916" s="49"/>
      <c r="H916" s="50"/>
      <c r="I916" s="51"/>
      <c r="W916" s="59"/>
    </row>
    <row r="917" spans="4:23" ht="12.75">
      <c r="D917" s="49"/>
      <c r="E917" s="49"/>
      <c r="F917" s="49"/>
      <c r="G917" s="49"/>
      <c r="H917" s="50"/>
      <c r="I917" s="51"/>
      <c r="W917" s="59"/>
    </row>
    <row r="918" spans="4:23" ht="12.75">
      <c r="D918" s="49"/>
      <c r="E918" s="49"/>
      <c r="F918" s="49"/>
      <c r="G918" s="49"/>
      <c r="H918" s="50"/>
      <c r="I918" s="51"/>
      <c r="W918" s="59"/>
    </row>
    <row r="919" spans="4:23" ht="12.75">
      <c r="D919" s="49"/>
      <c r="E919" s="49"/>
      <c r="F919" s="49"/>
      <c r="G919" s="49"/>
      <c r="H919" s="50"/>
      <c r="I919" s="51"/>
      <c r="W919" s="59"/>
    </row>
    <row r="920" spans="4:23" ht="12.75">
      <c r="D920" s="49"/>
      <c r="E920" s="49"/>
      <c r="F920" s="49"/>
      <c r="G920" s="49"/>
      <c r="H920" s="50"/>
      <c r="I920" s="51"/>
      <c r="W920" s="59"/>
    </row>
    <row r="921" spans="4:23" ht="12.75">
      <c r="D921" s="49"/>
      <c r="E921" s="49"/>
      <c r="F921" s="49"/>
      <c r="G921" s="49"/>
      <c r="H921" s="50"/>
      <c r="I921" s="51"/>
      <c r="W921" s="59"/>
    </row>
    <row r="922" spans="4:23" ht="12.75">
      <c r="D922" s="49"/>
      <c r="E922" s="49"/>
      <c r="F922" s="49"/>
      <c r="G922" s="49"/>
      <c r="H922" s="50"/>
      <c r="I922" s="51"/>
      <c r="W922" s="59"/>
    </row>
    <row r="923" spans="4:23" ht="12.75">
      <c r="D923" s="49"/>
      <c r="E923" s="49"/>
      <c r="F923" s="49"/>
      <c r="G923" s="49"/>
      <c r="H923" s="50"/>
      <c r="I923" s="51"/>
      <c r="W923" s="59"/>
    </row>
    <row r="924" spans="4:23" ht="12.75">
      <c r="D924" s="49"/>
      <c r="E924" s="49"/>
      <c r="F924" s="49"/>
      <c r="G924" s="49"/>
      <c r="H924" s="50"/>
      <c r="I924" s="51"/>
      <c r="W924" s="59"/>
    </row>
    <row r="925" spans="4:23" ht="12.75">
      <c r="D925" s="49"/>
      <c r="E925" s="49"/>
      <c r="F925" s="49"/>
      <c r="G925" s="49"/>
      <c r="H925" s="50"/>
      <c r="I925" s="51"/>
      <c r="W925" s="59"/>
    </row>
    <row r="926" spans="4:23" ht="12.75">
      <c r="D926" s="49"/>
      <c r="E926" s="49"/>
      <c r="F926" s="49"/>
      <c r="G926" s="49"/>
      <c r="H926" s="50"/>
      <c r="I926" s="51"/>
      <c r="W926" s="59"/>
    </row>
    <row r="927" spans="4:23" ht="12.75">
      <c r="D927" s="49"/>
      <c r="E927" s="49"/>
      <c r="F927" s="49"/>
      <c r="G927" s="49"/>
      <c r="H927" s="50"/>
      <c r="I927" s="51"/>
      <c r="W927" s="59"/>
    </row>
    <row r="928" spans="4:23" ht="12.75">
      <c r="D928" s="49"/>
      <c r="E928" s="49"/>
      <c r="F928" s="49"/>
      <c r="G928" s="49"/>
      <c r="H928" s="50"/>
      <c r="I928" s="51"/>
      <c r="W928" s="59"/>
    </row>
    <row r="929" spans="4:23" ht="12.75">
      <c r="D929" s="49"/>
      <c r="E929" s="49"/>
      <c r="F929" s="49"/>
      <c r="G929" s="49"/>
      <c r="H929" s="50"/>
      <c r="I929" s="51"/>
      <c r="W929" s="59"/>
    </row>
    <row r="930" spans="4:23" ht="12.75">
      <c r="D930" s="49"/>
      <c r="E930" s="49"/>
      <c r="F930" s="49"/>
      <c r="G930" s="49"/>
      <c r="H930" s="50"/>
      <c r="I930" s="51"/>
      <c r="W930" s="59"/>
    </row>
    <row r="931" spans="4:23" ht="12.75">
      <c r="D931" s="49"/>
      <c r="E931" s="49"/>
      <c r="F931" s="49"/>
      <c r="G931" s="49"/>
      <c r="H931" s="50"/>
      <c r="I931" s="51"/>
      <c r="W931" s="59"/>
    </row>
    <row r="932" spans="4:23" ht="12.75">
      <c r="D932" s="49"/>
      <c r="E932" s="49"/>
      <c r="F932" s="49"/>
      <c r="G932" s="49"/>
      <c r="H932" s="50"/>
      <c r="I932" s="51"/>
      <c r="W932" s="59"/>
    </row>
    <row r="933" spans="4:23" ht="12.75">
      <c r="D933" s="49"/>
      <c r="E933" s="49"/>
      <c r="F933" s="49"/>
      <c r="G933" s="49"/>
      <c r="H933" s="50"/>
      <c r="I933" s="51"/>
      <c r="W933" s="59"/>
    </row>
    <row r="934" spans="4:23" ht="12.75">
      <c r="D934" s="49"/>
      <c r="E934" s="49"/>
      <c r="F934" s="49"/>
      <c r="G934" s="49"/>
      <c r="H934" s="50"/>
      <c r="I934" s="51"/>
      <c r="W934" s="59"/>
    </row>
    <row r="935" spans="4:23" ht="12.75">
      <c r="D935" s="49"/>
      <c r="E935" s="49"/>
      <c r="F935" s="49"/>
      <c r="G935" s="49"/>
      <c r="H935" s="50"/>
      <c r="I935" s="51"/>
      <c r="W935" s="59"/>
    </row>
    <row r="936" spans="4:23" ht="12.75">
      <c r="D936" s="49"/>
      <c r="E936" s="49"/>
      <c r="F936" s="49"/>
      <c r="G936" s="49"/>
      <c r="H936" s="50"/>
      <c r="I936" s="51"/>
      <c r="W936" s="59"/>
    </row>
    <row r="937" spans="4:23" ht="12.75">
      <c r="D937" s="49"/>
      <c r="E937" s="49"/>
      <c r="F937" s="49"/>
      <c r="G937" s="49"/>
      <c r="H937" s="50"/>
      <c r="I937" s="51"/>
      <c r="W937" s="59"/>
    </row>
    <row r="938" spans="4:23" ht="12.75">
      <c r="D938" s="49"/>
      <c r="E938" s="49"/>
      <c r="F938" s="49"/>
      <c r="G938" s="49"/>
      <c r="H938" s="50"/>
      <c r="I938" s="51"/>
      <c r="W938" s="59"/>
    </row>
    <row r="939" spans="4:23" ht="12.75">
      <c r="D939" s="49"/>
      <c r="E939" s="49"/>
      <c r="F939" s="49"/>
      <c r="G939" s="49"/>
      <c r="H939" s="50"/>
      <c r="I939" s="51"/>
      <c r="W939" s="59"/>
    </row>
    <row r="940" spans="4:23" ht="12.75">
      <c r="D940" s="49"/>
      <c r="E940" s="49"/>
      <c r="F940" s="49"/>
      <c r="G940" s="49"/>
      <c r="H940" s="50"/>
      <c r="I940" s="51"/>
      <c r="W940" s="59"/>
    </row>
    <row r="941" spans="4:23" ht="12.75">
      <c r="D941" s="49"/>
      <c r="E941" s="49"/>
      <c r="F941" s="49"/>
      <c r="G941" s="49"/>
      <c r="H941" s="50"/>
      <c r="I941" s="51"/>
      <c r="W941" s="59"/>
    </row>
    <row r="942" spans="4:23" ht="12.75">
      <c r="D942" s="49"/>
      <c r="E942" s="49"/>
      <c r="F942" s="49"/>
      <c r="G942" s="49"/>
      <c r="H942" s="50"/>
      <c r="I942" s="51"/>
      <c r="W942" s="59"/>
    </row>
    <row r="943" spans="4:23" ht="12.75">
      <c r="D943" s="49"/>
      <c r="E943" s="49"/>
      <c r="F943" s="49"/>
      <c r="G943" s="49"/>
      <c r="H943" s="50"/>
      <c r="I943" s="51"/>
      <c r="W943" s="59"/>
    </row>
    <row r="944" spans="4:23" ht="12.75">
      <c r="D944" s="49"/>
      <c r="E944" s="49"/>
      <c r="F944" s="49"/>
      <c r="G944" s="49"/>
      <c r="H944" s="50"/>
      <c r="I944" s="51"/>
      <c r="W944" s="59"/>
    </row>
    <row r="945" spans="4:23" ht="12.75">
      <c r="D945" s="49"/>
      <c r="E945" s="49"/>
      <c r="F945" s="49"/>
      <c r="G945" s="49"/>
      <c r="H945" s="50"/>
      <c r="I945" s="51"/>
      <c r="W945" s="59"/>
    </row>
    <row r="946" spans="4:23" ht="12.75">
      <c r="D946" s="49"/>
      <c r="E946" s="49"/>
      <c r="F946" s="49"/>
      <c r="G946" s="49"/>
      <c r="H946" s="50"/>
      <c r="I946" s="51"/>
      <c r="W946" s="59"/>
    </row>
    <row r="947" spans="4:23" ht="12.75">
      <c r="D947" s="49"/>
      <c r="E947" s="49"/>
      <c r="F947" s="49"/>
      <c r="G947" s="49"/>
      <c r="H947" s="50"/>
      <c r="I947" s="51"/>
      <c r="W947" s="59"/>
    </row>
    <row r="948" spans="4:23" ht="12.75">
      <c r="D948" s="49"/>
      <c r="E948" s="49"/>
      <c r="F948" s="49"/>
      <c r="G948" s="49"/>
      <c r="H948" s="50"/>
      <c r="I948" s="51"/>
      <c r="W948" s="59"/>
    </row>
    <row r="949" spans="4:23" ht="12.75">
      <c r="D949" s="49"/>
      <c r="E949" s="49"/>
      <c r="F949" s="49"/>
      <c r="G949" s="49"/>
      <c r="H949" s="50"/>
      <c r="I949" s="51"/>
      <c r="W949" s="59"/>
    </row>
    <row r="950" spans="4:23" ht="12.75">
      <c r="D950" s="49"/>
      <c r="E950" s="49"/>
      <c r="F950" s="49"/>
      <c r="G950" s="49"/>
      <c r="H950" s="50"/>
      <c r="I950" s="51"/>
      <c r="W950" s="59"/>
    </row>
    <row r="951" spans="4:23" ht="12.75">
      <c r="D951" s="49"/>
      <c r="E951" s="49"/>
      <c r="F951" s="49"/>
      <c r="G951" s="49"/>
      <c r="H951" s="50"/>
      <c r="I951" s="51"/>
      <c r="W951" s="59"/>
    </row>
    <row r="952" spans="4:23" ht="12.75">
      <c r="D952" s="49"/>
      <c r="E952" s="49"/>
      <c r="F952" s="49"/>
      <c r="G952" s="49"/>
      <c r="H952" s="50"/>
      <c r="I952" s="51"/>
      <c r="W952" s="59"/>
    </row>
    <row r="953" spans="4:23" ht="12.75">
      <c r="D953" s="49"/>
      <c r="E953" s="49"/>
      <c r="F953" s="49"/>
      <c r="G953" s="49"/>
      <c r="H953" s="50"/>
      <c r="I953" s="51"/>
      <c r="W953" s="59"/>
    </row>
    <row r="954" spans="4:23" ht="12.75">
      <c r="D954" s="49"/>
      <c r="E954" s="49"/>
      <c r="F954" s="49"/>
      <c r="G954" s="49"/>
      <c r="H954" s="50"/>
      <c r="I954" s="51"/>
      <c r="W954" s="59"/>
    </row>
    <row r="955" spans="4:23" ht="12.75">
      <c r="D955" s="49"/>
      <c r="E955" s="49"/>
      <c r="F955" s="49"/>
      <c r="G955" s="49"/>
      <c r="H955" s="50"/>
      <c r="I955" s="51"/>
      <c r="W955" s="59"/>
    </row>
    <row r="956" spans="4:23" ht="12.75">
      <c r="D956" s="49"/>
      <c r="E956" s="49"/>
      <c r="F956" s="49"/>
      <c r="G956" s="49"/>
      <c r="H956" s="50"/>
      <c r="I956" s="51"/>
      <c r="W956" s="59"/>
    </row>
    <row r="957" spans="4:23" ht="12.75">
      <c r="D957" s="49"/>
      <c r="E957" s="49"/>
      <c r="F957" s="49"/>
      <c r="G957" s="49"/>
      <c r="H957" s="50"/>
      <c r="I957" s="51"/>
      <c r="W957" s="59"/>
    </row>
    <row r="958" spans="4:23" ht="12.75">
      <c r="D958" s="49"/>
      <c r="E958" s="49"/>
      <c r="F958" s="49"/>
      <c r="G958" s="49"/>
      <c r="H958" s="50"/>
      <c r="I958" s="51"/>
      <c r="W958" s="59"/>
    </row>
    <row r="959" spans="4:23" ht="12.75">
      <c r="D959" s="49"/>
      <c r="E959" s="49"/>
      <c r="F959" s="49"/>
      <c r="G959" s="49"/>
      <c r="H959" s="50"/>
      <c r="I959" s="51"/>
      <c r="W959" s="59"/>
    </row>
    <row r="960" spans="4:23" ht="12.75">
      <c r="D960" s="49"/>
      <c r="E960" s="49"/>
      <c r="F960" s="49"/>
      <c r="G960" s="49"/>
      <c r="H960" s="50"/>
      <c r="I960" s="51"/>
      <c r="W960" s="59"/>
    </row>
    <row r="961" spans="4:23" ht="12.75">
      <c r="D961" s="49"/>
      <c r="E961" s="49"/>
      <c r="F961" s="49"/>
      <c r="G961" s="49"/>
      <c r="H961" s="50"/>
      <c r="I961" s="51"/>
      <c r="W961" s="59"/>
    </row>
    <row r="962" spans="4:23" ht="12.75">
      <c r="D962" s="49"/>
      <c r="E962" s="49"/>
      <c r="F962" s="49"/>
      <c r="G962" s="49"/>
      <c r="H962" s="50"/>
      <c r="I962" s="51"/>
      <c r="W962" s="59"/>
    </row>
    <row r="963" spans="4:23" ht="12.75">
      <c r="D963" s="49"/>
      <c r="E963" s="49"/>
      <c r="F963" s="49"/>
      <c r="G963" s="49"/>
      <c r="H963" s="50"/>
      <c r="I963" s="51"/>
      <c r="W963" s="59"/>
    </row>
    <row r="964" spans="4:23" ht="12.75">
      <c r="D964" s="49"/>
      <c r="E964" s="49"/>
      <c r="F964" s="49"/>
      <c r="G964" s="49"/>
      <c r="H964" s="50"/>
      <c r="I964" s="51"/>
      <c r="W964" s="59"/>
    </row>
    <row r="965" spans="4:23" ht="12.75">
      <c r="D965" s="49"/>
      <c r="E965" s="49"/>
      <c r="F965" s="49"/>
      <c r="G965" s="49"/>
      <c r="H965" s="50"/>
      <c r="I965" s="51"/>
      <c r="W965" s="59"/>
    </row>
    <row r="966" spans="4:23" ht="12.75">
      <c r="D966" s="49"/>
      <c r="E966" s="49"/>
      <c r="F966" s="49"/>
      <c r="G966" s="49"/>
      <c r="H966" s="50"/>
      <c r="I966" s="51"/>
      <c r="W966" s="59"/>
    </row>
    <row r="967" spans="4:23" ht="12.75">
      <c r="D967" s="49"/>
      <c r="E967" s="49"/>
      <c r="F967" s="49"/>
      <c r="G967" s="49"/>
      <c r="H967" s="50"/>
      <c r="I967" s="51"/>
      <c r="W967" s="59"/>
    </row>
    <row r="968" spans="4:23" ht="12.75">
      <c r="D968" s="49"/>
      <c r="E968" s="49"/>
      <c r="F968" s="49"/>
      <c r="G968" s="49"/>
      <c r="H968" s="50"/>
      <c r="I968" s="51"/>
      <c r="W968" s="59"/>
    </row>
    <row r="969" spans="4:23" ht="12.75">
      <c r="D969" s="49"/>
      <c r="E969" s="49"/>
      <c r="F969" s="49"/>
      <c r="G969" s="49"/>
      <c r="H969" s="50"/>
      <c r="I969" s="51"/>
      <c r="W969" s="59"/>
    </row>
    <row r="970" spans="4:23" ht="12.75">
      <c r="D970" s="49"/>
      <c r="E970" s="49"/>
      <c r="F970" s="49"/>
      <c r="G970" s="49"/>
      <c r="H970" s="50"/>
      <c r="I970" s="51"/>
      <c r="W970" s="59"/>
    </row>
    <row r="971" spans="4:23" ht="12.75">
      <c r="D971" s="49"/>
      <c r="E971" s="49"/>
      <c r="F971" s="49"/>
      <c r="G971" s="49"/>
      <c r="H971" s="50"/>
      <c r="I971" s="51"/>
      <c r="W971" s="59"/>
    </row>
    <row r="972" spans="4:23" ht="12.75">
      <c r="D972" s="49"/>
      <c r="E972" s="49"/>
      <c r="F972" s="49"/>
      <c r="G972" s="49"/>
      <c r="H972" s="50"/>
      <c r="I972" s="51"/>
      <c r="W972" s="59"/>
    </row>
    <row r="973" spans="4:23" ht="12.75">
      <c r="D973" s="49"/>
      <c r="E973" s="49"/>
      <c r="F973" s="49"/>
      <c r="G973" s="49"/>
      <c r="H973" s="50"/>
      <c r="I973" s="51"/>
      <c r="W973" s="59"/>
    </row>
    <row r="974" spans="4:23" ht="12.75">
      <c r="D974" s="49"/>
      <c r="E974" s="49"/>
      <c r="F974" s="49"/>
      <c r="G974" s="49"/>
      <c r="H974" s="50"/>
      <c r="I974" s="51"/>
      <c r="W974" s="59"/>
    </row>
    <row r="975" spans="4:23" ht="12.75">
      <c r="D975" s="49"/>
      <c r="E975" s="49"/>
      <c r="F975" s="49"/>
      <c r="G975" s="49"/>
      <c r="H975" s="50"/>
      <c r="I975" s="51"/>
      <c r="W975" s="59"/>
    </row>
    <row r="976" spans="4:23" ht="12.75">
      <c r="D976" s="49"/>
      <c r="E976" s="49"/>
      <c r="F976" s="49"/>
      <c r="G976" s="49"/>
      <c r="H976" s="50"/>
      <c r="I976" s="51"/>
      <c r="W976" s="59"/>
    </row>
    <row r="977" spans="4:23" ht="12.75">
      <c r="D977" s="49"/>
      <c r="E977" s="49"/>
      <c r="F977" s="49"/>
      <c r="G977" s="49"/>
      <c r="H977" s="50"/>
      <c r="I977" s="51"/>
      <c r="W977" s="59"/>
    </row>
    <row r="978" spans="4:23" ht="12.75">
      <c r="D978" s="49"/>
      <c r="E978" s="49"/>
      <c r="F978" s="49"/>
      <c r="G978" s="49"/>
      <c r="H978" s="50"/>
      <c r="I978" s="51"/>
      <c r="W978" s="59"/>
    </row>
    <row r="979" spans="4:23" ht="12.75">
      <c r="D979" s="49"/>
      <c r="E979" s="49"/>
      <c r="F979" s="49"/>
      <c r="G979" s="49"/>
      <c r="H979" s="50"/>
      <c r="I979" s="51"/>
      <c r="W979" s="59"/>
    </row>
    <row r="980" spans="4:23" ht="12.75">
      <c r="D980" s="49"/>
      <c r="E980" s="49"/>
      <c r="F980" s="49"/>
      <c r="G980" s="49"/>
      <c r="H980" s="50"/>
      <c r="I980" s="51"/>
      <c r="W980" s="59"/>
    </row>
    <row r="981" spans="4:23" ht="12.75">
      <c r="D981" s="49"/>
      <c r="E981" s="49"/>
      <c r="F981" s="49"/>
      <c r="G981" s="49"/>
      <c r="H981" s="50"/>
      <c r="I981" s="51"/>
      <c r="W981" s="59"/>
    </row>
    <row r="982" spans="4:23" ht="12.75">
      <c r="D982" s="49"/>
      <c r="E982" s="49"/>
      <c r="F982" s="49"/>
      <c r="G982" s="49"/>
      <c r="H982" s="50"/>
      <c r="I982" s="51"/>
      <c r="W982" s="59"/>
    </row>
    <row r="983" spans="4:23" ht="12.75">
      <c r="D983" s="49"/>
      <c r="E983" s="49"/>
      <c r="F983" s="49"/>
      <c r="G983" s="49"/>
      <c r="H983" s="50"/>
      <c r="I983" s="51"/>
      <c r="W983" s="59"/>
    </row>
    <row r="984" spans="4:23" ht="12.75">
      <c r="D984" s="49"/>
      <c r="E984" s="49"/>
      <c r="F984" s="49"/>
      <c r="G984" s="49"/>
      <c r="H984" s="50"/>
      <c r="I984" s="51"/>
      <c r="W984" s="59"/>
    </row>
    <row r="985" spans="4:23" ht="12.75">
      <c r="D985" s="49"/>
      <c r="E985" s="49"/>
      <c r="F985" s="49"/>
      <c r="G985" s="49"/>
      <c r="H985" s="50"/>
      <c r="I985" s="51"/>
      <c r="W985" s="59"/>
    </row>
    <row r="986" spans="4:23" ht="12.75">
      <c r="D986" s="49"/>
      <c r="E986" s="49"/>
      <c r="F986" s="49"/>
      <c r="G986" s="49"/>
      <c r="H986" s="50"/>
      <c r="I986" s="51"/>
      <c r="W986" s="59"/>
    </row>
    <row r="987" spans="4:23" ht="12.75">
      <c r="D987" s="49"/>
      <c r="E987" s="49"/>
      <c r="F987" s="49"/>
      <c r="G987" s="49"/>
      <c r="H987" s="50"/>
      <c r="I987" s="51"/>
      <c r="W987" s="59"/>
    </row>
    <row r="988" spans="4:23" ht="12.75">
      <c r="D988" s="49"/>
      <c r="E988" s="49"/>
      <c r="F988" s="49"/>
      <c r="G988" s="49"/>
      <c r="H988" s="50"/>
      <c r="I988" s="51"/>
      <c r="W988" s="59"/>
    </row>
    <row r="989" spans="4:23" ht="12.75">
      <c r="D989" s="49"/>
      <c r="E989" s="49"/>
      <c r="F989" s="49"/>
      <c r="G989" s="49"/>
      <c r="H989" s="50"/>
      <c r="I989" s="51"/>
      <c r="W989" s="59"/>
    </row>
    <row r="990" spans="4:23" ht="12.75">
      <c r="D990" s="49"/>
      <c r="E990" s="49"/>
      <c r="F990" s="49"/>
      <c r="G990" s="49"/>
      <c r="H990" s="50"/>
      <c r="I990" s="51"/>
      <c r="W990" s="59"/>
    </row>
    <row r="991" spans="4:23" ht="12.75">
      <c r="D991" s="49"/>
      <c r="E991" s="49"/>
      <c r="F991" s="49"/>
      <c r="G991" s="49"/>
      <c r="H991" s="50"/>
      <c r="I991" s="51"/>
      <c r="W991" s="59"/>
    </row>
    <row r="992" spans="4:23" ht="12.75">
      <c r="D992" s="49"/>
      <c r="E992" s="49"/>
      <c r="F992" s="49"/>
      <c r="G992" s="49"/>
      <c r="H992" s="50"/>
      <c r="I992" s="51"/>
      <c r="W992" s="59"/>
    </row>
    <row r="993" spans="4:23" ht="12.75">
      <c r="D993" s="49"/>
      <c r="E993" s="49"/>
      <c r="F993" s="49"/>
      <c r="G993" s="49"/>
      <c r="H993" s="50"/>
      <c r="I993" s="51"/>
      <c r="W993" s="59"/>
    </row>
    <row r="994" spans="4:23" ht="12.75">
      <c r="D994" s="49"/>
      <c r="E994" s="49"/>
      <c r="F994" s="49"/>
      <c r="G994" s="49"/>
      <c r="H994" s="50"/>
      <c r="I994" s="51"/>
      <c r="W994" s="59"/>
    </row>
  </sheetData>
  <mergeCells count="8">
    <mergeCell ref="V5:Y5"/>
    <mergeCell ref="Z5:AD5"/>
    <mergeCell ref="AE5:AK5"/>
    <mergeCell ref="A5:B5"/>
    <mergeCell ref="D5:F5"/>
    <mergeCell ref="G5:M5"/>
    <mergeCell ref="N5:P5"/>
    <mergeCell ref="Q5:U5"/>
  </mergeCells>
  <phoneticPr fontId="40" type="noConversion"/>
  <conditionalFormatting sqref="A7:A28">
    <cfRule type="notContainsBlanks" dxfId="10" priority="1">
      <formula>LEN(TRIM(A7))&gt;0</formula>
    </cfRule>
  </conditionalFormatting>
  <dataValidations count="1">
    <dataValidation type="list" allowBlank="1" showErrorMessage="1" sqref="A7:A28" xr:uid="{00000000-0002-0000-0000-000000000000}">
      <formula1>$AE$7:$AE$30</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998"/>
  <sheetViews>
    <sheetView tabSelected="1" zoomScale="85" zoomScaleNormal="85" workbookViewId="0">
      <pane xSplit="2" topLeftCell="C1" activePane="topRight" state="frozen"/>
      <selection pane="topRight" activeCell="D2" sqref="D2"/>
    </sheetView>
  </sheetViews>
  <sheetFormatPr defaultColWidth="12.5703125" defaultRowHeight="15.75" customHeight="1"/>
  <cols>
    <col min="1" max="1" width="22.85546875" customWidth="1"/>
    <col min="2" max="2" width="22.42578125" customWidth="1"/>
    <col min="31" max="31" width="33" customWidth="1"/>
  </cols>
  <sheetData>
    <row r="1" spans="1:37" ht="15">
      <c r="A1" s="1"/>
      <c r="B1" s="2"/>
      <c r="C1" s="2"/>
      <c r="D1" s="2"/>
      <c r="E1" s="2"/>
      <c r="F1" s="2"/>
      <c r="G1" s="2"/>
      <c r="H1" s="2"/>
      <c r="I1" s="2"/>
      <c r="J1" s="2"/>
      <c r="K1" s="1" t="s">
        <v>0</v>
      </c>
      <c r="L1" s="2"/>
      <c r="M1" s="2"/>
      <c r="N1" s="2"/>
      <c r="O1" s="2"/>
      <c r="P1" s="2"/>
      <c r="Q1" s="2"/>
      <c r="R1" s="2"/>
      <c r="S1" s="2"/>
      <c r="T1" s="2"/>
      <c r="U1" s="2"/>
      <c r="V1" s="2"/>
      <c r="W1" s="2"/>
      <c r="X1" s="2"/>
      <c r="Y1" s="2"/>
      <c r="Z1" s="2"/>
      <c r="AA1" s="2"/>
      <c r="AB1" s="2"/>
      <c r="AC1" s="2"/>
      <c r="AD1" s="2"/>
      <c r="AE1" s="3"/>
      <c r="AF1" s="3"/>
      <c r="AG1" s="4"/>
      <c r="AH1" s="4"/>
      <c r="AI1" s="4"/>
      <c r="AJ1" s="4"/>
      <c r="AK1" s="4"/>
    </row>
    <row r="2" spans="1:37" ht="15">
      <c r="A2" s="5"/>
      <c r="B2" s="6"/>
      <c r="C2" s="6"/>
      <c r="D2" s="6"/>
      <c r="E2" s="6"/>
      <c r="F2" s="6"/>
      <c r="G2" s="6"/>
      <c r="H2" s="6"/>
      <c r="I2" s="6"/>
      <c r="J2" s="6"/>
      <c r="K2" s="6"/>
      <c r="L2" s="6"/>
      <c r="M2" s="6"/>
      <c r="N2" s="6"/>
      <c r="O2" s="6"/>
      <c r="P2" s="6"/>
      <c r="Q2" s="6"/>
      <c r="R2" s="6"/>
      <c r="S2" s="6"/>
      <c r="T2" s="6"/>
      <c r="U2" s="6"/>
      <c r="V2" s="6"/>
      <c r="W2" s="6"/>
      <c r="X2" s="6"/>
      <c r="Y2" s="6"/>
      <c r="Z2" s="6"/>
      <c r="AA2" s="6"/>
      <c r="AB2" s="6"/>
      <c r="AC2" s="6"/>
      <c r="AD2" s="6"/>
      <c r="AE2" s="3"/>
      <c r="AF2" s="3"/>
      <c r="AG2" s="4"/>
      <c r="AH2" s="4"/>
      <c r="AI2" s="4"/>
      <c r="AJ2" s="4"/>
      <c r="AK2" s="4"/>
    </row>
    <row r="3" spans="1:37" ht="15">
      <c r="A3" s="5"/>
      <c r="B3" s="6"/>
      <c r="C3" s="6"/>
      <c r="D3" s="6"/>
      <c r="E3" s="6"/>
      <c r="F3" s="6"/>
      <c r="G3" s="6"/>
      <c r="H3" s="6"/>
      <c r="I3" s="6"/>
      <c r="J3" s="6"/>
      <c r="K3" s="5" t="s">
        <v>1</v>
      </c>
      <c r="L3" s="6"/>
      <c r="M3" s="6"/>
      <c r="N3" s="6"/>
      <c r="O3" s="6"/>
      <c r="P3" s="6"/>
      <c r="Q3" s="6"/>
      <c r="R3" s="6"/>
      <c r="S3" s="6"/>
      <c r="T3" s="6"/>
      <c r="U3" s="6"/>
      <c r="V3" s="6"/>
      <c r="W3" s="6"/>
      <c r="X3" s="6"/>
      <c r="Y3" s="6"/>
      <c r="Z3" s="6"/>
      <c r="AA3" s="6"/>
      <c r="AB3" s="6"/>
      <c r="AC3" s="6"/>
      <c r="AD3" s="7"/>
      <c r="AE3" s="8" t="s">
        <v>2</v>
      </c>
      <c r="AF3" s="3" t="s">
        <v>3</v>
      </c>
      <c r="AG3" s="4"/>
      <c r="AH3" s="4"/>
      <c r="AI3" s="4"/>
      <c r="AJ3" s="4"/>
      <c r="AK3" s="4"/>
    </row>
    <row r="4" spans="1:37" ht="15">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1"/>
      <c r="AE4" s="8">
        <v>192.41</v>
      </c>
      <c r="AF4" s="3">
        <v>1385</v>
      </c>
      <c r="AG4" s="4"/>
      <c r="AH4" s="4"/>
      <c r="AI4" s="4"/>
      <c r="AJ4" s="4"/>
      <c r="AK4" s="4"/>
    </row>
    <row r="5" spans="1:37" ht="15">
      <c r="A5" s="235" t="s">
        <v>4</v>
      </c>
      <c r="B5" s="236"/>
      <c r="C5" s="12" t="s">
        <v>4</v>
      </c>
      <c r="D5" s="237" t="s">
        <v>5</v>
      </c>
      <c r="E5" s="238"/>
      <c r="F5" s="236"/>
      <c r="G5" s="246"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60" t="s">
        <v>7</v>
      </c>
      <c r="B6" s="60" t="s">
        <v>8</v>
      </c>
      <c r="C6" s="61" t="s">
        <v>9</v>
      </c>
      <c r="D6" s="62" t="s">
        <v>10</v>
      </c>
      <c r="E6" s="62" t="s">
        <v>11</v>
      </c>
      <c r="F6" s="62" t="s">
        <v>12</v>
      </c>
      <c r="G6" s="63" t="s">
        <v>13</v>
      </c>
      <c r="H6" s="61" t="s">
        <v>14</v>
      </c>
      <c r="I6" s="61" t="s">
        <v>15</v>
      </c>
      <c r="J6" s="61" t="s">
        <v>16</v>
      </c>
      <c r="K6" s="61" t="s">
        <v>17</v>
      </c>
      <c r="L6" s="61" t="s">
        <v>18</v>
      </c>
      <c r="M6" s="61" t="s">
        <v>19</v>
      </c>
      <c r="N6" s="19" t="s">
        <v>20</v>
      </c>
      <c r="O6" s="64" t="s">
        <v>6</v>
      </c>
      <c r="P6" s="60" t="s">
        <v>21</v>
      </c>
      <c r="Q6" s="61" t="s">
        <v>22</v>
      </c>
      <c r="R6" s="61" t="s">
        <v>23</v>
      </c>
      <c r="S6" s="61" t="s">
        <v>24</v>
      </c>
      <c r="T6" s="61" t="s">
        <v>25</v>
      </c>
      <c r="U6" s="61" t="s">
        <v>26</v>
      </c>
      <c r="V6" s="60" t="s">
        <v>27</v>
      </c>
      <c r="W6" s="65" t="s">
        <v>28</v>
      </c>
      <c r="X6" s="60"/>
      <c r="Y6" s="60" t="s">
        <v>29</v>
      </c>
      <c r="Z6" s="66" t="s">
        <v>30</v>
      </c>
      <c r="AA6" s="66" t="s">
        <v>31</v>
      </c>
      <c r="AB6" s="66" t="s">
        <v>32</v>
      </c>
      <c r="AC6" s="66" t="s">
        <v>33</v>
      </c>
      <c r="AD6" s="67" t="s">
        <v>34</v>
      </c>
      <c r="AE6" s="3" t="s">
        <v>35</v>
      </c>
      <c r="AF6" s="4" t="s">
        <v>36</v>
      </c>
      <c r="AG6" s="3" t="s">
        <v>37</v>
      </c>
      <c r="AH6" s="3"/>
      <c r="AI6" s="3"/>
      <c r="AJ6" s="3"/>
      <c r="AK6" s="3"/>
    </row>
    <row r="7" spans="1:37" ht="37.5" customHeight="1">
      <c r="A7" s="25">
        <v>9122381432</v>
      </c>
      <c r="B7" s="68" t="s">
        <v>72</v>
      </c>
      <c r="C7" s="26" t="s">
        <v>39</v>
      </c>
      <c r="D7" s="27">
        <v>10</v>
      </c>
      <c r="E7" s="27">
        <v>86</v>
      </c>
      <c r="F7" s="27">
        <v>16</v>
      </c>
      <c r="G7" s="69">
        <f t="shared" ref="G7:G15" si="0">PRODUCT(D7*E7*F7)</f>
        <v>13760</v>
      </c>
      <c r="H7" s="70">
        <f t="shared" ref="H7:H15" si="1">G7/1000000</f>
        <v>1.376E-2</v>
      </c>
      <c r="I7" s="29">
        <f t="shared" ref="I7:I15" si="2">1/H7</f>
        <v>72.674418604651166</v>
      </c>
      <c r="J7" s="30">
        <f t="shared" ref="J7:J15" si="3">80/I7</f>
        <v>1.1008</v>
      </c>
      <c r="K7" s="31">
        <f t="shared" ref="K7:K15" si="4">27000/I7</f>
        <v>371.52</v>
      </c>
      <c r="L7" s="31">
        <f t="shared" ref="L7:L15" si="5">(J7*$AF$4)+K7</f>
        <v>1896.1279999999999</v>
      </c>
      <c r="M7" s="32">
        <f t="shared" ref="M7:M15" si="6">T7/R7</f>
        <v>0.20914817593881233</v>
      </c>
      <c r="N7" s="33">
        <v>400</v>
      </c>
      <c r="O7" s="32">
        <f t="shared" ref="O7:O15" ca="1" si="7">SUMIF($AE$6:$AG$34,$A7,$AG$6:$AG$34)</f>
        <v>0</v>
      </c>
      <c r="P7" s="34">
        <v>49</v>
      </c>
      <c r="Q7" s="34">
        <f t="shared" ref="Q7:Q25" si="8">P7*1.15</f>
        <v>56.349999999999994</v>
      </c>
      <c r="R7" s="35">
        <f t="shared" ref="R7:R25" si="9">Q7*$AE$4</f>
        <v>10842.303499999998</v>
      </c>
      <c r="S7" s="35">
        <f ca="1">R7*O7</f>
        <v>0</v>
      </c>
      <c r="T7" s="35">
        <f t="shared" ref="T7:T25" si="10">L7+K7</f>
        <v>2267.6480000000001</v>
      </c>
      <c r="U7" s="35">
        <f ca="1">R7+S7+T7+U8+U9+U10+U11+U12+U13+U14+U16+U19</f>
        <v>28670.930025000001</v>
      </c>
      <c r="V7" s="35">
        <v>99000</v>
      </c>
      <c r="W7" s="36">
        <v>6.6299999999999998E-2</v>
      </c>
      <c r="X7" s="71"/>
      <c r="Y7" s="35"/>
      <c r="Z7" s="38">
        <f>W7+(Y7/V7)</f>
        <v>6.6299999999999998E-2</v>
      </c>
      <c r="AA7" s="39">
        <f>V7*Z7</f>
        <v>6563.7</v>
      </c>
      <c r="AB7" s="39">
        <f t="shared" ref="AB7:AB15" ca="1" si="11">(V7)/1.1*10%-(U7+AA7+K7+S7)*10%</f>
        <v>5439.3849975000003</v>
      </c>
      <c r="AC7" s="39">
        <f t="shared" ref="AC7:AC15" ca="1" si="12">V7-(U7+AA7+AB7)</f>
        <v>58325.984977500004</v>
      </c>
      <c r="AD7" s="40">
        <f ca="1">AC7/V7</f>
        <v>0.58915136340909091</v>
      </c>
      <c r="AE7" s="41" t="s">
        <v>40</v>
      </c>
      <c r="AF7" s="41"/>
      <c r="AG7" s="42">
        <v>0.08</v>
      </c>
      <c r="AH7" s="43"/>
      <c r="AI7" s="43"/>
      <c r="AJ7" s="44"/>
      <c r="AK7" s="44"/>
    </row>
    <row r="8" spans="1:37" ht="37.5" customHeight="1">
      <c r="A8" s="25"/>
      <c r="B8" s="25" t="s">
        <v>73</v>
      </c>
      <c r="C8" s="26" t="s">
        <v>39</v>
      </c>
      <c r="D8" s="72">
        <v>1</v>
      </c>
      <c r="E8" s="72">
        <v>20</v>
      </c>
      <c r="F8" s="72">
        <v>1</v>
      </c>
      <c r="G8" s="69">
        <f t="shared" si="0"/>
        <v>20</v>
      </c>
      <c r="H8" s="70">
        <f t="shared" si="1"/>
        <v>2.0000000000000002E-5</v>
      </c>
      <c r="I8" s="29">
        <f t="shared" si="2"/>
        <v>49999.999999999993</v>
      </c>
      <c r="J8" s="30">
        <f t="shared" si="3"/>
        <v>1.6000000000000003E-3</v>
      </c>
      <c r="K8" s="31">
        <f t="shared" si="4"/>
        <v>0.54</v>
      </c>
      <c r="L8" s="31">
        <f t="shared" si="5"/>
        <v>2.7560000000000002</v>
      </c>
      <c r="M8" s="32">
        <f t="shared" si="6"/>
        <v>2.4826212744674912E-2</v>
      </c>
      <c r="N8" s="32"/>
      <c r="O8" s="32">
        <f t="shared" ca="1" si="7"/>
        <v>0</v>
      </c>
      <c r="P8" s="34">
        <v>0.6</v>
      </c>
      <c r="Q8" s="34">
        <f t="shared" si="8"/>
        <v>0.69</v>
      </c>
      <c r="R8" s="35">
        <f t="shared" si="9"/>
        <v>132.76289999999997</v>
      </c>
      <c r="S8" s="73">
        <v>0</v>
      </c>
      <c r="T8" s="35">
        <f t="shared" si="10"/>
        <v>3.2960000000000003</v>
      </c>
      <c r="U8" s="35">
        <f t="shared" ref="U8:U20" si="13">R8+S8+T8</f>
        <v>136.05889999999997</v>
      </c>
      <c r="V8" s="73"/>
      <c r="W8" s="36"/>
      <c r="X8" s="71"/>
      <c r="Y8" s="35">
        <v>4587</v>
      </c>
      <c r="Z8" s="38"/>
      <c r="AA8" s="39"/>
      <c r="AB8" s="39">
        <f t="shared" si="11"/>
        <v>-13.659889999999997</v>
      </c>
      <c r="AC8" s="39">
        <f t="shared" si="12"/>
        <v>-122.39900999999998</v>
      </c>
      <c r="AD8" s="40"/>
      <c r="AE8" s="41"/>
      <c r="AF8" s="41"/>
      <c r="AG8" s="42"/>
      <c r="AH8" s="43"/>
      <c r="AI8" s="43"/>
      <c r="AJ8" s="44"/>
      <c r="AK8" s="44"/>
    </row>
    <row r="9" spans="1:37" ht="37.5" customHeight="1">
      <c r="A9" s="25"/>
      <c r="B9" s="25" t="s">
        <v>74</v>
      </c>
      <c r="C9" s="26" t="s">
        <v>39</v>
      </c>
      <c r="D9" s="72">
        <v>1</v>
      </c>
      <c r="E9" s="72">
        <v>20</v>
      </c>
      <c r="F9" s="72">
        <v>1</v>
      </c>
      <c r="G9" s="69">
        <f t="shared" si="0"/>
        <v>20</v>
      </c>
      <c r="H9" s="70">
        <f t="shared" si="1"/>
        <v>2.0000000000000002E-5</v>
      </c>
      <c r="I9" s="29">
        <f t="shared" si="2"/>
        <v>49999.999999999993</v>
      </c>
      <c r="J9" s="30">
        <f t="shared" si="3"/>
        <v>1.6000000000000003E-3</v>
      </c>
      <c r="K9" s="31">
        <f t="shared" si="4"/>
        <v>0.54</v>
      </c>
      <c r="L9" s="31">
        <f t="shared" si="5"/>
        <v>2.7560000000000002</v>
      </c>
      <c r="M9" s="32">
        <f t="shared" si="6"/>
        <v>1.655080849644994E-2</v>
      </c>
      <c r="N9" s="32"/>
      <c r="O9" s="32">
        <f t="shared" ca="1" si="7"/>
        <v>0</v>
      </c>
      <c r="P9" s="34">
        <v>0.9</v>
      </c>
      <c r="Q9" s="34">
        <f t="shared" si="8"/>
        <v>1.0349999999999999</v>
      </c>
      <c r="R9" s="35">
        <f t="shared" si="9"/>
        <v>199.14434999999997</v>
      </c>
      <c r="S9" s="73">
        <v>0</v>
      </c>
      <c r="T9" s="35">
        <f t="shared" si="10"/>
        <v>3.2960000000000003</v>
      </c>
      <c r="U9" s="35">
        <f t="shared" si="13"/>
        <v>202.44034999999997</v>
      </c>
      <c r="V9" s="73"/>
      <c r="W9" s="36"/>
      <c r="X9" s="71"/>
      <c r="Y9" s="35"/>
      <c r="Z9" s="38"/>
      <c r="AA9" s="39"/>
      <c r="AB9" s="39">
        <f t="shared" si="11"/>
        <v>-20.298034999999999</v>
      </c>
      <c r="AC9" s="39">
        <f t="shared" si="12"/>
        <v>-182.14231499999997</v>
      </c>
      <c r="AD9" s="40"/>
      <c r="AE9" s="41"/>
      <c r="AF9" s="41"/>
      <c r="AG9" s="42"/>
      <c r="AH9" s="43"/>
      <c r="AI9" s="43"/>
      <c r="AJ9" s="44"/>
      <c r="AK9" s="44"/>
    </row>
    <row r="10" spans="1:37" ht="37.5" customHeight="1">
      <c r="A10" s="25"/>
      <c r="B10" s="25" t="s">
        <v>75</v>
      </c>
      <c r="C10" s="26" t="s">
        <v>39</v>
      </c>
      <c r="D10" s="72">
        <v>1</v>
      </c>
      <c r="E10" s="72">
        <v>20</v>
      </c>
      <c r="F10" s="72">
        <v>1</v>
      </c>
      <c r="G10" s="69">
        <f t="shared" si="0"/>
        <v>20</v>
      </c>
      <c r="H10" s="70">
        <f t="shared" si="1"/>
        <v>2.0000000000000002E-5</v>
      </c>
      <c r="I10" s="29">
        <f t="shared" si="2"/>
        <v>49999.999999999993</v>
      </c>
      <c r="J10" s="30">
        <f t="shared" si="3"/>
        <v>1.6000000000000003E-3</v>
      </c>
      <c r="K10" s="31">
        <f t="shared" si="4"/>
        <v>0.54</v>
      </c>
      <c r="L10" s="31">
        <f t="shared" si="5"/>
        <v>2.7560000000000002</v>
      </c>
      <c r="M10" s="32">
        <f t="shared" si="6"/>
        <v>1.2952806649395606E-2</v>
      </c>
      <c r="N10" s="32"/>
      <c r="O10" s="32">
        <f t="shared" ca="1" si="7"/>
        <v>0</v>
      </c>
      <c r="P10" s="34">
        <v>1.1499999999999999</v>
      </c>
      <c r="Q10" s="34">
        <f t="shared" si="8"/>
        <v>1.3224999999999998</v>
      </c>
      <c r="R10" s="35">
        <f t="shared" si="9"/>
        <v>254.46222499999996</v>
      </c>
      <c r="S10" s="73">
        <v>0</v>
      </c>
      <c r="T10" s="35">
        <f t="shared" si="10"/>
        <v>3.2960000000000003</v>
      </c>
      <c r="U10" s="35">
        <f t="shared" si="13"/>
        <v>257.75822499999998</v>
      </c>
      <c r="V10" s="73"/>
      <c r="W10" s="36"/>
      <c r="X10" s="71"/>
      <c r="Y10" s="35"/>
      <c r="Z10" s="38"/>
      <c r="AA10" s="39"/>
      <c r="AB10" s="39">
        <f t="shared" si="11"/>
        <v>-25.829822500000002</v>
      </c>
      <c r="AC10" s="39">
        <f t="shared" si="12"/>
        <v>-231.92840249999998</v>
      </c>
      <c r="AD10" s="40"/>
      <c r="AE10" s="41"/>
      <c r="AF10" s="41"/>
      <c r="AG10" s="42"/>
      <c r="AH10" s="43"/>
      <c r="AI10" s="43"/>
      <c r="AJ10" s="44"/>
      <c r="AK10" s="44"/>
    </row>
    <row r="11" spans="1:37" ht="37.5" customHeight="1">
      <c r="A11" s="25"/>
      <c r="B11" s="25" t="s">
        <v>76</v>
      </c>
      <c r="C11" s="26" t="s">
        <v>39</v>
      </c>
      <c r="D11" s="72">
        <v>1</v>
      </c>
      <c r="E11" s="72">
        <v>20</v>
      </c>
      <c r="F11" s="72">
        <v>1</v>
      </c>
      <c r="G11" s="69">
        <f t="shared" si="0"/>
        <v>20</v>
      </c>
      <c r="H11" s="70">
        <f t="shared" si="1"/>
        <v>2.0000000000000002E-5</v>
      </c>
      <c r="I11" s="29">
        <f t="shared" si="2"/>
        <v>49999.999999999993</v>
      </c>
      <c r="J11" s="30">
        <f t="shared" si="3"/>
        <v>1.6000000000000003E-3</v>
      </c>
      <c r="K11" s="31">
        <f t="shared" si="4"/>
        <v>0.54</v>
      </c>
      <c r="L11" s="31">
        <f t="shared" si="5"/>
        <v>2.7560000000000002</v>
      </c>
      <c r="M11" s="32">
        <f t="shared" si="6"/>
        <v>1.4895727646804946E-2</v>
      </c>
      <c r="N11" s="33"/>
      <c r="O11" s="32">
        <f t="shared" ca="1" si="7"/>
        <v>0</v>
      </c>
      <c r="P11" s="34">
        <v>1</v>
      </c>
      <c r="Q11" s="34">
        <f t="shared" si="8"/>
        <v>1.1499999999999999</v>
      </c>
      <c r="R11" s="35">
        <f t="shared" si="9"/>
        <v>221.27149999999997</v>
      </c>
      <c r="S11" s="73">
        <v>0</v>
      </c>
      <c r="T11" s="35">
        <f t="shared" si="10"/>
        <v>3.2960000000000003</v>
      </c>
      <c r="U11" s="35">
        <f t="shared" si="13"/>
        <v>224.56749999999997</v>
      </c>
      <c r="V11" s="35"/>
      <c r="W11" s="36"/>
      <c r="X11" s="71"/>
      <c r="Y11" s="35"/>
      <c r="Z11" s="38"/>
      <c r="AA11" s="39"/>
      <c r="AB11" s="39">
        <f t="shared" si="11"/>
        <v>-22.510749999999998</v>
      </c>
      <c r="AC11" s="39">
        <f t="shared" si="12"/>
        <v>-202.05674999999997</v>
      </c>
      <c r="AD11" s="40"/>
      <c r="AE11" s="41"/>
      <c r="AF11" s="41"/>
      <c r="AG11" s="42"/>
      <c r="AH11" s="43"/>
      <c r="AI11" s="43"/>
      <c r="AJ11" s="44"/>
      <c r="AK11" s="44"/>
    </row>
    <row r="12" spans="1:37" ht="37.5" customHeight="1">
      <c r="A12" s="25"/>
      <c r="B12" s="25" t="s">
        <v>77</v>
      </c>
      <c r="C12" s="26" t="s">
        <v>39</v>
      </c>
      <c r="D12" s="72">
        <v>3</v>
      </c>
      <c r="E12" s="72">
        <v>18</v>
      </c>
      <c r="F12" s="72">
        <v>1</v>
      </c>
      <c r="G12" s="69">
        <f t="shared" si="0"/>
        <v>54</v>
      </c>
      <c r="H12" s="70">
        <f t="shared" si="1"/>
        <v>5.3999999999999998E-5</v>
      </c>
      <c r="I12" s="29">
        <f t="shared" si="2"/>
        <v>18518.518518518518</v>
      </c>
      <c r="J12" s="30">
        <f t="shared" si="3"/>
        <v>4.3200000000000001E-3</v>
      </c>
      <c r="K12" s="31">
        <f t="shared" si="4"/>
        <v>1.458</v>
      </c>
      <c r="L12" s="31">
        <f t="shared" si="5"/>
        <v>7.4412000000000003</v>
      </c>
      <c r="M12" s="32">
        <f t="shared" si="6"/>
        <v>8.0436929292746692E-3</v>
      </c>
      <c r="N12" s="33"/>
      <c r="O12" s="32">
        <f t="shared" ca="1" si="7"/>
        <v>0</v>
      </c>
      <c r="P12" s="34">
        <v>5</v>
      </c>
      <c r="Q12" s="34">
        <f t="shared" si="8"/>
        <v>5.75</v>
      </c>
      <c r="R12" s="35">
        <f t="shared" si="9"/>
        <v>1106.3575000000001</v>
      </c>
      <c r="S12" s="73">
        <v>0</v>
      </c>
      <c r="T12" s="35">
        <f t="shared" si="10"/>
        <v>8.8992000000000004</v>
      </c>
      <c r="U12" s="35">
        <f t="shared" si="13"/>
        <v>1115.2567000000001</v>
      </c>
      <c r="V12" s="35"/>
      <c r="W12" s="36"/>
      <c r="X12" s="71"/>
      <c r="Y12" s="35"/>
      <c r="Z12" s="38"/>
      <c r="AA12" s="39"/>
      <c r="AB12" s="39">
        <f t="shared" si="11"/>
        <v>-111.67147000000003</v>
      </c>
      <c r="AC12" s="39">
        <f t="shared" si="12"/>
        <v>-1003.5852300000001</v>
      </c>
      <c r="AD12" s="40"/>
      <c r="AE12" s="41"/>
      <c r="AF12" s="41"/>
      <c r="AG12" s="42"/>
      <c r="AH12" s="43"/>
      <c r="AI12" s="43"/>
      <c r="AJ12" s="44"/>
      <c r="AK12" s="44"/>
    </row>
    <row r="13" spans="1:37" ht="37.5" customHeight="1">
      <c r="A13" s="25"/>
      <c r="B13" s="25" t="s">
        <v>78</v>
      </c>
      <c r="C13" s="26" t="s">
        <v>39</v>
      </c>
      <c r="D13" s="72">
        <v>15</v>
      </c>
      <c r="E13" s="72">
        <v>15</v>
      </c>
      <c r="F13" s="72">
        <v>1</v>
      </c>
      <c r="G13" s="69">
        <f t="shared" si="0"/>
        <v>225</v>
      </c>
      <c r="H13" s="70">
        <f t="shared" si="1"/>
        <v>2.2499999999999999E-4</v>
      </c>
      <c r="I13" s="29">
        <f t="shared" si="2"/>
        <v>4444.4444444444443</v>
      </c>
      <c r="J13" s="30">
        <f t="shared" si="3"/>
        <v>1.8000000000000002E-2</v>
      </c>
      <c r="K13" s="31">
        <f t="shared" si="4"/>
        <v>6.0750000000000002</v>
      </c>
      <c r="L13" s="31">
        <f t="shared" si="5"/>
        <v>31.005000000000003</v>
      </c>
      <c r="M13" s="32">
        <f t="shared" si="6"/>
        <v>3.3515387205311123E-2</v>
      </c>
      <c r="N13" s="33"/>
      <c r="O13" s="32">
        <f t="shared" ca="1" si="7"/>
        <v>0</v>
      </c>
      <c r="P13" s="34">
        <v>5</v>
      </c>
      <c r="Q13" s="34">
        <f t="shared" si="8"/>
        <v>5.75</v>
      </c>
      <c r="R13" s="35">
        <f t="shared" si="9"/>
        <v>1106.3575000000001</v>
      </c>
      <c r="S13" s="73">
        <v>0</v>
      </c>
      <c r="T13" s="35">
        <f t="shared" si="10"/>
        <v>37.080000000000005</v>
      </c>
      <c r="U13" s="35">
        <f t="shared" si="13"/>
        <v>1143.4375</v>
      </c>
      <c r="V13" s="35"/>
      <c r="W13" s="36"/>
      <c r="X13" s="71"/>
      <c r="Y13" s="35"/>
      <c r="Z13" s="38"/>
      <c r="AA13" s="39"/>
      <c r="AB13" s="39">
        <f t="shared" si="11"/>
        <v>-114.95125000000002</v>
      </c>
      <c r="AC13" s="39">
        <f t="shared" si="12"/>
        <v>-1028.4862499999999</v>
      </c>
      <c r="AD13" s="40"/>
      <c r="AE13" s="41"/>
      <c r="AF13" s="41"/>
      <c r="AG13" s="42"/>
      <c r="AH13" s="43"/>
      <c r="AI13" s="43"/>
      <c r="AJ13" s="44"/>
      <c r="AK13" s="44"/>
    </row>
    <row r="14" spans="1:37" ht="37.5" customHeight="1">
      <c r="A14" s="25"/>
      <c r="B14" s="25" t="s">
        <v>79</v>
      </c>
      <c r="C14" s="26" t="s">
        <v>39</v>
      </c>
      <c r="D14" s="72">
        <v>15</v>
      </c>
      <c r="E14" s="72">
        <v>13</v>
      </c>
      <c r="F14" s="72">
        <v>25</v>
      </c>
      <c r="G14" s="69">
        <f t="shared" si="0"/>
        <v>4875</v>
      </c>
      <c r="H14" s="70">
        <f t="shared" si="1"/>
        <v>4.875E-3</v>
      </c>
      <c r="I14" s="29">
        <f t="shared" si="2"/>
        <v>205.12820512820514</v>
      </c>
      <c r="J14" s="30">
        <f t="shared" si="3"/>
        <v>0.38999999999999996</v>
      </c>
      <c r="K14" s="31">
        <f t="shared" si="4"/>
        <v>131.625</v>
      </c>
      <c r="L14" s="31">
        <f t="shared" si="5"/>
        <v>671.77499999999998</v>
      </c>
      <c r="M14" s="32">
        <f t="shared" si="6"/>
        <v>0.72616672278174088</v>
      </c>
      <c r="N14" s="33"/>
      <c r="O14" s="32">
        <f t="shared" ca="1" si="7"/>
        <v>0</v>
      </c>
      <c r="P14" s="34">
        <v>5</v>
      </c>
      <c r="Q14" s="34">
        <f t="shared" si="8"/>
        <v>5.75</v>
      </c>
      <c r="R14" s="35">
        <f t="shared" si="9"/>
        <v>1106.3575000000001</v>
      </c>
      <c r="S14" s="73">
        <v>0</v>
      </c>
      <c r="T14" s="35">
        <f t="shared" si="10"/>
        <v>803.4</v>
      </c>
      <c r="U14" s="35">
        <f t="shared" si="13"/>
        <v>1909.7575000000002</v>
      </c>
      <c r="V14" s="35"/>
      <c r="W14" s="36"/>
      <c r="X14" s="71"/>
      <c r="Y14" s="35"/>
      <c r="Z14" s="38"/>
      <c r="AA14" s="39"/>
      <c r="AB14" s="39">
        <f t="shared" si="11"/>
        <v>-204.13825000000003</v>
      </c>
      <c r="AC14" s="39">
        <f t="shared" si="12"/>
        <v>-1705.6192500000002</v>
      </c>
      <c r="AD14" s="40"/>
      <c r="AE14" s="41"/>
      <c r="AF14" s="41"/>
      <c r="AG14" s="42"/>
      <c r="AH14" s="43"/>
      <c r="AI14" s="43"/>
      <c r="AJ14" s="44"/>
      <c r="AK14" s="44"/>
    </row>
    <row r="15" spans="1:37" ht="37.5" customHeight="1">
      <c r="A15" s="25"/>
      <c r="B15" s="25" t="s">
        <v>80</v>
      </c>
      <c r="C15" s="26" t="s">
        <v>39</v>
      </c>
      <c r="D15" s="72">
        <v>7</v>
      </c>
      <c r="E15" s="72">
        <v>10</v>
      </c>
      <c r="F15" s="72">
        <v>5</v>
      </c>
      <c r="G15" s="69">
        <f t="shared" si="0"/>
        <v>350</v>
      </c>
      <c r="H15" s="70">
        <f t="shared" si="1"/>
        <v>3.5E-4</v>
      </c>
      <c r="I15" s="29">
        <f t="shared" si="2"/>
        <v>2857.1428571428573</v>
      </c>
      <c r="J15" s="30">
        <f t="shared" si="3"/>
        <v>2.7999999999999997E-2</v>
      </c>
      <c r="K15" s="31">
        <f t="shared" si="4"/>
        <v>9.4499999999999993</v>
      </c>
      <c r="L15" s="31">
        <f t="shared" si="5"/>
        <v>48.22999999999999</v>
      </c>
      <c r="M15" s="32">
        <f t="shared" si="6"/>
        <v>5.2135046763817292E-2</v>
      </c>
      <c r="N15" s="33"/>
      <c r="O15" s="32">
        <f t="shared" ca="1" si="7"/>
        <v>0</v>
      </c>
      <c r="P15" s="34">
        <v>5</v>
      </c>
      <c r="Q15" s="34">
        <f t="shared" si="8"/>
        <v>5.75</v>
      </c>
      <c r="R15" s="35">
        <f t="shared" si="9"/>
        <v>1106.3575000000001</v>
      </c>
      <c r="S15" s="73">
        <v>0</v>
      </c>
      <c r="T15" s="35">
        <f t="shared" si="10"/>
        <v>57.679999999999993</v>
      </c>
      <c r="U15" s="35">
        <f t="shared" si="13"/>
        <v>1164.0375000000001</v>
      </c>
      <c r="V15" s="35">
        <v>14900</v>
      </c>
      <c r="W15" s="36">
        <v>8.1299999999999997E-2</v>
      </c>
      <c r="X15" s="71"/>
      <c r="Y15" s="35">
        <f>2827+N15</f>
        <v>2827</v>
      </c>
      <c r="Z15" s="38">
        <f>W15+(Y15/V15)</f>
        <v>0.2710315436241611</v>
      </c>
      <c r="AA15" s="39">
        <f>V15*Z15</f>
        <v>4038.3700000000003</v>
      </c>
      <c r="AB15" s="39">
        <f t="shared" si="11"/>
        <v>833.35970454545452</v>
      </c>
      <c r="AC15" s="39">
        <f t="shared" si="12"/>
        <v>8864.2327954545453</v>
      </c>
      <c r="AD15" s="40">
        <f>AC15/V15</f>
        <v>0.59491495271507011</v>
      </c>
      <c r="AE15" s="41"/>
      <c r="AF15" s="41"/>
      <c r="AG15" s="42"/>
      <c r="AH15" s="43"/>
      <c r="AI15" s="43"/>
      <c r="AJ15" s="44"/>
      <c r="AK15" s="44"/>
    </row>
    <row r="16" spans="1:37" ht="37.5" customHeight="1">
      <c r="A16" s="25"/>
      <c r="B16" s="37" t="s">
        <v>81</v>
      </c>
      <c r="C16" s="26" t="s">
        <v>39</v>
      </c>
      <c r="D16" s="72">
        <v>3</v>
      </c>
      <c r="E16" s="72">
        <v>8</v>
      </c>
      <c r="F16" s="72">
        <v>3</v>
      </c>
      <c r="G16" s="74">
        <v>72</v>
      </c>
      <c r="H16" s="70">
        <v>7.2000000000000002E-5</v>
      </c>
      <c r="I16" s="75">
        <v>13888.888888888889</v>
      </c>
      <c r="J16" s="76">
        <v>5.7600000000000004E-3</v>
      </c>
      <c r="K16" s="77">
        <v>1.944</v>
      </c>
      <c r="L16" s="77">
        <v>9.9216000000000015</v>
      </c>
      <c r="M16" s="32">
        <v>1.9523526527365704E-3</v>
      </c>
      <c r="N16" s="32"/>
      <c r="O16" s="32"/>
      <c r="P16" s="34">
        <v>4.5</v>
      </c>
      <c r="Q16" s="34">
        <f t="shared" si="8"/>
        <v>5.1749999999999998</v>
      </c>
      <c r="R16" s="35">
        <f t="shared" si="9"/>
        <v>995.72174999999993</v>
      </c>
      <c r="S16" s="73">
        <v>0</v>
      </c>
      <c r="T16" s="35">
        <f t="shared" si="10"/>
        <v>11.865600000000001</v>
      </c>
      <c r="U16" s="35">
        <f t="shared" si="13"/>
        <v>1007.5873499999999</v>
      </c>
      <c r="V16" s="35"/>
      <c r="W16" s="36">
        <v>8.1299999999999997E-2</v>
      </c>
      <c r="X16" s="71"/>
      <c r="Y16" s="35"/>
      <c r="Z16" s="38"/>
      <c r="AA16" s="39"/>
      <c r="AB16" s="39"/>
      <c r="AC16" s="39"/>
      <c r="AD16" s="40"/>
      <c r="AE16" s="41"/>
      <c r="AF16" s="41"/>
      <c r="AG16" s="42"/>
      <c r="AH16" s="43"/>
      <c r="AI16" s="43"/>
      <c r="AJ16" s="44"/>
      <c r="AK16" s="44"/>
    </row>
    <row r="17" spans="1:37" ht="37.5" customHeight="1">
      <c r="A17" s="25">
        <v>9160468624</v>
      </c>
      <c r="B17" s="37" t="s">
        <v>82</v>
      </c>
      <c r="C17" s="26" t="s">
        <v>39</v>
      </c>
      <c r="D17" s="72">
        <v>5</v>
      </c>
      <c r="E17" s="72">
        <v>10</v>
      </c>
      <c r="F17" s="72">
        <v>6</v>
      </c>
      <c r="G17" s="69">
        <f t="shared" ref="G17:G25" si="14">PRODUCT(D17*E17*F17)</f>
        <v>300</v>
      </c>
      <c r="H17" s="70">
        <f t="shared" ref="H17:H25" si="15">G17/1000000</f>
        <v>2.9999999999999997E-4</v>
      </c>
      <c r="I17" s="29">
        <f t="shared" ref="I17:I25" si="16">1/H17</f>
        <v>3333.3333333333335</v>
      </c>
      <c r="J17" s="30">
        <f t="shared" ref="J17:J25" si="17">80/I17</f>
        <v>2.4E-2</v>
      </c>
      <c r="K17" s="31">
        <f t="shared" ref="K17:K25" si="18">27000/I17</f>
        <v>8.1</v>
      </c>
      <c r="L17" s="31">
        <f t="shared" ref="L17:L24" si="19">(J17*$AF$4)+K17</f>
        <v>41.34</v>
      </c>
      <c r="M17" s="32">
        <f t="shared" ref="M17:M25" si="20">T17/R17</f>
        <v>1.1759784984319694E-2</v>
      </c>
      <c r="N17" s="32"/>
      <c r="O17" s="32">
        <v>2.1000000000000001E-2</v>
      </c>
      <c r="P17" s="34">
        <v>19</v>
      </c>
      <c r="Q17" s="34">
        <f t="shared" si="8"/>
        <v>21.849999999999998</v>
      </c>
      <c r="R17" s="35">
        <f t="shared" si="9"/>
        <v>4204.1584999999995</v>
      </c>
      <c r="S17" s="73">
        <v>0</v>
      </c>
      <c r="T17" s="35">
        <f t="shared" si="10"/>
        <v>49.440000000000005</v>
      </c>
      <c r="U17" s="35">
        <f t="shared" si="13"/>
        <v>4253.5984999999991</v>
      </c>
      <c r="V17" s="73">
        <v>29000</v>
      </c>
      <c r="W17" s="36">
        <v>8.1299999999999997E-2</v>
      </c>
      <c r="X17" s="71"/>
      <c r="Y17" s="35">
        <f>N17+2827</f>
        <v>2827</v>
      </c>
      <c r="Z17" s="38">
        <f t="shared" ref="Z17:Z25" si="21">W17+(Y17/V17)</f>
        <v>0.17878275862068965</v>
      </c>
      <c r="AA17" s="39">
        <f t="shared" ref="AA17:AA25" si="22">V17*Z17</f>
        <v>5184.7</v>
      </c>
      <c r="AB17" s="39">
        <f t="shared" ref="AB17:AB25" si="23">(V17)/1.1*10%-(U17+AA17+K17+S17)*10%</f>
        <v>1691.723786363636</v>
      </c>
      <c r="AC17" s="39">
        <f t="shared" ref="AC17:AC25" si="24">V17-(U17+AA17+AB17)</f>
        <v>17869.977713636363</v>
      </c>
      <c r="AD17" s="40">
        <f t="shared" ref="AD17:AD25" si="25">AC17/V17</f>
        <v>0.61620612805642627</v>
      </c>
      <c r="AE17" s="41"/>
      <c r="AF17" s="41"/>
      <c r="AG17" s="42"/>
      <c r="AH17" s="43"/>
      <c r="AI17" s="43"/>
      <c r="AJ17" s="44"/>
      <c r="AK17" s="44"/>
    </row>
    <row r="18" spans="1:37" ht="37.5" customHeight="1">
      <c r="A18" s="25">
        <v>9489814582</v>
      </c>
      <c r="B18" s="37" t="s">
        <v>83</v>
      </c>
      <c r="C18" s="26" t="s">
        <v>39</v>
      </c>
      <c r="D18" s="72">
        <v>5</v>
      </c>
      <c r="E18" s="72">
        <v>10</v>
      </c>
      <c r="F18" s="72">
        <v>6</v>
      </c>
      <c r="G18" s="69">
        <f t="shared" si="14"/>
        <v>300</v>
      </c>
      <c r="H18" s="70">
        <f t="shared" si="15"/>
        <v>2.9999999999999997E-4</v>
      </c>
      <c r="I18" s="29">
        <f t="shared" si="16"/>
        <v>3333.3333333333335</v>
      </c>
      <c r="J18" s="30">
        <f t="shared" si="17"/>
        <v>2.4E-2</v>
      </c>
      <c r="K18" s="31">
        <f t="shared" si="18"/>
        <v>8.1</v>
      </c>
      <c r="L18" s="31">
        <f t="shared" si="19"/>
        <v>41.34</v>
      </c>
      <c r="M18" s="32">
        <f t="shared" si="20"/>
        <v>8.5936890270028529E-3</v>
      </c>
      <c r="N18" s="32"/>
      <c r="O18" s="32">
        <v>2.1000000000000001E-2</v>
      </c>
      <c r="P18" s="34">
        <v>26</v>
      </c>
      <c r="Q18" s="34">
        <f t="shared" si="8"/>
        <v>29.9</v>
      </c>
      <c r="R18" s="35">
        <f t="shared" si="9"/>
        <v>5753.0589999999993</v>
      </c>
      <c r="S18" s="73">
        <v>0</v>
      </c>
      <c r="T18" s="35">
        <f t="shared" si="10"/>
        <v>49.440000000000005</v>
      </c>
      <c r="U18" s="35">
        <f t="shared" si="13"/>
        <v>5802.4989999999989</v>
      </c>
      <c r="V18" s="73">
        <v>39000</v>
      </c>
      <c r="W18" s="36">
        <v>8.1299999999999997E-2</v>
      </c>
      <c r="X18" s="71"/>
      <c r="Y18" s="35">
        <f t="shared" ref="Y18:Y19" si="26">2827+N18</f>
        <v>2827</v>
      </c>
      <c r="Z18" s="38">
        <f t="shared" si="21"/>
        <v>0.15378717948717949</v>
      </c>
      <c r="AA18" s="39">
        <f t="shared" si="22"/>
        <v>5997.7</v>
      </c>
      <c r="AB18" s="39">
        <f t="shared" si="23"/>
        <v>2364.6246454545453</v>
      </c>
      <c r="AC18" s="39">
        <f t="shared" si="24"/>
        <v>24835.176354545456</v>
      </c>
      <c r="AD18" s="40">
        <f t="shared" si="25"/>
        <v>0.63679939370629379</v>
      </c>
      <c r="AE18" s="41"/>
      <c r="AF18" s="41"/>
      <c r="AG18" s="42"/>
      <c r="AH18" s="43"/>
      <c r="AI18" s="43"/>
      <c r="AJ18" s="44"/>
      <c r="AK18" s="44"/>
    </row>
    <row r="19" spans="1:37" ht="37.5" customHeight="1">
      <c r="A19" s="25">
        <v>9489836034</v>
      </c>
      <c r="B19" s="37" t="s">
        <v>84</v>
      </c>
      <c r="C19" s="26" t="s">
        <v>39</v>
      </c>
      <c r="D19" s="72">
        <v>5</v>
      </c>
      <c r="E19" s="72">
        <v>10</v>
      </c>
      <c r="F19" s="72">
        <v>6</v>
      </c>
      <c r="G19" s="69">
        <f t="shared" si="14"/>
        <v>300</v>
      </c>
      <c r="H19" s="70">
        <f t="shared" si="15"/>
        <v>2.9999999999999997E-4</v>
      </c>
      <c r="I19" s="29">
        <f t="shared" si="16"/>
        <v>3333.3333333333335</v>
      </c>
      <c r="J19" s="30">
        <f t="shared" si="17"/>
        <v>2.4E-2</v>
      </c>
      <c r="K19" s="31">
        <f t="shared" si="18"/>
        <v>8.1</v>
      </c>
      <c r="L19" s="31">
        <f t="shared" si="19"/>
        <v>41.34</v>
      </c>
      <c r="M19" s="32">
        <f t="shared" si="20"/>
        <v>5.196184062838935E-3</v>
      </c>
      <c r="N19" s="32"/>
      <c r="O19" s="32">
        <v>2.1000000000000001E-2</v>
      </c>
      <c r="P19" s="34">
        <v>43</v>
      </c>
      <c r="Q19" s="34">
        <f t="shared" si="8"/>
        <v>49.449999999999996</v>
      </c>
      <c r="R19" s="35">
        <f t="shared" si="9"/>
        <v>9514.6744999999992</v>
      </c>
      <c r="S19" s="73">
        <v>0</v>
      </c>
      <c r="T19" s="35">
        <f t="shared" si="10"/>
        <v>49.440000000000005</v>
      </c>
      <c r="U19" s="35">
        <f t="shared" si="13"/>
        <v>9564.1144999999997</v>
      </c>
      <c r="V19" s="73">
        <v>56900</v>
      </c>
      <c r="W19" s="36">
        <v>8.1299999999999997E-2</v>
      </c>
      <c r="X19" s="71"/>
      <c r="Y19" s="35">
        <f t="shared" si="26"/>
        <v>2827</v>
      </c>
      <c r="Z19" s="38">
        <f t="shared" si="21"/>
        <v>0.13098365553602812</v>
      </c>
      <c r="AA19" s="39">
        <f t="shared" si="22"/>
        <v>7452.9699999999993</v>
      </c>
      <c r="AB19" s="39">
        <f t="shared" si="23"/>
        <v>3470.2088227272725</v>
      </c>
      <c r="AC19" s="39">
        <f t="shared" si="24"/>
        <v>36412.706677272727</v>
      </c>
      <c r="AD19" s="40">
        <f t="shared" si="25"/>
        <v>0.63994212086595303</v>
      </c>
      <c r="AE19" s="41"/>
      <c r="AF19" s="41"/>
      <c r="AG19" s="42"/>
      <c r="AH19" s="43"/>
      <c r="AI19" s="43"/>
      <c r="AJ19" s="44"/>
      <c r="AK19" s="44"/>
    </row>
    <row r="20" spans="1:37" ht="37.5" customHeight="1">
      <c r="A20" s="25">
        <v>11314918765</v>
      </c>
      <c r="B20" s="25" t="s">
        <v>85</v>
      </c>
      <c r="C20" s="26" t="s">
        <v>39</v>
      </c>
      <c r="D20" s="27">
        <v>35</v>
      </c>
      <c r="E20" s="27">
        <v>44</v>
      </c>
      <c r="F20" s="27">
        <v>13</v>
      </c>
      <c r="G20" s="69">
        <f t="shared" si="14"/>
        <v>20020</v>
      </c>
      <c r="H20" s="70">
        <f t="shared" si="15"/>
        <v>2.002E-2</v>
      </c>
      <c r="I20" s="29">
        <f t="shared" si="16"/>
        <v>49.950049950049952</v>
      </c>
      <c r="J20" s="30">
        <f t="shared" si="17"/>
        <v>1.6015999999999999</v>
      </c>
      <c r="K20" s="31">
        <f t="shared" si="18"/>
        <v>540.54</v>
      </c>
      <c r="L20" s="31">
        <f t="shared" si="19"/>
        <v>2758.7559999999999</v>
      </c>
      <c r="M20" s="32">
        <f t="shared" si="20"/>
        <v>9.3191396090323411E-2</v>
      </c>
      <c r="N20" s="33">
        <v>1078</v>
      </c>
      <c r="O20" s="32">
        <v>0.08</v>
      </c>
      <c r="P20" s="34">
        <v>160</v>
      </c>
      <c r="Q20" s="34">
        <f t="shared" si="8"/>
        <v>184</v>
      </c>
      <c r="R20" s="35">
        <f t="shared" si="9"/>
        <v>35403.440000000002</v>
      </c>
      <c r="S20" s="35">
        <f t="shared" ref="S20:S25" si="27">R20*O20</f>
        <v>2832.2752</v>
      </c>
      <c r="T20" s="35">
        <f t="shared" si="10"/>
        <v>3299.2959999999998</v>
      </c>
      <c r="U20" s="35">
        <f t="shared" si="13"/>
        <v>41535.011200000008</v>
      </c>
      <c r="V20" s="35">
        <v>99000</v>
      </c>
      <c r="W20" s="36">
        <v>8.1299999999999997E-2</v>
      </c>
      <c r="X20" s="71"/>
      <c r="Y20" s="35">
        <f t="shared" ref="Y20:Y22" si="28">3443+N20</f>
        <v>4521</v>
      </c>
      <c r="Z20" s="38">
        <f t="shared" si="21"/>
        <v>0.12696666666666667</v>
      </c>
      <c r="AA20" s="39">
        <f t="shared" si="22"/>
        <v>12569.7</v>
      </c>
      <c r="AB20" s="39">
        <f t="shared" si="23"/>
        <v>3252.2473599999994</v>
      </c>
      <c r="AC20" s="39">
        <f t="shared" si="24"/>
        <v>41643.041439999994</v>
      </c>
      <c r="AD20" s="40">
        <f t="shared" si="25"/>
        <v>0.42063678222222217</v>
      </c>
      <c r="AE20" s="41"/>
      <c r="AF20" s="41"/>
      <c r="AG20" s="42"/>
      <c r="AH20" s="43"/>
      <c r="AI20" s="43"/>
      <c r="AJ20" s="44"/>
      <c r="AK20" s="44"/>
    </row>
    <row r="21" spans="1:37" ht="37.5" customHeight="1">
      <c r="A21" s="25">
        <v>11174612423</v>
      </c>
      <c r="B21" s="25" t="s">
        <v>86</v>
      </c>
      <c r="C21" s="26" t="s">
        <v>39</v>
      </c>
      <c r="D21" s="27">
        <v>29</v>
      </c>
      <c r="E21" s="27">
        <v>40</v>
      </c>
      <c r="F21" s="27">
        <v>19</v>
      </c>
      <c r="G21" s="69">
        <f t="shared" si="14"/>
        <v>22040</v>
      </c>
      <c r="H21" s="70">
        <f t="shared" si="15"/>
        <v>2.2040000000000001E-2</v>
      </c>
      <c r="I21" s="29">
        <f t="shared" si="16"/>
        <v>45.372050816696913</v>
      </c>
      <c r="J21" s="30">
        <f t="shared" si="17"/>
        <v>1.7632000000000001</v>
      </c>
      <c r="K21" s="31">
        <f t="shared" si="18"/>
        <v>595.08000000000004</v>
      </c>
      <c r="L21" s="31">
        <f t="shared" si="19"/>
        <v>3037.1120000000001</v>
      </c>
      <c r="M21" s="32">
        <f t="shared" si="20"/>
        <v>0.12250068557297798</v>
      </c>
      <c r="N21" s="33">
        <v>561</v>
      </c>
      <c r="O21" s="32">
        <v>0.08</v>
      </c>
      <c r="P21" s="34">
        <v>134</v>
      </c>
      <c r="Q21" s="34">
        <f t="shared" si="8"/>
        <v>154.1</v>
      </c>
      <c r="R21" s="35">
        <f t="shared" si="9"/>
        <v>29650.380999999998</v>
      </c>
      <c r="S21" s="35">
        <f t="shared" si="27"/>
        <v>2372.0304799999999</v>
      </c>
      <c r="T21" s="35">
        <f t="shared" si="10"/>
        <v>3632.192</v>
      </c>
      <c r="U21" s="35">
        <f>R21+S21+T21+U17</f>
        <v>39908.201979999998</v>
      </c>
      <c r="V21" s="35">
        <v>86800</v>
      </c>
      <c r="W21" s="36">
        <v>8.1299999999999997E-2</v>
      </c>
      <c r="X21" s="71"/>
      <c r="Y21" s="35">
        <f t="shared" si="28"/>
        <v>4004</v>
      </c>
      <c r="Z21" s="38">
        <f t="shared" si="21"/>
        <v>0.12742903225806451</v>
      </c>
      <c r="AA21" s="39">
        <f t="shared" si="22"/>
        <v>11060.84</v>
      </c>
      <c r="AB21" s="39">
        <f t="shared" si="23"/>
        <v>2497.2938449090898</v>
      </c>
      <c r="AC21" s="39">
        <f t="shared" si="24"/>
        <v>33333.664175090918</v>
      </c>
      <c r="AD21" s="40">
        <f t="shared" si="25"/>
        <v>0.38402838911395065</v>
      </c>
      <c r="AE21" s="41"/>
      <c r="AF21" s="41"/>
      <c r="AG21" s="45"/>
      <c r="AH21" s="43"/>
      <c r="AI21" s="43"/>
      <c r="AJ21" s="44"/>
      <c r="AK21" s="44"/>
    </row>
    <row r="22" spans="1:37" ht="37.5" customHeight="1">
      <c r="A22" s="25">
        <v>9455030267</v>
      </c>
      <c r="B22" s="25" t="s">
        <v>87</v>
      </c>
      <c r="C22" s="26" t="s">
        <v>39</v>
      </c>
      <c r="D22" s="27">
        <v>32</v>
      </c>
      <c r="E22" s="27">
        <v>40</v>
      </c>
      <c r="F22" s="27">
        <v>8</v>
      </c>
      <c r="G22" s="69">
        <f t="shared" si="14"/>
        <v>10240</v>
      </c>
      <c r="H22" s="70">
        <f t="shared" si="15"/>
        <v>1.0240000000000001E-2</v>
      </c>
      <c r="I22" s="29">
        <f t="shared" si="16"/>
        <v>97.656249999999986</v>
      </c>
      <c r="J22" s="30">
        <f t="shared" si="17"/>
        <v>0.81920000000000015</v>
      </c>
      <c r="K22" s="31">
        <f t="shared" si="18"/>
        <v>276.48</v>
      </c>
      <c r="L22" s="31">
        <f t="shared" si="19"/>
        <v>1411.0720000000001</v>
      </c>
      <c r="M22" s="32">
        <f t="shared" si="20"/>
        <v>7.3332813030424354E-2</v>
      </c>
      <c r="N22" s="33">
        <v>561</v>
      </c>
      <c r="O22" s="32">
        <v>0.08</v>
      </c>
      <c r="P22" s="34">
        <v>104</v>
      </c>
      <c r="Q22" s="34">
        <f t="shared" si="8"/>
        <v>119.6</v>
      </c>
      <c r="R22" s="35">
        <f t="shared" si="9"/>
        <v>23012.235999999997</v>
      </c>
      <c r="S22" s="35">
        <f t="shared" si="27"/>
        <v>1840.9788799999999</v>
      </c>
      <c r="T22" s="35">
        <f t="shared" si="10"/>
        <v>1687.5520000000001</v>
      </c>
      <c r="U22" s="35">
        <f>R22+S22+T22+공용!V24</f>
        <v>40978.622879999995</v>
      </c>
      <c r="V22" s="35">
        <v>79800</v>
      </c>
      <c r="W22" s="36">
        <v>8.1299999999999997E-2</v>
      </c>
      <c r="X22" s="71"/>
      <c r="Y22" s="35">
        <f t="shared" si="28"/>
        <v>4004</v>
      </c>
      <c r="Z22" s="38">
        <f t="shared" si="21"/>
        <v>0.13147543859649122</v>
      </c>
      <c r="AA22" s="39">
        <f t="shared" si="22"/>
        <v>10491.74</v>
      </c>
      <c r="AB22" s="39">
        <f t="shared" si="23"/>
        <v>1895.7632785454543</v>
      </c>
      <c r="AC22" s="39">
        <f t="shared" si="24"/>
        <v>26433.873841454551</v>
      </c>
      <c r="AD22" s="40">
        <f t="shared" si="25"/>
        <v>0.33125155189792671</v>
      </c>
      <c r="AE22" s="41"/>
      <c r="AF22" s="41"/>
      <c r="AG22" s="45"/>
      <c r="AH22" s="43"/>
      <c r="AI22" s="43"/>
      <c r="AJ22" s="44"/>
      <c r="AK22" s="44"/>
    </row>
    <row r="23" spans="1:37" ht="37.5" customHeight="1">
      <c r="A23" s="25">
        <v>10592182445</v>
      </c>
      <c r="B23" s="25" t="s">
        <v>88</v>
      </c>
      <c r="C23" s="26" t="s">
        <v>39</v>
      </c>
      <c r="D23" s="27">
        <v>21</v>
      </c>
      <c r="E23" s="27">
        <v>22</v>
      </c>
      <c r="F23" s="27">
        <v>8</v>
      </c>
      <c r="G23" s="69">
        <f t="shared" si="14"/>
        <v>3696</v>
      </c>
      <c r="H23" s="70">
        <f t="shared" si="15"/>
        <v>3.6960000000000001E-3</v>
      </c>
      <c r="I23" s="29">
        <f t="shared" si="16"/>
        <v>270.56277056277054</v>
      </c>
      <c r="J23" s="30">
        <f t="shared" si="17"/>
        <v>0.29568000000000005</v>
      </c>
      <c r="K23" s="31">
        <f t="shared" si="18"/>
        <v>99.792000000000016</v>
      </c>
      <c r="L23" s="31">
        <f t="shared" si="19"/>
        <v>509.30880000000013</v>
      </c>
      <c r="M23" s="32">
        <f t="shared" si="20"/>
        <v>3.6703072921727392E-2</v>
      </c>
      <c r="N23" s="33">
        <v>286</v>
      </c>
      <c r="O23" s="32">
        <v>0.08</v>
      </c>
      <c r="P23" s="34">
        <v>75</v>
      </c>
      <c r="Q23" s="34">
        <f t="shared" si="8"/>
        <v>86.25</v>
      </c>
      <c r="R23" s="35">
        <f t="shared" si="9"/>
        <v>16595.362499999999</v>
      </c>
      <c r="S23" s="35">
        <f t="shared" si="27"/>
        <v>1327.6289999999999</v>
      </c>
      <c r="T23" s="35">
        <f t="shared" si="10"/>
        <v>609.10080000000016</v>
      </c>
      <c r="U23" s="35">
        <f t="shared" ref="U23:U25" si="29">R23+S23+T23</f>
        <v>18532.0923</v>
      </c>
      <c r="V23" s="35">
        <v>53800</v>
      </c>
      <c r="W23" s="36">
        <v>8.1299999999999997E-2</v>
      </c>
      <c r="X23" s="71"/>
      <c r="Y23" s="35">
        <f t="shared" ref="Y23:Y25" si="30">2827+N23</f>
        <v>3113</v>
      </c>
      <c r="Z23" s="38">
        <f t="shared" si="21"/>
        <v>0.13916245353159851</v>
      </c>
      <c r="AA23" s="39">
        <f t="shared" si="22"/>
        <v>7486.94</v>
      </c>
      <c r="AB23" s="39">
        <f t="shared" si="23"/>
        <v>2146.2637609090907</v>
      </c>
      <c r="AC23" s="39">
        <f t="shared" si="24"/>
        <v>25634.703939090912</v>
      </c>
      <c r="AD23" s="40">
        <f t="shared" si="25"/>
        <v>0.47648148585670841</v>
      </c>
      <c r="AE23" s="41"/>
      <c r="AF23" s="41"/>
      <c r="AG23" s="45"/>
      <c r="AH23" s="43"/>
      <c r="AI23" s="43"/>
      <c r="AJ23" s="44"/>
      <c r="AK23" s="44"/>
    </row>
    <row r="24" spans="1:37" ht="37.5" customHeight="1">
      <c r="A24" s="25"/>
      <c r="B24" s="25" t="s">
        <v>89</v>
      </c>
      <c r="C24" s="26" t="s">
        <v>39</v>
      </c>
      <c r="D24" s="27">
        <v>21</v>
      </c>
      <c r="E24" s="27">
        <v>22</v>
      </c>
      <c r="F24" s="27">
        <v>8</v>
      </c>
      <c r="G24" s="69">
        <f t="shared" si="14"/>
        <v>3696</v>
      </c>
      <c r="H24" s="70">
        <f t="shared" si="15"/>
        <v>3.6960000000000001E-3</v>
      </c>
      <c r="I24" s="29">
        <f t="shared" si="16"/>
        <v>270.56277056277054</v>
      </c>
      <c r="J24" s="30">
        <f t="shared" si="17"/>
        <v>0.29568000000000005</v>
      </c>
      <c r="K24" s="31">
        <f t="shared" si="18"/>
        <v>99.792000000000016</v>
      </c>
      <c r="L24" s="31">
        <f t="shared" si="19"/>
        <v>509.30880000000013</v>
      </c>
      <c r="M24" s="32">
        <f t="shared" si="20"/>
        <v>7.864944197513013E-2</v>
      </c>
      <c r="N24" s="33"/>
      <c r="O24" s="32">
        <v>0.08</v>
      </c>
      <c r="P24" s="34">
        <v>35</v>
      </c>
      <c r="Q24" s="34">
        <f t="shared" si="8"/>
        <v>40.25</v>
      </c>
      <c r="R24" s="35">
        <f t="shared" si="9"/>
        <v>7744.5024999999996</v>
      </c>
      <c r="S24" s="35">
        <f t="shared" si="27"/>
        <v>619.56020000000001</v>
      </c>
      <c r="T24" s="35">
        <f t="shared" si="10"/>
        <v>609.10080000000016</v>
      </c>
      <c r="U24" s="35">
        <f t="shared" si="29"/>
        <v>8973.1635000000006</v>
      </c>
      <c r="V24" s="35">
        <v>44900</v>
      </c>
      <c r="W24" s="36">
        <v>8.1299999999999997E-2</v>
      </c>
      <c r="X24" s="71"/>
      <c r="Y24" s="35">
        <f t="shared" si="30"/>
        <v>2827</v>
      </c>
      <c r="Z24" s="38">
        <f t="shared" si="21"/>
        <v>0.14426213808463251</v>
      </c>
      <c r="AA24" s="39">
        <f t="shared" si="22"/>
        <v>6477.37</v>
      </c>
      <c r="AB24" s="39">
        <f t="shared" si="23"/>
        <v>2464.8296118181815</v>
      </c>
      <c r="AC24" s="39">
        <f t="shared" si="24"/>
        <v>26984.636888181816</v>
      </c>
      <c r="AD24" s="40">
        <f t="shared" si="25"/>
        <v>0.60099414004859275</v>
      </c>
      <c r="AE24" s="41"/>
      <c r="AF24" s="41"/>
      <c r="AG24" s="45"/>
      <c r="AH24" s="43"/>
      <c r="AI24" s="43"/>
      <c r="AJ24" s="44"/>
      <c r="AK24" s="44"/>
    </row>
    <row r="25" spans="1:37" ht="37.5" customHeight="1">
      <c r="A25" s="25"/>
      <c r="B25" s="25" t="s">
        <v>90</v>
      </c>
      <c r="C25" s="78" t="s">
        <v>39</v>
      </c>
      <c r="D25" s="79">
        <v>25</v>
      </c>
      <c r="E25" s="79">
        <v>49</v>
      </c>
      <c r="F25" s="79">
        <v>25</v>
      </c>
      <c r="G25" s="80">
        <f t="shared" si="14"/>
        <v>30625</v>
      </c>
      <c r="H25" s="81">
        <f t="shared" si="15"/>
        <v>3.0624999999999999E-2</v>
      </c>
      <c r="I25" s="82">
        <f t="shared" si="16"/>
        <v>32.653061224489797</v>
      </c>
      <c r="J25" s="83">
        <f t="shared" si="17"/>
        <v>2.4499999999999997</v>
      </c>
      <c r="K25" s="84">
        <f t="shared" si="18"/>
        <v>826.875</v>
      </c>
      <c r="L25" s="84">
        <f>(J25*$AG$4)+K25</f>
        <v>826.875</v>
      </c>
      <c r="M25" s="32">
        <f t="shared" si="20"/>
        <v>8.5415428557224948E-2</v>
      </c>
      <c r="N25" s="33">
        <v>1144</v>
      </c>
      <c r="O25" s="32">
        <f ca="1">SUMIF($AE$6:$AG$34,$A25,$AG$6:$AG$34)</f>
        <v>0</v>
      </c>
      <c r="P25" s="34">
        <v>87.5</v>
      </c>
      <c r="Q25" s="34">
        <f t="shared" si="8"/>
        <v>100.62499999999999</v>
      </c>
      <c r="R25" s="35">
        <f t="shared" si="9"/>
        <v>19361.256249999999</v>
      </c>
      <c r="S25" s="35">
        <f t="shared" ca="1" si="27"/>
        <v>0</v>
      </c>
      <c r="T25" s="35">
        <f t="shared" si="10"/>
        <v>1653.75</v>
      </c>
      <c r="U25" s="35">
        <f t="shared" ca="1" si="29"/>
        <v>21015.006249999999</v>
      </c>
      <c r="V25" s="85">
        <v>84800</v>
      </c>
      <c r="W25" s="36">
        <v>8.1299999999999997E-2</v>
      </c>
      <c r="X25" s="86"/>
      <c r="Y25" s="35">
        <f t="shared" si="30"/>
        <v>3971</v>
      </c>
      <c r="Z25" s="38">
        <f t="shared" si="21"/>
        <v>0.12812783018867924</v>
      </c>
      <c r="AA25" s="39">
        <f t="shared" si="22"/>
        <v>10865.24</v>
      </c>
      <c r="AB25" s="39">
        <f t="shared" ca="1" si="23"/>
        <v>4438.378784090909</v>
      </c>
      <c r="AC25" s="39">
        <f t="shared" ca="1" si="24"/>
        <v>48481.374965909097</v>
      </c>
      <c r="AD25" s="40">
        <f t="shared" ca="1" si="25"/>
        <v>0.5717143274281733</v>
      </c>
      <c r="AE25" s="87"/>
      <c r="AF25" s="41"/>
      <c r="AG25" s="45"/>
      <c r="AH25" s="43"/>
      <c r="AI25" s="43"/>
      <c r="AJ25" s="44"/>
      <c r="AK25" s="44"/>
    </row>
    <row r="26" spans="1:37" ht="37.5" customHeight="1">
      <c r="A26" s="25"/>
      <c r="B26" s="25"/>
      <c r="C26" s="26"/>
      <c r="D26" s="27"/>
      <c r="E26" s="27"/>
      <c r="F26" s="27"/>
      <c r="G26" s="69"/>
      <c r="H26" s="70"/>
      <c r="I26" s="29"/>
      <c r="J26" s="30"/>
      <c r="K26" s="31"/>
      <c r="L26" s="31"/>
      <c r="M26" s="32"/>
      <c r="N26" s="33"/>
      <c r="O26" s="32"/>
      <c r="P26" s="34"/>
      <c r="Q26" s="34"/>
      <c r="R26" s="35"/>
      <c r="S26" s="25"/>
      <c r="T26" s="35"/>
      <c r="U26" s="35"/>
      <c r="V26" s="35"/>
      <c r="W26" s="36"/>
      <c r="X26" s="71"/>
      <c r="Y26" s="35"/>
      <c r="Z26" s="38"/>
      <c r="AA26" s="39"/>
      <c r="AB26" s="39"/>
      <c r="AC26" s="39"/>
      <c r="AD26" s="40"/>
      <c r="AE26" s="41"/>
      <c r="AF26" s="41"/>
      <c r="AG26" s="45"/>
      <c r="AH26" s="43"/>
      <c r="AI26" s="43"/>
      <c r="AJ26" s="44"/>
      <c r="AK26" s="44"/>
    </row>
    <row r="27" spans="1:37" ht="37.5" customHeight="1">
      <c r="A27" s="25"/>
      <c r="B27" s="25"/>
      <c r="C27" s="26"/>
      <c r="D27" s="27"/>
      <c r="E27" s="27"/>
      <c r="F27" s="27"/>
      <c r="G27" s="69"/>
      <c r="H27" s="70"/>
      <c r="I27" s="29"/>
      <c r="J27" s="30"/>
      <c r="K27" s="31"/>
      <c r="L27" s="31"/>
      <c r="M27" s="32"/>
      <c r="N27" s="33"/>
      <c r="O27" s="32"/>
      <c r="P27" s="34"/>
      <c r="Q27" s="34"/>
      <c r="R27" s="35"/>
      <c r="S27" s="25"/>
      <c r="T27" s="35"/>
      <c r="U27" s="35"/>
      <c r="V27" s="35"/>
      <c r="W27" s="36"/>
      <c r="X27" s="71"/>
      <c r="Y27" s="35"/>
      <c r="Z27" s="38"/>
      <c r="AA27" s="39"/>
      <c r="AB27" s="39"/>
      <c r="AC27" s="39"/>
      <c r="AD27" s="40"/>
      <c r="AE27" s="41"/>
      <c r="AF27" s="41"/>
      <c r="AG27" s="45"/>
      <c r="AH27" s="43"/>
      <c r="AI27" s="43"/>
      <c r="AJ27" s="44"/>
      <c r="AK27" s="44"/>
    </row>
    <row r="28" spans="1:37" ht="37.5" customHeight="1">
      <c r="A28" s="25"/>
      <c r="B28" s="25"/>
      <c r="C28" s="26"/>
      <c r="D28" s="27"/>
      <c r="E28" s="27"/>
      <c r="F28" s="27"/>
      <c r="G28" s="69"/>
      <c r="H28" s="70"/>
      <c r="I28" s="29"/>
      <c r="J28" s="30"/>
      <c r="K28" s="31"/>
      <c r="L28" s="31"/>
      <c r="M28" s="32"/>
      <c r="N28" s="33"/>
      <c r="O28" s="32"/>
      <c r="P28" s="34"/>
      <c r="Q28" s="34"/>
      <c r="R28" s="35"/>
      <c r="S28" s="25"/>
      <c r="T28" s="35"/>
      <c r="U28" s="35"/>
      <c r="V28" s="35"/>
      <c r="W28" s="36"/>
      <c r="X28" s="71"/>
      <c r="Y28" s="35"/>
      <c r="Z28" s="38"/>
      <c r="AA28" s="39"/>
      <c r="AB28" s="39"/>
      <c r="AC28" s="39"/>
      <c r="AD28" s="40"/>
      <c r="AE28" s="41"/>
      <c r="AF28" s="41"/>
      <c r="AG28" s="45"/>
      <c r="AH28" s="43"/>
      <c r="AI28" s="43"/>
      <c r="AJ28" s="44"/>
      <c r="AK28" s="44"/>
    </row>
    <row r="29" spans="1:37" ht="37.5" customHeight="1">
      <c r="A29" s="25"/>
      <c r="B29" s="25"/>
      <c r="C29" s="26"/>
      <c r="D29" s="27"/>
      <c r="E29" s="27"/>
      <c r="F29" s="27"/>
      <c r="G29" s="69"/>
      <c r="H29" s="70"/>
      <c r="I29" s="29"/>
      <c r="J29" s="30"/>
      <c r="K29" s="31"/>
      <c r="L29" s="31"/>
      <c r="M29" s="32"/>
      <c r="N29" s="34"/>
      <c r="O29" s="32"/>
      <c r="P29" s="34"/>
      <c r="Q29" s="34"/>
      <c r="R29" s="35"/>
      <c r="S29" s="25"/>
      <c r="T29" s="35"/>
      <c r="U29" s="35"/>
      <c r="V29" s="35"/>
      <c r="W29" s="36"/>
      <c r="X29" s="71"/>
      <c r="Y29" s="35"/>
      <c r="Z29" s="38"/>
      <c r="AA29" s="39"/>
      <c r="AB29" s="39"/>
      <c r="AC29" s="39"/>
      <c r="AD29" s="40"/>
      <c r="AE29" s="41"/>
      <c r="AF29" s="41"/>
      <c r="AG29" s="45"/>
      <c r="AH29" s="43"/>
      <c r="AI29" s="43"/>
      <c r="AJ29" s="44"/>
      <c r="AK29" s="44"/>
    </row>
    <row r="30" spans="1:37" ht="37.5" customHeight="1">
      <c r="A30" s="25"/>
      <c r="B30" s="25"/>
      <c r="C30" s="26"/>
      <c r="D30" s="27"/>
      <c r="E30" s="27"/>
      <c r="F30" s="27"/>
      <c r="G30" s="69"/>
      <c r="H30" s="70"/>
      <c r="I30" s="29"/>
      <c r="J30" s="30"/>
      <c r="K30" s="31"/>
      <c r="L30" s="31"/>
      <c r="M30" s="32"/>
      <c r="N30" s="34"/>
      <c r="O30" s="32"/>
      <c r="P30" s="34"/>
      <c r="Q30" s="34"/>
      <c r="R30" s="35"/>
      <c r="S30" s="25"/>
      <c r="T30" s="35"/>
      <c r="U30" s="35"/>
      <c r="V30" s="35"/>
      <c r="W30" s="36"/>
      <c r="X30" s="71"/>
      <c r="Y30" s="35"/>
      <c r="Z30" s="38"/>
      <c r="AA30" s="39"/>
      <c r="AB30" s="39"/>
      <c r="AC30" s="39"/>
      <c r="AD30" s="40"/>
      <c r="AE30" s="41"/>
      <c r="AF30" s="41"/>
      <c r="AG30" s="45"/>
      <c r="AH30" s="43"/>
      <c r="AI30" s="43"/>
      <c r="AJ30" s="44"/>
      <c r="AK30" s="44"/>
    </row>
    <row r="31" spans="1:37" ht="37.5" customHeight="1">
      <c r="A31" s="25"/>
      <c r="B31" s="25"/>
      <c r="C31" s="26"/>
      <c r="D31" s="27"/>
      <c r="E31" s="27"/>
      <c r="F31" s="27"/>
      <c r="G31" s="69"/>
      <c r="H31" s="70"/>
      <c r="I31" s="29"/>
      <c r="J31" s="30"/>
      <c r="K31" s="31"/>
      <c r="L31" s="31"/>
      <c r="M31" s="32"/>
      <c r="N31" s="34"/>
      <c r="O31" s="32"/>
      <c r="P31" s="34"/>
      <c r="Q31" s="34"/>
      <c r="R31" s="35"/>
      <c r="S31" s="25"/>
      <c r="T31" s="35"/>
      <c r="U31" s="35"/>
      <c r="V31" s="35"/>
      <c r="W31" s="36"/>
      <c r="X31" s="71"/>
      <c r="Y31" s="35"/>
      <c r="Z31" s="38"/>
      <c r="AA31" s="39"/>
      <c r="AB31" s="39"/>
      <c r="AC31" s="39"/>
      <c r="AD31" s="40"/>
      <c r="AE31" s="41"/>
      <c r="AF31" s="41"/>
      <c r="AG31" s="45"/>
      <c r="AH31" s="43"/>
      <c r="AI31" s="43"/>
      <c r="AJ31" s="44"/>
      <c r="AK31" s="44"/>
    </row>
    <row r="32" spans="1:37" ht="37.5" customHeight="1">
      <c r="A32" s="25"/>
      <c r="B32" s="25"/>
      <c r="C32" s="26"/>
      <c r="D32" s="27"/>
      <c r="E32" s="27"/>
      <c r="F32" s="27"/>
      <c r="G32" s="69"/>
      <c r="H32" s="70"/>
      <c r="I32" s="29"/>
      <c r="J32" s="30"/>
      <c r="K32" s="31"/>
      <c r="L32" s="31"/>
      <c r="M32" s="32"/>
      <c r="N32" s="34"/>
      <c r="O32" s="32"/>
      <c r="P32" s="34"/>
      <c r="Q32" s="34"/>
      <c r="R32" s="35"/>
      <c r="S32" s="25"/>
      <c r="T32" s="35"/>
      <c r="U32" s="35"/>
      <c r="V32" s="35"/>
      <c r="W32" s="36"/>
      <c r="X32" s="71"/>
      <c r="Y32" s="35"/>
      <c r="Z32" s="38"/>
      <c r="AA32" s="39"/>
      <c r="AB32" s="39"/>
      <c r="AC32" s="39"/>
      <c r="AD32" s="40"/>
      <c r="AE32" s="41"/>
      <c r="AF32" s="41"/>
      <c r="AG32" s="45"/>
      <c r="AH32" s="43"/>
      <c r="AI32" s="43"/>
      <c r="AJ32" s="44"/>
      <c r="AK32" s="44"/>
    </row>
    <row r="33" spans="1:37" ht="37.5" customHeight="1">
      <c r="A33" s="25"/>
      <c r="B33" s="25"/>
      <c r="C33" s="26"/>
      <c r="D33" s="27"/>
      <c r="E33" s="27"/>
      <c r="F33" s="27"/>
      <c r="G33" s="69"/>
      <c r="H33" s="70"/>
      <c r="I33" s="29"/>
      <c r="J33" s="30"/>
      <c r="K33" s="31"/>
      <c r="L33" s="31"/>
      <c r="M33" s="32"/>
      <c r="N33" s="34"/>
      <c r="O33" s="32"/>
      <c r="P33" s="34"/>
      <c r="Q33" s="34"/>
      <c r="R33" s="35"/>
      <c r="S33" s="25"/>
      <c r="T33" s="35"/>
      <c r="U33" s="35"/>
      <c r="V33" s="35"/>
      <c r="W33" s="36"/>
      <c r="X33" s="71"/>
      <c r="Y33" s="35"/>
      <c r="Z33" s="38"/>
      <c r="AA33" s="39"/>
      <c r="AB33" s="39"/>
      <c r="AC33" s="39"/>
      <c r="AD33" s="40"/>
      <c r="AE33" s="41"/>
      <c r="AF33" s="41"/>
      <c r="AG33" s="45"/>
      <c r="AH33" s="43"/>
      <c r="AI33" s="43"/>
      <c r="AJ33" s="44"/>
      <c r="AK33" s="44"/>
    </row>
    <row r="34" spans="1:37" ht="37.5" customHeight="1">
      <c r="A34" s="25"/>
      <c r="B34" s="25"/>
      <c r="C34" s="26"/>
      <c r="D34" s="27"/>
      <c r="E34" s="27"/>
      <c r="F34" s="27"/>
      <c r="G34" s="69"/>
      <c r="H34" s="70"/>
      <c r="I34" s="29"/>
      <c r="J34" s="30"/>
      <c r="K34" s="31"/>
      <c r="L34" s="31"/>
      <c r="M34" s="32"/>
      <c r="N34" s="34"/>
      <c r="O34" s="32"/>
      <c r="P34" s="34"/>
      <c r="Q34" s="34"/>
      <c r="R34" s="35"/>
      <c r="S34" s="25"/>
      <c r="T34" s="35"/>
      <c r="U34" s="35"/>
      <c r="V34" s="35"/>
      <c r="W34" s="36"/>
      <c r="X34" s="71"/>
      <c r="Y34" s="35"/>
      <c r="Z34" s="38"/>
      <c r="AA34" s="39"/>
      <c r="AB34" s="39"/>
      <c r="AC34" s="39"/>
      <c r="AD34" s="40"/>
      <c r="AE34" s="41"/>
      <c r="AF34" s="41"/>
      <c r="AG34" s="45"/>
      <c r="AH34" s="43"/>
      <c r="AI34" s="43"/>
      <c r="AJ34" s="44"/>
      <c r="AK34" s="44"/>
    </row>
    <row r="35" spans="1:37" ht="37.5" customHeight="1">
      <c r="A35" s="52"/>
      <c r="B35" s="52"/>
      <c r="C35" s="52"/>
      <c r="D35" s="53"/>
      <c r="E35" s="53"/>
      <c r="F35" s="53"/>
      <c r="G35" s="88"/>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37.5" customHeight="1">
      <c r="A36" s="52"/>
      <c r="B36" s="52"/>
      <c r="C36" s="52"/>
      <c r="D36" s="53"/>
      <c r="E36" s="53"/>
      <c r="F36" s="53"/>
      <c r="G36" s="88"/>
      <c r="H36" s="52"/>
      <c r="I36" s="52"/>
      <c r="J36" s="52"/>
      <c r="K36" s="52"/>
      <c r="L36" s="52"/>
      <c r="M36" s="52"/>
      <c r="N36" s="52"/>
      <c r="O36" s="52"/>
      <c r="P36" s="52"/>
      <c r="Q36" s="52"/>
      <c r="R36" s="52"/>
      <c r="S36" s="52"/>
      <c r="T36" s="52"/>
      <c r="U36" s="52"/>
      <c r="V36" s="52"/>
      <c r="W36" s="56"/>
      <c r="X36" s="52"/>
      <c r="Y36" s="52"/>
      <c r="Z36" s="52"/>
      <c r="AA36" s="52"/>
      <c r="AB36" s="52"/>
      <c r="AC36" s="52"/>
      <c r="AD36" s="57"/>
      <c r="AE36" s="3"/>
      <c r="AF36" s="58"/>
      <c r="AG36" s="4"/>
      <c r="AH36" s="58"/>
      <c r="AI36" s="4"/>
      <c r="AJ36" s="4"/>
      <c r="AK36" s="4"/>
    </row>
    <row r="37" spans="1:37" ht="37.5" customHeight="1">
      <c r="A37" s="52"/>
      <c r="B37" s="52"/>
      <c r="C37" s="52"/>
      <c r="D37" s="53"/>
      <c r="E37" s="53"/>
      <c r="F37" s="53"/>
      <c r="G37" s="88"/>
      <c r="H37" s="52"/>
      <c r="I37" s="52"/>
      <c r="J37" s="52"/>
      <c r="K37" s="52"/>
      <c r="L37" s="52"/>
      <c r="M37" s="52"/>
      <c r="N37" s="52"/>
      <c r="O37" s="52"/>
      <c r="P37" s="52"/>
      <c r="Q37" s="52"/>
      <c r="R37" s="52"/>
      <c r="S37" s="52"/>
      <c r="T37" s="52"/>
      <c r="U37" s="52"/>
      <c r="V37" s="52"/>
      <c r="W37" s="56"/>
      <c r="X37" s="52"/>
      <c r="Y37" s="52"/>
      <c r="Z37" s="52"/>
      <c r="AA37" s="52"/>
      <c r="AB37" s="52"/>
      <c r="AC37" s="52"/>
      <c r="AD37" s="57"/>
      <c r="AE37" s="3"/>
      <c r="AF37" s="58"/>
      <c r="AG37" s="4"/>
      <c r="AH37" s="58"/>
      <c r="AI37" s="4"/>
      <c r="AJ37" s="4"/>
      <c r="AK37" s="4"/>
    </row>
    <row r="38" spans="1:37" ht="37.5" customHeight="1">
      <c r="A38" s="52"/>
      <c r="B38" s="52"/>
      <c r="C38" s="52"/>
      <c r="D38" s="53"/>
      <c r="E38" s="53"/>
      <c r="F38" s="53"/>
      <c r="G38" s="88"/>
      <c r="H38" s="52"/>
      <c r="I38" s="52"/>
      <c r="J38" s="52"/>
      <c r="K38" s="52"/>
      <c r="L38" s="52"/>
      <c r="M38" s="52"/>
      <c r="N38" s="52"/>
      <c r="O38" s="52"/>
      <c r="P38" s="52"/>
      <c r="Q38" s="52"/>
      <c r="R38" s="52"/>
      <c r="S38" s="52"/>
      <c r="T38" s="52"/>
      <c r="U38" s="52"/>
      <c r="V38" s="52"/>
      <c r="W38" s="56"/>
      <c r="X38" s="52"/>
      <c r="Y38" s="52"/>
      <c r="Z38" s="52"/>
      <c r="AA38" s="52"/>
      <c r="AB38" s="52"/>
      <c r="AC38" s="52"/>
      <c r="AD38" s="57"/>
      <c r="AE38" s="3"/>
      <c r="AF38" s="58"/>
      <c r="AG38" s="4"/>
      <c r="AH38" s="58"/>
      <c r="AI38" s="4"/>
      <c r="AJ38" s="4"/>
      <c r="AK38" s="4"/>
    </row>
    <row r="39" spans="1:37" ht="37.5" customHeight="1">
      <c r="A39" s="52"/>
      <c r="B39" s="52"/>
      <c r="C39" s="52"/>
      <c r="D39" s="53"/>
      <c r="E39" s="53"/>
      <c r="F39" s="53"/>
      <c r="G39" s="88"/>
      <c r="H39" s="52"/>
      <c r="I39" s="52"/>
      <c r="J39" s="52"/>
      <c r="K39" s="52"/>
      <c r="L39" s="52"/>
      <c r="M39" s="52"/>
      <c r="N39" s="52"/>
      <c r="O39" s="52"/>
      <c r="P39" s="52"/>
      <c r="Q39" s="52"/>
      <c r="R39" s="52"/>
      <c r="S39" s="52"/>
      <c r="T39" s="52"/>
      <c r="U39" s="52"/>
      <c r="V39" s="52"/>
      <c r="W39" s="56"/>
      <c r="X39" s="52"/>
      <c r="Y39" s="52"/>
      <c r="Z39" s="52"/>
      <c r="AA39" s="52"/>
      <c r="AB39" s="52"/>
      <c r="AC39" s="52"/>
      <c r="AD39" s="57"/>
      <c r="AE39" s="3"/>
      <c r="AF39" s="58"/>
      <c r="AG39" s="4"/>
      <c r="AH39" s="58"/>
      <c r="AI39" s="4"/>
      <c r="AJ39" s="4"/>
      <c r="AK39" s="4"/>
    </row>
    <row r="40" spans="1:37" ht="37.5" customHeight="1">
      <c r="A40" s="52"/>
      <c r="B40" s="52"/>
      <c r="C40" s="52"/>
      <c r="D40" s="53"/>
      <c r="E40" s="53"/>
      <c r="F40" s="53"/>
      <c r="G40" s="88"/>
      <c r="H40" s="52"/>
      <c r="I40" s="52"/>
      <c r="J40" s="52"/>
      <c r="K40" s="52"/>
      <c r="L40" s="52"/>
      <c r="M40" s="52"/>
      <c r="N40" s="52"/>
      <c r="O40" s="52"/>
      <c r="P40" s="52"/>
      <c r="Q40" s="52"/>
      <c r="R40" s="52"/>
      <c r="S40" s="52"/>
      <c r="T40" s="52"/>
      <c r="U40" s="52"/>
      <c r="V40" s="52"/>
      <c r="W40" s="56"/>
      <c r="X40" s="52"/>
      <c r="Y40" s="52"/>
      <c r="Z40" s="52"/>
      <c r="AA40" s="52"/>
      <c r="AB40" s="52"/>
      <c r="AC40" s="52"/>
      <c r="AD40" s="57"/>
      <c r="AE40" s="3"/>
      <c r="AF40" s="58"/>
      <c r="AG40" s="4"/>
      <c r="AH40" s="58"/>
      <c r="AI40" s="4"/>
      <c r="AJ40" s="4"/>
      <c r="AK40" s="4"/>
    </row>
    <row r="41" spans="1:37" ht="37.5" customHeight="1">
      <c r="A41" s="52"/>
      <c r="B41" s="52"/>
      <c r="C41" s="52"/>
      <c r="D41" s="53"/>
      <c r="E41" s="53"/>
      <c r="F41" s="53"/>
      <c r="G41" s="88"/>
      <c r="H41" s="52"/>
      <c r="I41" s="52"/>
      <c r="J41" s="52"/>
      <c r="K41" s="52"/>
      <c r="L41" s="52"/>
      <c r="M41" s="52"/>
      <c r="N41" s="52"/>
      <c r="O41" s="52"/>
      <c r="P41" s="52"/>
      <c r="Q41" s="52"/>
      <c r="R41" s="52"/>
      <c r="S41" s="52"/>
      <c r="T41" s="52"/>
      <c r="U41" s="52"/>
      <c r="V41" s="52"/>
      <c r="W41" s="56"/>
      <c r="X41" s="52"/>
      <c r="Y41" s="52"/>
      <c r="Z41" s="52"/>
      <c r="AA41" s="52"/>
      <c r="AB41" s="52"/>
      <c r="AC41" s="52"/>
      <c r="AD41" s="57"/>
      <c r="AE41" s="3"/>
      <c r="AF41" s="58"/>
      <c r="AG41" s="4"/>
      <c r="AH41" s="58"/>
      <c r="AI41" s="4"/>
      <c r="AJ41" s="4"/>
      <c r="AK41" s="4"/>
    </row>
    <row r="42" spans="1:37" ht="37.5" customHeight="1">
      <c r="A42" s="52"/>
      <c r="B42" s="52"/>
      <c r="C42" s="52"/>
      <c r="D42" s="53"/>
      <c r="E42" s="53"/>
      <c r="F42" s="53"/>
      <c r="G42" s="88"/>
      <c r="H42" s="52"/>
      <c r="I42" s="52"/>
      <c r="J42" s="52"/>
      <c r="K42" s="52"/>
      <c r="L42" s="52"/>
      <c r="M42" s="52"/>
      <c r="N42" s="52"/>
      <c r="O42" s="52"/>
      <c r="P42" s="52"/>
      <c r="Q42" s="52"/>
      <c r="R42" s="52"/>
      <c r="S42" s="52"/>
      <c r="T42" s="52"/>
      <c r="U42" s="52"/>
      <c r="V42" s="52"/>
      <c r="W42" s="56"/>
      <c r="X42" s="52"/>
      <c r="Y42" s="52"/>
      <c r="Z42" s="52"/>
      <c r="AA42" s="52"/>
      <c r="AB42" s="52"/>
      <c r="AC42" s="52"/>
      <c r="AD42" s="57"/>
      <c r="AE42" s="3"/>
      <c r="AF42" s="58"/>
      <c r="AG42" s="4"/>
      <c r="AH42" s="58"/>
      <c r="AI42" s="4"/>
      <c r="AJ42" s="4"/>
      <c r="AK42" s="4"/>
    </row>
    <row r="43" spans="1:37" ht="14.25">
      <c r="A43" s="52"/>
      <c r="B43" s="52"/>
      <c r="C43" s="52"/>
      <c r="D43" s="53"/>
      <c r="E43" s="53"/>
      <c r="F43" s="53"/>
      <c r="G43" s="88"/>
      <c r="H43" s="52"/>
      <c r="I43" s="52"/>
      <c r="J43" s="52"/>
      <c r="K43" s="52"/>
      <c r="L43" s="52"/>
      <c r="M43" s="52"/>
      <c r="N43" s="52"/>
      <c r="O43" s="52"/>
      <c r="P43" s="52"/>
      <c r="Q43" s="52"/>
      <c r="R43" s="52"/>
      <c r="S43" s="52"/>
      <c r="T43" s="52"/>
      <c r="U43" s="52"/>
      <c r="V43" s="52"/>
      <c r="W43" s="56"/>
      <c r="X43" s="52"/>
      <c r="Y43" s="52"/>
      <c r="Z43" s="52"/>
      <c r="AA43" s="52"/>
      <c r="AB43" s="52"/>
      <c r="AC43" s="52"/>
      <c r="AD43" s="57"/>
      <c r="AE43" s="3"/>
      <c r="AF43" s="58"/>
      <c r="AG43" s="4"/>
      <c r="AH43" s="58"/>
      <c r="AI43" s="4"/>
      <c r="AJ43" s="4"/>
      <c r="AK43" s="4"/>
    </row>
    <row r="44" spans="1:37" ht="14.25">
      <c r="A44" s="52"/>
      <c r="B44" s="52"/>
      <c r="C44" s="52"/>
      <c r="D44" s="53"/>
      <c r="E44" s="53"/>
      <c r="F44" s="53"/>
      <c r="G44" s="88"/>
      <c r="H44" s="52"/>
      <c r="I44" s="52"/>
      <c r="J44" s="52"/>
      <c r="K44" s="52"/>
      <c r="L44" s="52"/>
      <c r="M44" s="52"/>
      <c r="N44" s="52"/>
      <c r="O44" s="52"/>
      <c r="P44" s="52"/>
      <c r="Q44" s="52"/>
      <c r="R44" s="52"/>
      <c r="S44" s="52"/>
      <c r="T44" s="52"/>
      <c r="U44" s="52"/>
      <c r="V44" s="52"/>
      <c r="W44" s="56"/>
      <c r="X44" s="52"/>
      <c r="Y44" s="52"/>
      <c r="Z44" s="52"/>
      <c r="AA44" s="52"/>
      <c r="AB44" s="52"/>
      <c r="AC44" s="52"/>
      <c r="AD44" s="57"/>
      <c r="AE44" s="3"/>
      <c r="AF44" s="58"/>
      <c r="AG44" s="4"/>
      <c r="AH44" s="58"/>
      <c r="AI44" s="4"/>
      <c r="AJ44" s="4"/>
      <c r="AK44" s="4"/>
    </row>
    <row r="45" spans="1:37" ht="14.25">
      <c r="A45" s="52"/>
      <c r="B45" s="52"/>
      <c r="C45" s="52"/>
      <c r="D45" s="53"/>
      <c r="E45" s="53"/>
      <c r="F45" s="53"/>
      <c r="G45" s="88"/>
      <c r="H45" s="52"/>
      <c r="I45" s="52"/>
      <c r="J45" s="52"/>
      <c r="K45" s="52"/>
      <c r="L45" s="52"/>
      <c r="M45" s="52"/>
      <c r="N45" s="52"/>
      <c r="O45" s="52"/>
      <c r="P45" s="52"/>
      <c r="Q45" s="52"/>
      <c r="R45" s="52"/>
      <c r="S45" s="52"/>
      <c r="T45" s="52"/>
      <c r="U45" s="52"/>
      <c r="V45" s="52"/>
      <c r="W45" s="56"/>
      <c r="X45" s="52"/>
      <c r="Y45" s="52"/>
      <c r="Z45" s="52"/>
      <c r="AA45" s="52"/>
      <c r="AB45" s="52"/>
      <c r="AC45" s="52"/>
      <c r="AD45" s="57"/>
      <c r="AE45" s="3"/>
      <c r="AF45" s="58"/>
      <c r="AG45" s="4"/>
      <c r="AH45" s="58"/>
      <c r="AI45" s="4"/>
      <c r="AJ45" s="4"/>
      <c r="AK45" s="4"/>
    </row>
    <row r="46" spans="1:37" ht="14.25">
      <c r="A46" s="52"/>
      <c r="B46" s="52"/>
      <c r="C46" s="52"/>
      <c r="D46" s="53"/>
      <c r="E46" s="53"/>
      <c r="F46" s="53"/>
      <c r="G46" s="88"/>
      <c r="H46" s="52"/>
      <c r="I46" s="52"/>
      <c r="J46" s="52"/>
      <c r="K46" s="52"/>
      <c r="L46" s="52"/>
      <c r="M46" s="52"/>
      <c r="N46" s="52"/>
      <c r="O46" s="52"/>
      <c r="P46" s="52"/>
      <c r="Q46" s="52"/>
      <c r="R46" s="52"/>
      <c r="S46" s="52"/>
      <c r="T46" s="52"/>
      <c r="U46" s="52"/>
      <c r="V46" s="52"/>
      <c r="W46" s="56"/>
      <c r="X46" s="52"/>
      <c r="Y46" s="52"/>
      <c r="Z46" s="52"/>
      <c r="AA46" s="52"/>
      <c r="AB46" s="52"/>
      <c r="AC46" s="52"/>
      <c r="AD46" s="57"/>
      <c r="AE46" s="3"/>
      <c r="AF46" s="58"/>
      <c r="AG46" s="4"/>
      <c r="AH46" s="58"/>
      <c r="AI46" s="4"/>
      <c r="AJ46" s="4"/>
      <c r="AK46" s="4"/>
    </row>
    <row r="47" spans="1:37" ht="14.25">
      <c r="A47" s="52"/>
      <c r="B47" s="52"/>
      <c r="C47" s="52"/>
      <c r="D47" s="53"/>
      <c r="E47" s="53"/>
      <c r="F47" s="53"/>
      <c r="G47" s="88"/>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3"/>
      <c r="E48" s="53"/>
      <c r="F48" s="53"/>
      <c r="G48" s="88"/>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3"/>
      <c r="E49" s="53"/>
      <c r="F49" s="53"/>
      <c r="G49" s="88"/>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3"/>
      <c r="E50" s="53"/>
      <c r="F50" s="53"/>
      <c r="G50" s="88"/>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3"/>
      <c r="E51" s="53"/>
      <c r="F51" s="53"/>
      <c r="G51" s="88"/>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3"/>
      <c r="E52" s="53"/>
      <c r="F52" s="53"/>
      <c r="G52" s="88"/>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3"/>
      <c r="E53" s="53"/>
      <c r="F53" s="53"/>
      <c r="G53" s="88"/>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3"/>
      <c r="E54" s="53"/>
      <c r="F54" s="53"/>
      <c r="G54" s="88"/>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3"/>
      <c r="E55" s="53"/>
      <c r="F55" s="53"/>
      <c r="G55" s="88"/>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3"/>
      <c r="E56" s="53"/>
      <c r="F56" s="53"/>
      <c r="G56" s="88"/>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3"/>
      <c r="E57" s="53"/>
      <c r="F57" s="53"/>
      <c r="G57" s="88"/>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3"/>
      <c r="E58" s="53"/>
      <c r="F58" s="53"/>
      <c r="G58" s="88"/>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3"/>
      <c r="E59" s="53"/>
      <c r="F59" s="53"/>
      <c r="G59" s="88"/>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3"/>
      <c r="E60" s="53"/>
      <c r="F60" s="53"/>
      <c r="G60" s="88"/>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3"/>
      <c r="E61" s="53"/>
      <c r="F61" s="53"/>
      <c r="G61" s="88"/>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3"/>
      <c r="E62" s="53"/>
      <c r="F62" s="53"/>
      <c r="G62" s="88"/>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3"/>
      <c r="E63" s="53"/>
      <c r="F63" s="53"/>
      <c r="G63" s="88"/>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3"/>
      <c r="E64" s="53"/>
      <c r="F64" s="53"/>
      <c r="G64" s="88"/>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3"/>
      <c r="E65" s="53"/>
      <c r="F65" s="53"/>
      <c r="G65" s="88"/>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3"/>
      <c r="E66" s="53"/>
      <c r="F66" s="53"/>
      <c r="G66" s="88"/>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3"/>
      <c r="E67" s="53"/>
      <c r="F67" s="53"/>
      <c r="G67" s="88"/>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3"/>
      <c r="E68" s="53"/>
      <c r="F68" s="53"/>
      <c r="G68" s="88"/>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3"/>
      <c r="E69" s="53"/>
      <c r="F69" s="53"/>
      <c r="G69" s="88"/>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3"/>
      <c r="E70" s="53"/>
      <c r="F70" s="53"/>
      <c r="G70" s="88"/>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3"/>
      <c r="E71" s="53"/>
      <c r="F71" s="53"/>
      <c r="G71" s="88"/>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3"/>
      <c r="E72" s="53"/>
      <c r="F72" s="53"/>
      <c r="G72" s="88"/>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3"/>
      <c r="E73" s="53"/>
      <c r="F73" s="53"/>
      <c r="G73" s="88"/>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3"/>
      <c r="E74" s="53"/>
      <c r="F74" s="53"/>
      <c r="G74" s="88"/>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3"/>
      <c r="E75" s="53"/>
      <c r="F75" s="53"/>
      <c r="G75" s="88"/>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3"/>
      <c r="E76" s="53"/>
      <c r="F76" s="53"/>
      <c r="G76" s="88"/>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3"/>
      <c r="E77" s="53"/>
      <c r="F77" s="53"/>
      <c r="G77" s="88"/>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3"/>
      <c r="E78" s="53"/>
      <c r="F78" s="53"/>
      <c r="G78" s="88"/>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3"/>
      <c r="E79" s="53"/>
      <c r="F79" s="53"/>
      <c r="G79" s="88"/>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3"/>
      <c r="E80" s="53"/>
      <c r="F80" s="53"/>
      <c r="G80" s="88"/>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3"/>
      <c r="E81" s="53"/>
      <c r="F81" s="53"/>
      <c r="G81" s="88"/>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3"/>
      <c r="E82" s="53"/>
      <c r="F82" s="53"/>
      <c r="G82" s="88"/>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3"/>
      <c r="E83" s="53"/>
      <c r="F83" s="53"/>
      <c r="G83" s="88"/>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3"/>
      <c r="E84" s="53"/>
      <c r="F84" s="53"/>
      <c r="G84" s="88"/>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3"/>
      <c r="E85" s="53"/>
      <c r="F85" s="53"/>
      <c r="G85" s="88"/>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3"/>
      <c r="E86" s="53"/>
      <c r="F86" s="53"/>
      <c r="G86" s="88"/>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3"/>
      <c r="E87" s="53"/>
      <c r="F87" s="53"/>
      <c r="G87" s="88"/>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3"/>
      <c r="E88" s="53"/>
      <c r="F88" s="53"/>
      <c r="G88" s="88"/>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3"/>
      <c r="E89" s="53"/>
      <c r="F89" s="53"/>
      <c r="G89" s="88"/>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3"/>
      <c r="E90" s="53"/>
      <c r="F90" s="53"/>
      <c r="G90" s="88"/>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3"/>
      <c r="E91" s="53"/>
      <c r="F91" s="53"/>
      <c r="G91" s="88"/>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3"/>
      <c r="E92" s="53"/>
      <c r="F92" s="53"/>
      <c r="G92" s="88"/>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3"/>
      <c r="E93" s="53"/>
      <c r="F93" s="53"/>
      <c r="G93" s="88"/>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3"/>
      <c r="E94" s="53"/>
      <c r="F94" s="53"/>
      <c r="G94" s="88"/>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3"/>
      <c r="E95" s="53"/>
      <c r="F95" s="53"/>
      <c r="G95" s="88"/>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3"/>
      <c r="E96" s="53"/>
      <c r="F96" s="53"/>
      <c r="G96" s="88"/>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3"/>
      <c r="E97" s="53"/>
      <c r="F97" s="53"/>
      <c r="G97" s="88"/>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3"/>
      <c r="E98" s="53"/>
      <c r="F98" s="53"/>
      <c r="G98" s="88"/>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3"/>
      <c r="E99" s="53"/>
      <c r="F99" s="53"/>
      <c r="G99" s="88"/>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4.25">
      <c r="A100" s="52"/>
      <c r="B100" s="52"/>
      <c r="C100" s="52"/>
      <c r="D100" s="53"/>
      <c r="E100" s="53"/>
      <c r="F100" s="53"/>
      <c r="G100" s="88"/>
      <c r="H100" s="52"/>
      <c r="I100" s="52"/>
      <c r="J100" s="52"/>
      <c r="K100" s="52"/>
      <c r="L100" s="52"/>
      <c r="M100" s="52"/>
      <c r="N100" s="52"/>
      <c r="O100" s="52"/>
      <c r="P100" s="52"/>
      <c r="Q100" s="52"/>
      <c r="R100" s="52"/>
      <c r="S100" s="52"/>
      <c r="T100" s="52"/>
      <c r="U100" s="52"/>
      <c r="V100" s="52"/>
      <c r="W100" s="56"/>
      <c r="X100" s="52"/>
      <c r="Y100" s="52"/>
      <c r="Z100" s="52"/>
      <c r="AA100" s="52"/>
      <c r="AB100" s="52"/>
      <c r="AC100" s="52"/>
      <c r="AD100" s="57"/>
      <c r="AE100" s="3"/>
      <c r="AF100" s="3"/>
      <c r="AG100" s="4"/>
      <c r="AH100" s="4"/>
      <c r="AI100" s="4"/>
      <c r="AJ100" s="4"/>
      <c r="AK100" s="4"/>
    </row>
    <row r="101" spans="1:37" ht="14.25">
      <c r="A101" s="52"/>
      <c r="B101" s="52"/>
      <c r="C101" s="52"/>
      <c r="D101" s="53"/>
      <c r="E101" s="53"/>
      <c r="F101" s="53"/>
      <c r="G101" s="88"/>
      <c r="H101" s="52"/>
      <c r="I101" s="52"/>
      <c r="J101" s="52"/>
      <c r="K101" s="52"/>
      <c r="L101" s="52"/>
      <c r="M101" s="52"/>
      <c r="N101" s="52"/>
      <c r="O101" s="52"/>
      <c r="P101" s="52"/>
      <c r="Q101" s="52"/>
      <c r="R101" s="52"/>
      <c r="S101" s="52"/>
      <c r="T101" s="52"/>
      <c r="U101" s="52"/>
      <c r="V101" s="52"/>
      <c r="W101" s="56"/>
      <c r="X101" s="52"/>
      <c r="Y101" s="52"/>
      <c r="Z101" s="52"/>
      <c r="AA101" s="52"/>
      <c r="AB101" s="52"/>
      <c r="AC101" s="52"/>
      <c r="AD101" s="57"/>
      <c r="AE101" s="3"/>
      <c r="AF101" s="3"/>
      <c r="AG101" s="4"/>
      <c r="AH101" s="4"/>
      <c r="AI101" s="4"/>
      <c r="AJ101" s="4"/>
      <c r="AK101" s="4"/>
    </row>
    <row r="102" spans="1:37" ht="14.25">
      <c r="A102" s="52"/>
      <c r="B102" s="52"/>
      <c r="C102" s="52"/>
      <c r="D102" s="53"/>
      <c r="E102" s="53"/>
      <c r="F102" s="53"/>
      <c r="G102" s="88"/>
      <c r="H102" s="52"/>
      <c r="I102" s="52"/>
      <c r="J102" s="52"/>
      <c r="K102" s="52"/>
      <c r="L102" s="52"/>
      <c r="M102" s="52"/>
      <c r="N102" s="52"/>
      <c r="O102" s="52"/>
      <c r="P102" s="52"/>
      <c r="Q102" s="52"/>
      <c r="R102" s="52"/>
      <c r="S102" s="52"/>
      <c r="T102" s="52"/>
      <c r="U102" s="52"/>
      <c r="V102" s="52"/>
      <c r="W102" s="56"/>
      <c r="X102" s="52"/>
      <c r="Y102" s="52"/>
      <c r="Z102" s="52"/>
      <c r="AA102" s="52"/>
      <c r="AB102" s="52"/>
      <c r="AC102" s="52"/>
      <c r="AD102" s="57"/>
      <c r="AE102" s="3"/>
      <c r="AF102" s="3"/>
      <c r="AG102" s="4"/>
      <c r="AH102" s="4"/>
      <c r="AI102" s="4"/>
      <c r="AJ102" s="4"/>
      <c r="AK102" s="4"/>
    </row>
    <row r="103" spans="1:37" ht="14.25">
      <c r="A103" s="52"/>
      <c r="B103" s="52"/>
      <c r="C103" s="52"/>
      <c r="D103" s="53"/>
      <c r="E103" s="53"/>
      <c r="F103" s="53"/>
      <c r="G103" s="88"/>
      <c r="H103" s="52"/>
      <c r="I103" s="52"/>
      <c r="J103" s="52"/>
      <c r="K103" s="52"/>
      <c r="L103" s="52"/>
      <c r="M103" s="52"/>
      <c r="N103" s="52"/>
      <c r="O103" s="52"/>
      <c r="P103" s="52"/>
      <c r="Q103" s="52"/>
      <c r="R103" s="52"/>
      <c r="S103" s="52"/>
      <c r="T103" s="52"/>
      <c r="U103" s="52"/>
      <c r="V103" s="52"/>
      <c r="W103" s="56"/>
      <c r="X103" s="52"/>
      <c r="Y103" s="52"/>
      <c r="Z103" s="52"/>
      <c r="AA103" s="52"/>
      <c r="AB103" s="52"/>
      <c r="AC103" s="52"/>
      <c r="AD103" s="57"/>
      <c r="AE103" s="3"/>
      <c r="AF103" s="3"/>
      <c r="AG103" s="4"/>
      <c r="AH103" s="4"/>
      <c r="AI103" s="4"/>
      <c r="AJ103" s="4"/>
      <c r="AK103" s="4"/>
    </row>
    <row r="104" spans="1:37" ht="14.25">
      <c r="A104" s="52"/>
      <c r="B104" s="52"/>
      <c r="C104" s="52"/>
      <c r="D104" s="53"/>
      <c r="E104" s="53"/>
      <c r="F104" s="53"/>
      <c r="G104" s="88"/>
      <c r="H104" s="52"/>
      <c r="I104" s="52"/>
      <c r="J104" s="52"/>
      <c r="K104" s="52"/>
      <c r="L104" s="52"/>
      <c r="M104" s="52"/>
      <c r="N104" s="52"/>
      <c r="O104" s="52"/>
      <c r="P104" s="52"/>
      <c r="Q104" s="52"/>
      <c r="R104" s="52"/>
      <c r="S104" s="52"/>
      <c r="T104" s="52"/>
      <c r="U104" s="52"/>
      <c r="V104" s="52"/>
      <c r="W104" s="56"/>
      <c r="X104" s="52"/>
      <c r="Y104" s="52"/>
      <c r="Z104" s="52"/>
      <c r="AA104" s="52"/>
      <c r="AB104" s="52"/>
      <c r="AC104" s="52"/>
      <c r="AD104" s="57"/>
      <c r="AE104" s="3"/>
      <c r="AF104" s="3"/>
      <c r="AG104" s="4"/>
      <c r="AH104" s="4"/>
      <c r="AI104" s="4"/>
      <c r="AJ104" s="4"/>
      <c r="AK104" s="4"/>
    </row>
    <row r="105" spans="1:37" ht="14.25">
      <c r="A105" s="52"/>
      <c r="B105" s="52"/>
      <c r="C105" s="52"/>
      <c r="D105" s="53"/>
      <c r="E105" s="53"/>
      <c r="F105" s="53"/>
      <c r="G105" s="88"/>
      <c r="H105" s="52"/>
      <c r="I105" s="52"/>
      <c r="J105" s="52"/>
      <c r="K105" s="52"/>
      <c r="L105" s="52"/>
      <c r="M105" s="52"/>
      <c r="N105" s="52"/>
      <c r="O105" s="52"/>
      <c r="P105" s="52"/>
      <c r="Q105" s="52"/>
      <c r="R105" s="52"/>
      <c r="S105" s="52"/>
      <c r="T105" s="52"/>
      <c r="U105" s="52"/>
      <c r="V105" s="52"/>
      <c r="W105" s="56"/>
      <c r="X105" s="52"/>
      <c r="Y105" s="52"/>
      <c r="Z105" s="52"/>
      <c r="AA105" s="52"/>
      <c r="AB105" s="52"/>
      <c r="AC105" s="52"/>
      <c r="AD105" s="57"/>
      <c r="AE105" s="3"/>
      <c r="AF105" s="3"/>
      <c r="AG105" s="4"/>
      <c r="AH105" s="4"/>
      <c r="AI105" s="4"/>
      <c r="AJ105" s="4"/>
      <c r="AK105" s="4"/>
    </row>
    <row r="106" spans="1:37" ht="14.25">
      <c r="A106" s="52"/>
      <c r="B106" s="52"/>
      <c r="C106" s="52"/>
      <c r="D106" s="53"/>
      <c r="E106" s="53"/>
      <c r="F106" s="53"/>
      <c r="G106" s="88"/>
      <c r="H106" s="52"/>
      <c r="I106" s="52"/>
      <c r="J106" s="52"/>
      <c r="K106" s="52"/>
      <c r="L106" s="52"/>
      <c r="M106" s="52"/>
      <c r="N106" s="52"/>
      <c r="O106" s="52"/>
      <c r="P106" s="52"/>
      <c r="Q106" s="52"/>
      <c r="R106" s="52"/>
      <c r="S106" s="52"/>
      <c r="T106" s="52"/>
      <c r="U106" s="52"/>
      <c r="V106" s="52"/>
      <c r="W106" s="56"/>
      <c r="X106" s="52"/>
      <c r="Y106" s="52"/>
      <c r="Z106" s="52"/>
      <c r="AA106" s="52"/>
      <c r="AB106" s="52"/>
      <c r="AC106" s="52"/>
      <c r="AD106" s="57"/>
      <c r="AE106" s="3"/>
      <c r="AF106" s="3"/>
      <c r="AG106" s="4"/>
      <c r="AH106" s="4"/>
      <c r="AI106" s="4"/>
      <c r="AJ106" s="4"/>
      <c r="AK106" s="4"/>
    </row>
    <row r="107" spans="1:37" ht="14.25">
      <c r="A107" s="52"/>
      <c r="B107" s="52"/>
      <c r="C107" s="52"/>
      <c r="D107" s="53"/>
      <c r="E107" s="53"/>
      <c r="F107" s="53"/>
      <c r="G107" s="88"/>
      <c r="H107" s="52"/>
      <c r="I107" s="52"/>
      <c r="J107" s="52"/>
      <c r="K107" s="52"/>
      <c r="L107" s="52"/>
      <c r="M107" s="52"/>
      <c r="N107" s="52"/>
      <c r="O107" s="52"/>
      <c r="P107" s="52"/>
      <c r="Q107" s="52"/>
      <c r="R107" s="52"/>
      <c r="S107" s="52"/>
      <c r="T107" s="52"/>
      <c r="U107" s="52"/>
      <c r="V107" s="52"/>
      <c r="W107" s="56"/>
      <c r="X107" s="52"/>
      <c r="Y107" s="52"/>
      <c r="Z107" s="52"/>
      <c r="AA107" s="52"/>
      <c r="AB107" s="52"/>
      <c r="AC107" s="52"/>
      <c r="AD107" s="57"/>
      <c r="AE107" s="3"/>
      <c r="AF107" s="3"/>
      <c r="AG107" s="4"/>
      <c r="AH107" s="4"/>
      <c r="AI107" s="4"/>
      <c r="AJ107" s="4"/>
      <c r="AK107" s="4"/>
    </row>
    <row r="108" spans="1:37" ht="14.25">
      <c r="A108" s="52"/>
      <c r="B108" s="52"/>
      <c r="C108" s="52"/>
      <c r="D108" s="53"/>
      <c r="E108" s="53"/>
      <c r="F108" s="53"/>
      <c r="G108" s="88"/>
      <c r="H108" s="52"/>
      <c r="I108" s="52"/>
      <c r="J108" s="52"/>
      <c r="K108" s="52"/>
      <c r="L108" s="52"/>
      <c r="M108" s="52"/>
      <c r="N108" s="52"/>
      <c r="O108" s="52"/>
      <c r="P108" s="52"/>
      <c r="Q108" s="52"/>
      <c r="R108" s="52"/>
      <c r="S108" s="52"/>
      <c r="T108" s="52"/>
      <c r="U108" s="52"/>
      <c r="V108" s="52"/>
      <c r="W108" s="56"/>
      <c r="X108" s="52"/>
      <c r="Y108" s="52"/>
      <c r="Z108" s="52"/>
      <c r="AA108" s="52"/>
      <c r="AB108" s="52"/>
      <c r="AC108" s="52"/>
      <c r="AD108" s="57"/>
      <c r="AE108" s="3"/>
      <c r="AF108" s="3"/>
      <c r="AG108" s="4"/>
      <c r="AH108" s="4"/>
      <c r="AI108" s="4"/>
      <c r="AJ108" s="4"/>
      <c r="AK108" s="4"/>
    </row>
    <row r="109" spans="1:37" ht="14.25">
      <c r="A109" s="52"/>
      <c r="B109" s="52"/>
      <c r="C109" s="52"/>
      <c r="D109" s="53"/>
      <c r="E109" s="53"/>
      <c r="F109" s="53"/>
      <c r="G109" s="88"/>
      <c r="H109" s="52"/>
      <c r="I109" s="52"/>
      <c r="J109" s="52"/>
      <c r="K109" s="52"/>
      <c r="L109" s="52"/>
      <c r="M109" s="52"/>
      <c r="N109" s="52"/>
      <c r="O109" s="52"/>
      <c r="P109" s="52"/>
      <c r="Q109" s="52"/>
      <c r="R109" s="52"/>
      <c r="S109" s="52"/>
      <c r="T109" s="52"/>
      <c r="U109" s="52"/>
      <c r="V109" s="52"/>
      <c r="W109" s="56"/>
      <c r="X109" s="52"/>
      <c r="Y109" s="52"/>
      <c r="Z109" s="52"/>
      <c r="AA109" s="52"/>
      <c r="AB109" s="52"/>
      <c r="AC109" s="52"/>
      <c r="AD109" s="57"/>
      <c r="AE109" s="3"/>
      <c r="AF109" s="3"/>
      <c r="AG109" s="4"/>
      <c r="AH109" s="4"/>
      <c r="AI109" s="4"/>
      <c r="AJ109" s="4"/>
      <c r="AK109" s="4"/>
    </row>
    <row r="110" spans="1:37" ht="14.25">
      <c r="A110" s="52"/>
      <c r="B110" s="52"/>
      <c r="C110" s="52"/>
      <c r="D110" s="53"/>
      <c r="E110" s="53"/>
      <c r="F110" s="53"/>
      <c r="G110" s="88"/>
      <c r="H110" s="52"/>
      <c r="I110" s="52"/>
      <c r="J110" s="52"/>
      <c r="K110" s="52"/>
      <c r="L110" s="52"/>
      <c r="M110" s="52"/>
      <c r="N110" s="52"/>
      <c r="O110" s="52"/>
      <c r="P110" s="52"/>
      <c r="Q110" s="52"/>
      <c r="R110" s="52"/>
      <c r="S110" s="52"/>
      <c r="T110" s="52"/>
      <c r="U110" s="52"/>
      <c r="V110" s="52"/>
      <c r="W110" s="56"/>
      <c r="X110" s="52"/>
      <c r="Y110" s="52"/>
      <c r="Z110" s="52"/>
      <c r="AA110" s="52"/>
      <c r="AB110" s="52"/>
      <c r="AC110" s="52"/>
      <c r="AD110" s="57"/>
      <c r="AE110" s="3"/>
      <c r="AF110" s="3"/>
      <c r="AG110" s="4"/>
      <c r="AH110" s="4"/>
      <c r="AI110" s="4"/>
      <c r="AJ110" s="4"/>
      <c r="AK110" s="4"/>
    </row>
    <row r="111" spans="1:37" ht="12.75">
      <c r="D111" s="49"/>
      <c r="E111" s="49"/>
      <c r="F111" s="49"/>
      <c r="G111" s="89"/>
      <c r="W111" s="59"/>
    </row>
    <row r="112" spans="1:37" ht="12.75">
      <c r="D112" s="49"/>
      <c r="E112" s="49"/>
      <c r="F112" s="49"/>
      <c r="G112" s="89"/>
      <c r="W112" s="59"/>
    </row>
    <row r="113" spans="4:23" ht="12.75">
      <c r="D113" s="49"/>
      <c r="E113" s="49"/>
      <c r="F113" s="49"/>
      <c r="G113" s="89"/>
      <c r="W113" s="59"/>
    </row>
    <row r="114" spans="4:23" ht="12.75">
      <c r="D114" s="49"/>
      <c r="E114" s="49"/>
      <c r="F114" s="49"/>
      <c r="G114" s="89"/>
      <c r="W114" s="59"/>
    </row>
    <row r="115" spans="4:23" ht="12.75">
      <c r="D115" s="49"/>
      <c r="E115" s="49"/>
      <c r="F115" s="49"/>
      <c r="G115" s="89"/>
      <c r="W115" s="59"/>
    </row>
    <row r="116" spans="4:23" ht="12.75">
      <c r="D116" s="49"/>
      <c r="E116" s="49"/>
      <c r="F116" s="49"/>
      <c r="G116" s="89"/>
      <c r="W116" s="59"/>
    </row>
    <row r="117" spans="4:23" ht="12.75">
      <c r="D117" s="49"/>
      <c r="E117" s="49"/>
      <c r="F117" s="49"/>
      <c r="G117" s="89"/>
      <c r="W117" s="59"/>
    </row>
    <row r="118" spans="4:23" ht="12.75">
      <c r="D118" s="49"/>
      <c r="E118" s="49"/>
      <c r="F118" s="49"/>
      <c r="G118" s="89"/>
      <c r="W118" s="59"/>
    </row>
    <row r="119" spans="4:23" ht="12.75">
      <c r="D119" s="49"/>
      <c r="E119" s="49"/>
      <c r="F119" s="49"/>
      <c r="G119" s="89"/>
      <c r="W119" s="59"/>
    </row>
    <row r="120" spans="4:23" ht="12.75">
      <c r="D120" s="49"/>
      <c r="E120" s="49"/>
      <c r="F120" s="49"/>
      <c r="G120" s="89"/>
      <c r="W120" s="59"/>
    </row>
    <row r="121" spans="4:23" ht="12.75">
      <c r="D121" s="49"/>
      <c r="E121" s="49"/>
      <c r="F121" s="49"/>
      <c r="G121" s="89"/>
      <c r="W121" s="59"/>
    </row>
    <row r="122" spans="4:23" ht="12.75">
      <c r="D122" s="49"/>
      <c r="E122" s="49"/>
      <c r="F122" s="49"/>
      <c r="G122" s="89"/>
      <c r="W122" s="59"/>
    </row>
    <row r="123" spans="4:23" ht="12.75">
      <c r="D123" s="49"/>
      <c r="E123" s="49"/>
      <c r="F123" s="49"/>
      <c r="G123" s="89"/>
      <c r="W123" s="59"/>
    </row>
    <row r="124" spans="4:23" ht="12.75">
      <c r="D124" s="49"/>
      <c r="E124" s="49"/>
      <c r="F124" s="49"/>
      <c r="G124" s="89"/>
      <c r="W124" s="59"/>
    </row>
    <row r="125" spans="4:23" ht="12.75">
      <c r="D125" s="49"/>
      <c r="E125" s="49"/>
      <c r="F125" s="49"/>
      <c r="G125" s="89"/>
      <c r="W125" s="59"/>
    </row>
    <row r="126" spans="4:23" ht="12.75">
      <c r="D126" s="49"/>
      <c r="E126" s="49"/>
      <c r="F126" s="49"/>
      <c r="G126" s="89"/>
      <c r="W126" s="59"/>
    </row>
    <row r="127" spans="4:23" ht="12.75">
      <c r="D127" s="49"/>
      <c r="E127" s="49"/>
      <c r="F127" s="49"/>
      <c r="G127" s="89"/>
      <c r="W127" s="59"/>
    </row>
    <row r="128" spans="4:23" ht="12.75">
      <c r="D128" s="49"/>
      <c r="E128" s="49"/>
      <c r="F128" s="49"/>
      <c r="G128" s="89"/>
      <c r="W128" s="59"/>
    </row>
    <row r="129" spans="4:23" ht="12.75">
      <c r="D129" s="49"/>
      <c r="E129" s="49"/>
      <c r="F129" s="49"/>
      <c r="G129" s="89"/>
      <c r="W129" s="59"/>
    </row>
    <row r="130" spans="4:23" ht="12.75">
      <c r="D130" s="49"/>
      <c r="E130" s="49"/>
      <c r="F130" s="49"/>
      <c r="G130" s="89"/>
      <c r="W130" s="59"/>
    </row>
    <row r="131" spans="4:23" ht="12.75">
      <c r="D131" s="49"/>
      <c r="E131" s="49"/>
      <c r="F131" s="49"/>
      <c r="G131" s="89"/>
      <c r="W131" s="59"/>
    </row>
    <row r="132" spans="4:23" ht="12.75">
      <c r="D132" s="49"/>
      <c r="E132" s="49"/>
      <c r="F132" s="49"/>
      <c r="G132" s="89"/>
      <c r="W132" s="59"/>
    </row>
    <row r="133" spans="4:23" ht="12.75">
      <c r="D133" s="49"/>
      <c r="E133" s="49"/>
      <c r="F133" s="49"/>
      <c r="G133" s="89"/>
      <c r="W133" s="59"/>
    </row>
    <row r="134" spans="4:23" ht="12.75">
      <c r="D134" s="49"/>
      <c r="E134" s="49"/>
      <c r="F134" s="49"/>
      <c r="G134" s="89"/>
      <c r="W134" s="59"/>
    </row>
    <row r="135" spans="4:23" ht="12.75">
      <c r="D135" s="49"/>
      <c r="E135" s="49"/>
      <c r="F135" s="49"/>
      <c r="G135" s="89"/>
      <c r="W135" s="59"/>
    </row>
    <row r="136" spans="4:23" ht="12.75">
      <c r="D136" s="49"/>
      <c r="E136" s="49"/>
      <c r="F136" s="49"/>
      <c r="G136" s="89"/>
      <c r="W136" s="59"/>
    </row>
    <row r="137" spans="4:23" ht="12.75">
      <c r="D137" s="49"/>
      <c r="E137" s="49"/>
      <c r="F137" s="49"/>
      <c r="G137" s="89"/>
      <c r="W137" s="59"/>
    </row>
    <row r="138" spans="4:23" ht="12.75">
      <c r="D138" s="49"/>
      <c r="E138" s="49"/>
      <c r="F138" s="49"/>
      <c r="G138" s="89"/>
      <c r="W138" s="59"/>
    </row>
    <row r="139" spans="4:23" ht="12.75">
      <c r="D139" s="49"/>
      <c r="E139" s="49"/>
      <c r="F139" s="49"/>
      <c r="G139" s="89"/>
      <c r="W139" s="59"/>
    </row>
    <row r="140" spans="4:23" ht="12.75">
      <c r="D140" s="49"/>
      <c r="E140" s="49"/>
      <c r="F140" s="49"/>
      <c r="G140" s="89"/>
      <c r="W140" s="59"/>
    </row>
    <row r="141" spans="4:23" ht="12.75">
      <c r="D141" s="49"/>
      <c r="E141" s="49"/>
      <c r="F141" s="49"/>
      <c r="G141" s="89"/>
      <c r="W141" s="59"/>
    </row>
    <row r="142" spans="4:23" ht="12.75">
      <c r="D142" s="49"/>
      <c r="E142" s="49"/>
      <c r="F142" s="49"/>
      <c r="G142" s="89"/>
      <c r="W142" s="59"/>
    </row>
    <row r="143" spans="4:23" ht="12.75">
      <c r="D143" s="49"/>
      <c r="E143" s="49"/>
      <c r="F143" s="49"/>
      <c r="G143" s="89"/>
      <c r="W143" s="59"/>
    </row>
    <row r="144" spans="4:23" ht="12.75">
      <c r="D144" s="49"/>
      <c r="E144" s="49"/>
      <c r="F144" s="49"/>
      <c r="G144" s="89"/>
      <c r="W144" s="59"/>
    </row>
    <row r="145" spans="4:23" ht="12.75">
      <c r="D145" s="49"/>
      <c r="E145" s="49"/>
      <c r="F145" s="49"/>
      <c r="G145" s="89"/>
      <c r="W145" s="59"/>
    </row>
    <row r="146" spans="4:23" ht="12.75">
      <c r="D146" s="49"/>
      <c r="E146" s="49"/>
      <c r="F146" s="49"/>
      <c r="G146" s="89"/>
      <c r="W146" s="59"/>
    </row>
    <row r="147" spans="4:23" ht="12.75">
      <c r="D147" s="49"/>
      <c r="E147" s="49"/>
      <c r="F147" s="49"/>
      <c r="G147" s="89"/>
      <c r="W147" s="59"/>
    </row>
    <row r="148" spans="4:23" ht="12.75">
      <c r="D148" s="49"/>
      <c r="E148" s="49"/>
      <c r="F148" s="49"/>
      <c r="G148" s="89"/>
      <c r="W148" s="59"/>
    </row>
    <row r="149" spans="4:23" ht="12.75">
      <c r="D149" s="49"/>
      <c r="E149" s="49"/>
      <c r="F149" s="49"/>
      <c r="G149" s="89"/>
      <c r="W149" s="59"/>
    </row>
    <row r="150" spans="4:23" ht="12.75">
      <c r="D150" s="49"/>
      <c r="E150" s="49"/>
      <c r="F150" s="49"/>
      <c r="G150" s="89"/>
      <c r="W150" s="59"/>
    </row>
    <row r="151" spans="4:23" ht="12.75">
      <c r="D151" s="49"/>
      <c r="E151" s="49"/>
      <c r="F151" s="49"/>
      <c r="G151" s="89"/>
      <c r="W151" s="59"/>
    </row>
    <row r="152" spans="4:23" ht="12.75">
      <c r="D152" s="49"/>
      <c r="E152" s="49"/>
      <c r="F152" s="49"/>
      <c r="G152" s="89"/>
      <c r="W152" s="59"/>
    </row>
    <row r="153" spans="4:23" ht="12.75">
      <c r="D153" s="49"/>
      <c r="E153" s="49"/>
      <c r="F153" s="49"/>
      <c r="G153" s="89"/>
      <c r="W153" s="59"/>
    </row>
    <row r="154" spans="4:23" ht="12.75">
      <c r="D154" s="49"/>
      <c r="E154" s="49"/>
      <c r="F154" s="49"/>
      <c r="G154" s="89"/>
      <c r="W154" s="59"/>
    </row>
    <row r="155" spans="4:23" ht="12.75">
      <c r="D155" s="49"/>
      <c r="E155" s="49"/>
      <c r="F155" s="49"/>
      <c r="G155" s="89"/>
      <c r="W155" s="59"/>
    </row>
    <row r="156" spans="4:23" ht="12.75">
      <c r="D156" s="49"/>
      <c r="E156" s="49"/>
      <c r="F156" s="49"/>
      <c r="G156" s="89"/>
      <c r="W156" s="59"/>
    </row>
    <row r="157" spans="4:23" ht="12.75">
      <c r="D157" s="49"/>
      <c r="E157" s="49"/>
      <c r="F157" s="49"/>
      <c r="G157" s="89"/>
      <c r="W157" s="59"/>
    </row>
    <row r="158" spans="4:23" ht="12.75">
      <c r="D158" s="49"/>
      <c r="E158" s="49"/>
      <c r="F158" s="49"/>
      <c r="G158" s="89"/>
      <c r="W158" s="59"/>
    </row>
    <row r="159" spans="4:23" ht="12.75">
      <c r="D159" s="49"/>
      <c r="E159" s="49"/>
      <c r="F159" s="49"/>
      <c r="G159" s="89"/>
      <c r="W159" s="59"/>
    </row>
    <row r="160" spans="4:23" ht="12.75">
      <c r="D160" s="49"/>
      <c r="E160" s="49"/>
      <c r="F160" s="49"/>
      <c r="G160" s="89"/>
      <c r="W160" s="59"/>
    </row>
    <row r="161" spans="4:23" ht="12.75">
      <c r="D161" s="49"/>
      <c r="E161" s="49"/>
      <c r="F161" s="49"/>
      <c r="G161" s="89"/>
      <c r="W161" s="59"/>
    </row>
    <row r="162" spans="4:23" ht="12.75">
      <c r="D162" s="49"/>
      <c r="E162" s="49"/>
      <c r="F162" s="49"/>
      <c r="G162" s="89"/>
      <c r="W162" s="59"/>
    </row>
    <row r="163" spans="4:23" ht="12.75">
      <c r="D163" s="49"/>
      <c r="E163" s="49"/>
      <c r="F163" s="49"/>
      <c r="G163" s="89"/>
      <c r="W163" s="59"/>
    </row>
    <row r="164" spans="4:23" ht="12.75">
      <c r="D164" s="49"/>
      <c r="E164" s="49"/>
      <c r="F164" s="49"/>
      <c r="G164" s="89"/>
      <c r="W164" s="59"/>
    </row>
    <row r="165" spans="4:23" ht="12.75">
      <c r="D165" s="49"/>
      <c r="E165" s="49"/>
      <c r="F165" s="49"/>
      <c r="G165" s="89"/>
      <c r="W165" s="59"/>
    </row>
    <row r="166" spans="4:23" ht="12.75">
      <c r="D166" s="49"/>
      <c r="E166" s="49"/>
      <c r="F166" s="49"/>
      <c r="G166" s="89"/>
      <c r="W166" s="59"/>
    </row>
    <row r="167" spans="4:23" ht="12.75">
      <c r="D167" s="49"/>
      <c r="E167" s="49"/>
      <c r="F167" s="49"/>
      <c r="G167" s="89"/>
      <c r="W167" s="59"/>
    </row>
    <row r="168" spans="4:23" ht="12.75">
      <c r="D168" s="49"/>
      <c r="E168" s="49"/>
      <c r="F168" s="49"/>
      <c r="G168" s="89"/>
      <c r="W168" s="59"/>
    </row>
    <row r="169" spans="4:23" ht="12.75">
      <c r="D169" s="49"/>
      <c r="E169" s="49"/>
      <c r="F169" s="49"/>
      <c r="G169" s="89"/>
      <c r="W169" s="59"/>
    </row>
    <row r="170" spans="4:23" ht="12.75">
      <c r="D170" s="49"/>
      <c r="E170" s="49"/>
      <c r="F170" s="49"/>
      <c r="G170" s="89"/>
      <c r="W170" s="59"/>
    </row>
    <row r="171" spans="4:23" ht="12.75">
      <c r="D171" s="49"/>
      <c r="E171" s="49"/>
      <c r="F171" s="49"/>
      <c r="G171" s="89"/>
      <c r="W171" s="59"/>
    </row>
    <row r="172" spans="4:23" ht="12.75">
      <c r="D172" s="49"/>
      <c r="E172" s="49"/>
      <c r="F172" s="49"/>
      <c r="G172" s="89"/>
      <c r="W172" s="59"/>
    </row>
    <row r="173" spans="4:23" ht="12.75">
      <c r="D173" s="49"/>
      <c r="E173" s="49"/>
      <c r="F173" s="49"/>
      <c r="G173" s="89"/>
      <c r="W173" s="59"/>
    </row>
    <row r="174" spans="4:23" ht="12.75">
      <c r="D174" s="49"/>
      <c r="E174" s="49"/>
      <c r="F174" s="49"/>
      <c r="G174" s="89"/>
      <c r="W174" s="59"/>
    </row>
    <row r="175" spans="4:23" ht="12.75">
      <c r="D175" s="49"/>
      <c r="E175" s="49"/>
      <c r="F175" s="49"/>
      <c r="G175" s="89"/>
      <c r="W175" s="59"/>
    </row>
    <row r="176" spans="4:23" ht="12.75">
      <c r="D176" s="49"/>
      <c r="E176" s="49"/>
      <c r="F176" s="49"/>
      <c r="G176" s="89"/>
      <c r="W176" s="59"/>
    </row>
    <row r="177" spans="4:23" ht="12.75">
      <c r="D177" s="49"/>
      <c r="E177" s="49"/>
      <c r="F177" s="49"/>
      <c r="G177" s="89"/>
      <c r="W177" s="59"/>
    </row>
    <row r="178" spans="4:23" ht="12.75">
      <c r="D178" s="49"/>
      <c r="E178" s="49"/>
      <c r="F178" s="49"/>
      <c r="G178" s="89"/>
      <c r="W178" s="59"/>
    </row>
    <row r="179" spans="4:23" ht="12.75">
      <c r="D179" s="49"/>
      <c r="E179" s="49"/>
      <c r="F179" s="49"/>
      <c r="G179" s="89"/>
      <c r="W179" s="59"/>
    </row>
    <row r="180" spans="4:23" ht="12.75">
      <c r="D180" s="49"/>
      <c r="E180" s="49"/>
      <c r="F180" s="49"/>
      <c r="G180" s="89"/>
      <c r="W180" s="59"/>
    </row>
    <row r="181" spans="4:23" ht="12.75">
      <c r="D181" s="49"/>
      <c r="E181" s="49"/>
      <c r="F181" s="49"/>
      <c r="G181" s="89"/>
      <c r="W181" s="59"/>
    </row>
    <row r="182" spans="4:23" ht="12.75">
      <c r="D182" s="49"/>
      <c r="E182" s="49"/>
      <c r="F182" s="49"/>
      <c r="G182" s="89"/>
      <c r="W182" s="59"/>
    </row>
    <row r="183" spans="4:23" ht="12.75">
      <c r="D183" s="49"/>
      <c r="E183" s="49"/>
      <c r="F183" s="49"/>
      <c r="G183" s="89"/>
      <c r="W183" s="59"/>
    </row>
    <row r="184" spans="4:23" ht="12.75">
      <c r="D184" s="49"/>
      <c r="E184" s="49"/>
      <c r="F184" s="49"/>
      <c r="G184" s="89"/>
      <c r="W184" s="59"/>
    </row>
    <row r="185" spans="4:23" ht="12.75">
      <c r="D185" s="49"/>
      <c r="E185" s="49"/>
      <c r="F185" s="49"/>
      <c r="G185" s="89"/>
      <c r="W185" s="59"/>
    </row>
    <row r="186" spans="4:23" ht="12.75">
      <c r="D186" s="49"/>
      <c r="E186" s="49"/>
      <c r="F186" s="49"/>
      <c r="G186" s="89"/>
      <c r="W186" s="59"/>
    </row>
    <row r="187" spans="4:23" ht="12.75">
      <c r="D187" s="49"/>
      <c r="E187" s="49"/>
      <c r="F187" s="49"/>
      <c r="G187" s="89"/>
      <c r="W187" s="59"/>
    </row>
    <row r="188" spans="4:23" ht="12.75">
      <c r="D188" s="49"/>
      <c r="E188" s="49"/>
      <c r="F188" s="49"/>
      <c r="G188" s="89"/>
      <c r="W188" s="59"/>
    </row>
    <row r="189" spans="4:23" ht="12.75">
      <c r="D189" s="49"/>
      <c r="E189" s="49"/>
      <c r="F189" s="49"/>
      <c r="G189" s="89"/>
      <c r="W189" s="59"/>
    </row>
    <row r="190" spans="4:23" ht="12.75">
      <c r="D190" s="49"/>
      <c r="E190" s="49"/>
      <c r="F190" s="49"/>
      <c r="G190" s="89"/>
      <c r="W190" s="59"/>
    </row>
    <row r="191" spans="4:23" ht="12.75">
      <c r="D191" s="49"/>
      <c r="E191" s="49"/>
      <c r="F191" s="49"/>
      <c r="G191" s="89"/>
      <c r="W191" s="59"/>
    </row>
    <row r="192" spans="4:23" ht="12.75">
      <c r="D192" s="49"/>
      <c r="E192" s="49"/>
      <c r="F192" s="49"/>
      <c r="G192" s="89"/>
      <c r="W192" s="59"/>
    </row>
    <row r="193" spans="4:23" ht="12.75">
      <c r="D193" s="49"/>
      <c r="E193" s="49"/>
      <c r="F193" s="49"/>
      <c r="G193" s="89"/>
      <c r="W193" s="59"/>
    </row>
    <row r="194" spans="4:23" ht="12.75">
      <c r="D194" s="49"/>
      <c r="E194" s="49"/>
      <c r="F194" s="49"/>
      <c r="G194" s="89"/>
      <c r="W194" s="59"/>
    </row>
    <row r="195" spans="4:23" ht="12.75">
      <c r="D195" s="49"/>
      <c r="E195" s="49"/>
      <c r="F195" s="49"/>
      <c r="G195" s="89"/>
      <c r="W195" s="59"/>
    </row>
    <row r="196" spans="4:23" ht="12.75">
      <c r="D196" s="49"/>
      <c r="E196" s="49"/>
      <c r="F196" s="49"/>
      <c r="G196" s="89"/>
      <c r="W196" s="59"/>
    </row>
    <row r="197" spans="4:23" ht="12.75">
      <c r="D197" s="49"/>
      <c r="E197" s="49"/>
      <c r="F197" s="49"/>
      <c r="G197" s="89"/>
      <c r="W197" s="59"/>
    </row>
    <row r="198" spans="4:23" ht="12.75">
      <c r="D198" s="49"/>
      <c r="E198" s="49"/>
      <c r="F198" s="49"/>
      <c r="G198" s="89"/>
      <c r="W198" s="59"/>
    </row>
    <row r="199" spans="4:23" ht="12.75">
      <c r="D199" s="49"/>
      <c r="E199" s="49"/>
      <c r="F199" s="49"/>
      <c r="G199" s="89"/>
      <c r="W199" s="59"/>
    </row>
    <row r="200" spans="4:23" ht="12.75">
      <c r="D200" s="49"/>
      <c r="E200" s="49"/>
      <c r="F200" s="49"/>
      <c r="G200" s="89"/>
      <c r="W200" s="59"/>
    </row>
    <row r="201" spans="4:23" ht="12.75">
      <c r="D201" s="49"/>
      <c r="E201" s="49"/>
      <c r="F201" s="49"/>
      <c r="G201" s="89"/>
      <c r="W201" s="59"/>
    </row>
    <row r="202" spans="4:23" ht="12.75">
      <c r="D202" s="49"/>
      <c r="E202" s="49"/>
      <c r="F202" s="49"/>
      <c r="G202" s="89"/>
      <c r="W202" s="59"/>
    </row>
    <row r="203" spans="4:23" ht="12.75">
      <c r="D203" s="49"/>
      <c r="E203" s="49"/>
      <c r="F203" s="49"/>
      <c r="G203" s="89"/>
      <c r="W203" s="59"/>
    </row>
    <row r="204" spans="4:23" ht="12.75">
      <c r="D204" s="49"/>
      <c r="E204" s="49"/>
      <c r="F204" s="49"/>
      <c r="G204" s="89"/>
      <c r="W204" s="59"/>
    </row>
    <row r="205" spans="4:23" ht="12.75">
      <c r="D205" s="49"/>
      <c r="E205" s="49"/>
      <c r="F205" s="49"/>
      <c r="G205" s="89"/>
      <c r="W205" s="59"/>
    </row>
    <row r="206" spans="4:23" ht="12.75">
      <c r="D206" s="49"/>
      <c r="E206" s="49"/>
      <c r="F206" s="49"/>
      <c r="G206" s="89"/>
      <c r="W206" s="59"/>
    </row>
    <row r="207" spans="4:23" ht="12.75">
      <c r="D207" s="49"/>
      <c r="E207" s="49"/>
      <c r="F207" s="49"/>
      <c r="G207" s="89"/>
      <c r="W207" s="59"/>
    </row>
    <row r="208" spans="4:23" ht="12.75">
      <c r="D208" s="49"/>
      <c r="E208" s="49"/>
      <c r="F208" s="49"/>
      <c r="G208" s="89"/>
      <c r="W208" s="59"/>
    </row>
    <row r="209" spans="4:23" ht="12.75">
      <c r="D209" s="49"/>
      <c r="E209" s="49"/>
      <c r="F209" s="49"/>
      <c r="G209" s="89"/>
      <c r="W209" s="59"/>
    </row>
    <row r="210" spans="4:23" ht="12.75">
      <c r="D210" s="49"/>
      <c r="E210" s="49"/>
      <c r="F210" s="49"/>
      <c r="G210" s="89"/>
      <c r="W210" s="59"/>
    </row>
    <row r="211" spans="4:23" ht="12.75">
      <c r="D211" s="49"/>
      <c r="E211" s="49"/>
      <c r="F211" s="49"/>
      <c r="G211" s="89"/>
      <c r="W211" s="59"/>
    </row>
    <row r="212" spans="4:23" ht="12.75">
      <c r="D212" s="49"/>
      <c r="E212" s="49"/>
      <c r="F212" s="49"/>
      <c r="G212" s="89"/>
      <c r="W212" s="59"/>
    </row>
    <row r="213" spans="4:23" ht="12.75">
      <c r="D213" s="49"/>
      <c r="E213" s="49"/>
      <c r="F213" s="49"/>
      <c r="G213" s="89"/>
      <c r="W213" s="59"/>
    </row>
    <row r="214" spans="4:23" ht="12.75">
      <c r="D214" s="49"/>
      <c r="E214" s="49"/>
      <c r="F214" s="49"/>
      <c r="G214" s="89"/>
      <c r="W214" s="59"/>
    </row>
    <row r="215" spans="4:23" ht="12.75">
      <c r="D215" s="49"/>
      <c r="E215" s="49"/>
      <c r="F215" s="49"/>
      <c r="G215" s="89"/>
      <c r="W215" s="59"/>
    </row>
    <row r="216" spans="4:23" ht="12.75">
      <c r="D216" s="49"/>
      <c r="E216" s="49"/>
      <c r="F216" s="49"/>
      <c r="G216" s="89"/>
      <c r="W216" s="59"/>
    </row>
    <row r="217" spans="4:23" ht="12.75">
      <c r="D217" s="49"/>
      <c r="E217" s="49"/>
      <c r="F217" s="49"/>
      <c r="G217" s="89"/>
      <c r="W217" s="59"/>
    </row>
    <row r="218" spans="4:23" ht="12.75">
      <c r="D218" s="49"/>
      <c r="E218" s="49"/>
      <c r="F218" s="49"/>
      <c r="G218" s="89"/>
      <c r="W218" s="59"/>
    </row>
    <row r="219" spans="4:23" ht="12.75">
      <c r="D219" s="49"/>
      <c r="E219" s="49"/>
      <c r="F219" s="49"/>
      <c r="G219" s="89"/>
      <c r="W219" s="59"/>
    </row>
    <row r="220" spans="4:23" ht="12.75">
      <c r="D220" s="49"/>
      <c r="E220" s="49"/>
      <c r="F220" s="49"/>
      <c r="G220" s="89"/>
      <c r="W220" s="59"/>
    </row>
    <row r="221" spans="4:23" ht="12.75">
      <c r="D221" s="49"/>
      <c r="E221" s="49"/>
      <c r="F221" s="49"/>
      <c r="G221" s="89"/>
      <c r="W221" s="59"/>
    </row>
    <row r="222" spans="4:23" ht="12.75">
      <c r="D222" s="49"/>
      <c r="E222" s="49"/>
      <c r="F222" s="49"/>
      <c r="G222" s="89"/>
      <c r="W222" s="59"/>
    </row>
    <row r="223" spans="4:23" ht="12.75">
      <c r="D223" s="49"/>
      <c r="E223" s="49"/>
      <c r="F223" s="49"/>
      <c r="G223" s="89"/>
      <c r="W223" s="59"/>
    </row>
    <row r="224" spans="4:23" ht="12.75">
      <c r="D224" s="49"/>
      <c r="E224" s="49"/>
      <c r="F224" s="49"/>
      <c r="G224" s="89"/>
      <c r="W224" s="59"/>
    </row>
    <row r="225" spans="4:23" ht="12.75">
      <c r="D225" s="49"/>
      <c r="E225" s="49"/>
      <c r="F225" s="49"/>
      <c r="G225" s="89"/>
      <c r="W225" s="59"/>
    </row>
    <row r="226" spans="4:23" ht="12.75">
      <c r="D226" s="49"/>
      <c r="E226" s="49"/>
      <c r="F226" s="49"/>
      <c r="G226" s="89"/>
      <c r="W226" s="59"/>
    </row>
    <row r="227" spans="4:23" ht="12.75">
      <c r="D227" s="49"/>
      <c r="E227" s="49"/>
      <c r="F227" s="49"/>
      <c r="G227" s="89"/>
      <c r="W227" s="59"/>
    </row>
    <row r="228" spans="4:23" ht="12.75">
      <c r="D228" s="49"/>
      <c r="E228" s="49"/>
      <c r="F228" s="49"/>
      <c r="G228" s="89"/>
      <c r="W228" s="59"/>
    </row>
    <row r="229" spans="4:23" ht="12.75">
      <c r="D229" s="49"/>
      <c r="E229" s="49"/>
      <c r="F229" s="49"/>
      <c r="G229" s="89"/>
      <c r="W229" s="59"/>
    </row>
    <row r="230" spans="4:23" ht="12.75">
      <c r="D230" s="49"/>
      <c r="E230" s="49"/>
      <c r="F230" s="49"/>
      <c r="G230" s="89"/>
      <c r="W230" s="59"/>
    </row>
    <row r="231" spans="4:23" ht="12.75">
      <c r="D231" s="49"/>
      <c r="E231" s="49"/>
      <c r="F231" s="49"/>
      <c r="G231" s="89"/>
      <c r="W231" s="59"/>
    </row>
    <row r="232" spans="4:23" ht="12.75">
      <c r="D232" s="49"/>
      <c r="E232" s="49"/>
      <c r="F232" s="49"/>
      <c r="G232" s="89"/>
      <c r="W232" s="59"/>
    </row>
    <row r="233" spans="4:23" ht="12.75">
      <c r="D233" s="49"/>
      <c r="E233" s="49"/>
      <c r="F233" s="49"/>
      <c r="G233" s="89"/>
      <c r="W233" s="59"/>
    </row>
    <row r="234" spans="4:23" ht="12.75">
      <c r="D234" s="49"/>
      <c r="E234" s="49"/>
      <c r="F234" s="49"/>
      <c r="G234" s="89"/>
      <c r="W234" s="59"/>
    </row>
    <row r="235" spans="4:23" ht="12.75">
      <c r="D235" s="49"/>
      <c r="E235" s="49"/>
      <c r="F235" s="49"/>
      <c r="G235" s="89"/>
      <c r="W235" s="59"/>
    </row>
    <row r="236" spans="4:23" ht="12.75">
      <c r="D236" s="49"/>
      <c r="E236" s="49"/>
      <c r="F236" s="49"/>
      <c r="G236" s="89"/>
      <c r="W236" s="59"/>
    </row>
    <row r="237" spans="4:23" ht="12.75">
      <c r="D237" s="49"/>
      <c r="E237" s="49"/>
      <c r="F237" s="49"/>
      <c r="G237" s="89"/>
      <c r="W237" s="59"/>
    </row>
    <row r="238" spans="4:23" ht="12.75">
      <c r="D238" s="49"/>
      <c r="E238" s="49"/>
      <c r="F238" s="49"/>
      <c r="G238" s="89"/>
      <c r="W238" s="59"/>
    </row>
    <row r="239" spans="4:23" ht="12.75">
      <c r="D239" s="49"/>
      <c r="E239" s="49"/>
      <c r="F239" s="49"/>
      <c r="G239" s="89"/>
      <c r="W239" s="59"/>
    </row>
    <row r="240" spans="4:23" ht="12.75">
      <c r="D240" s="49"/>
      <c r="E240" s="49"/>
      <c r="F240" s="49"/>
      <c r="G240" s="89"/>
      <c r="W240" s="59"/>
    </row>
    <row r="241" spans="4:23" ht="12.75">
      <c r="D241" s="49"/>
      <c r="E241" s="49"/>
      <c r="F241" s="49"/>
      <c r="G241" s="89"/>
      <c r="W241" s="59"/>
    </row>
    <row r="242" spans="4:23" ht="12.75">
      <c r="D242" s="49"/>
      <c r="E242" s="49"/>
      <c r="F242" s="49"/>
      <c r="G242" s="89"/>
      <c r="W242" s="59"/>
    </row>
    <row r="243" spans="4:23" ht="12.75">
      <c r="D243" s="49"/>
      <c r="E243" s="49"/>
      <c r="F243" s="49"/>
      <c r="G243" s="89"/>
      <c r="W243" s="59"/>
    </row>
    <row r="244" spans="4:23" ht="12.75">
      <c r="D244" s="49"/>
      <c r="E244" s="49"/>
      <c r="F244" s="49"/>
      <c r="G244" s="89"/>
      <c r="W244" s="59"/>
    </row>
    <row r="245" spans="4:23" ht="12.75">
      <c r="D245" s="49"/>
      <c r="E245" s="49"/>
      <c r="F245" s="49"/>
      <c r="G245" s="89"/>
      <c r="W245" s="59"/>
    </row>
    <row r="246" spans="4:23" ht="12.75">
      <c r="D246" s="49"/>
      <c r="E246" s="49"/>
      <c r="F246" s="49"/>
      <c r="G246" s="89"/>
      <c r="W246" s="59"/>
    </row>
    <row r="247" spans="4:23" ht="12.75">
      <c r="D247" s="49"/>
      <c r="E247" s="49"/>
      <c r="F247" s="49"/>
      <c r="G247" s="89"/>
      <c r="W247" s="59"/>
    </row>
    <row r="248" spans="4:23" ht="12.75">
      <c r="D248" s="49"/>
      <c r="E248" s="49"/>
      <c r="F248" s="49"/>
      <c r="G248" s="89"/>
      <c r="W248" s="59"/>
    </row>
    <row r="249" spans="4:23" ht="12.75">
      <c r="D249" s="49"/>
      <c r="E249" s="49"/>
      <c r="F249" s="49"/>
      <c r="G249" s="89"/>
      <c r="W249" s="59"/>
    </row>
    <row r="250" spans="4:23" ht="12.75">
      <c r="D250" s="49"/>
      <c r="E250" s="49"/>
      <c r="F250" s="49"/>
      <c r="G250" s="89"/>
      <c r="W250" s="59"/>
    </row>
    <row r="251" spans="4:23" ht="12.75">
      <c r="D251" s="49"/>
      <c r="E251" s="49"/>
      <c r="F251" s="49"/>
      <c r="G251" s="89"/>
      <c r="W251" s="59"/>
    </row>
    <row r="252" spans="4:23" ht="12.75">
      <c r="D252" s="49"/>
      <c r="E252" s="49"/>
      <c r="F252" s="49"/>
      <c r="G252" s="89"/>
      <c r="W252" s="59"/>
    </row>
    <row r="253" spans="4:23" ht="12.75">
      <c r="D253" s="49"/>
      <c r="E253" s="49"/>
      <c r="F253" s="49"/>
      <c r="G253" s="89"/>
      <c r="W253" s="59"/>
    </row>
    <row r="254" spans="4:23" ht="12.75">
      <c r="D254" s="49"/>
      <c r="E254" s="49"/>
      <c r="F254" s="49"/>
      <c r="G254" s="89"/>
      <c r="W254" s="59"/>
    </row>
    <row r="255" spans="4:23" ht="12.75">
      <c r="D255" s="49"/>
      <c r="E255" s="49"/>
      <c r="F255" s="49"/>
      <c r="G255" s="89"/>
      <c r="W255" s="59"/>
    </row>
    <row r="256" spans="4:23" ht="12.75">
      <c r="D256" s="49"/>
      <c r="E256" s="49"/>
      <c r="F256" s="49"/>
      <c r="G256" s="89"/>
      <c r="W256" s="59"/>
    </row>
    <row r="257" spans="4:23" ht="12.75">
      <c r="D257" s="49"/>
      <c r="E257" s="49"/>
      <c r="F257" s="49"/>
      <c r="G257" s="89"/>
      <c r="W257" s="59"/>
    </row>
    <row r="258" spans="4:23" ht="12.75">
      <c r="D258" s="49"/>
      <c r="E258" s="49"/>
      <c r="F258" s="49"/>
      <c r="G258" s="89"/>
      <c r="W258" s="59"/>
    </row>
    <row r="259" spans="4:23" ht="12.75">
      <c r="D259" s="49"/>
      <c r="E259" s="49"/>
      <c r="F259" s="49"/>
      <c r="G259" s="89"/>
      <c r="W259" s="59"/>
    </row>
    <row r="260" spans="4:23" ht="12.75">
      <c r="D260" s="49"/>
      <c r="E260" s="49"/>
      <c r="F260" s="49"/>
      <c r="G260" s="89"/>
      <c r="W260" s="59"/>
    </row>
    <row r="261" spans="4:23" ht="12.75">
      <c r="D261" s="49"/>
      <c r="E261" s="49"/>
      <c r="F261" s="49"/>
      <c r="G261" s="89"/>
      <c r="W261" s="59"/>
    </row>
    <row r="262" spans="4:23" ht="12.75">
      <c r="D262" s="49"/>
      <c r="E262" s="49"/>
      <c r="F262" s="49"/>
      <c r="G262" s="89"/>
      <c r="W262" s="59"/>
    </row>
    <row r="263" spans="4:23" ht="12.75">
      <c r="D263" s="49"/>
      <c r="E263" s="49"/>
      <c r="F263" s="49"/>
      <c r="G263" s="89"/>
      <c r="W263" s="59"/>
    </row>
    <row r="264" spans="4:23" ht="12.75">
      <c r="D264" s="49"/>
      <c r="E264" s="49"/>
      <c r="F264" s="49"/>
      <c r="G264" s="89"/>
      <c r="W264" s="59"/>
    </row>
    <row r="265" spans="4:23" ht="12.75">
      <c r="D265" s="49"/>
      <c r="E265" s="49"/>
      <c r="F265" s="49"/>
      <c r="G265" s="89"/>
      <c r="W265" s="59"/>
    </row>
    <row r="266" spans="4:23" ht="12.75">
      <c r="D266" s="49"/>
      <c r="E266" s="49"/>
      <c r="F266" s="49"/>
      <c r="G266" s="89"/>
      <c r="W266" s="59"/>
    </row>
    <row r="267" spans="4:23" ht="12.75">
      <c r="D267" s="49"/>
      <c r="E267" s="49"/>
      <c r="F267" s="49"/>
      <c r="G267" s="89"/>
      <c r="W267" s="59"/>
    </row>
    <row r="268" spans="4:23" ht="12.75">
      <c r="D268" s="49"/>
      <c r="E268" s="49"/>
      <c r="F268" s="49"/>
      <c r="G268" s="89"/>
      <c r="W268" s="59"/>
    </row>
    <row r="269" spans="4:23" ht="12.75">
      <c r="D269" s="49"/>
      <c r="E269" s="49"/>
      <c r="F269" s="49"/>
      <c r="G269" s="89"/>
      <c r="W269" s="59"/>
    </row>
    <row r="270" spans="4:23" ht="12.75">
      <c r="D270" s="49"/>
      <c r="E270" s="49"/>
      <c r="F270" s="49"/>
      <c r="G270" s="89"/>
      <c r="W270" s="59"/>
    </row>
    <row r="271" spans="4:23" ht="12.75">
      <c r="D271" s="49"/>
      <c r="E271" s="49"/>
      <c r="F271" s="49"/>
      <c r="G271" s="89"/>
      <c r="W271" s="59"/>
    </row>
    <row r="272" spans="4:23" ht="12.75">
      <c r="D272" s="49"/>
      <c r="E272" s="49"/>
      <c r="F272" s="49"/>
      <c r="G272" s="89"/>
      <c r="W272" s="59"/>
    </row>
    <row r="273" spans="4:23" ht="12.75">
      <c r="D273" s="49"/>
      <c r="E273" s="49"/>
      <c r="F273" s="49"/>
      <c r="G273" s="89"/>
      <c r="W273" s="59"/>
    </row>
    <row r="274" spans="4:23" ht="12.75">
      <c r="D274" s="49"/>
      <c r="E274" s="49"/>
      <c r="F274" s="49"/>
      <c r="G274" s="89"/>
      <c r="W274" s="59"/>
    </row>
    <row r="275" spans="4:23" ht="12.75">
      <c r="D275" s="49"/>
      <c r="E275" s="49"/>
      <c r="F275" s="49"/>
      <c r="G275" s="89"/>
      <c r="W275" s="59"/>
    </row>
    <row r="276" spans="4:23" ht="12.75">
      <c r="D276" s="49"/>
      <c r="E276" s="49"/>
      <c r="F276" s="49"/>
      <c r="G276" s="89"/>
      <c r="W276" s="59"/>
    </row>
    <row r="277" spans="4:23" ht="12.75">
      <c r="D277" s="49"/>
      <c r="E277" s="49"/>
      <c r="F277" s="49"/>
      <c r="G277" s="89"/>
      <c r="W277" s="59"/>
    </row>
    <row r="278" spans="4:23" ht="12.75">
      <c r="D278" s="49"/>
      <c r="E278" s="49"/>
      <c r="F278" s="49"/>
      <c r="G278" s="89"/>
      <c r="W278" s="59"/>
    </row>
    <row r="279" spans="4:23" ht="12.75">
      <c r="D279" s="49"/>
      <c r="E279" s="49"/>
      <c r="F279" s="49"/>
      <c r="G279" s="89"/>
      <c r="W279" s="59"/>
    </row>
    <row r="280" spans="4:23" ht="12.75">
      <c r="D280" s="49"/>
      <c r="E280" s="49"/>
      <c r="F280" s="49"/>
      <c r="G280" s="89"/>
      <c r="W280" s="59"/>
    </row>
    <row r="281" spans="4:23" ht="12.75">
      <c r="D281" s="49"/>
      <c r="E281" s="49"/>
      <c r="F281" s="49"/>
      <c r="G281" s="89"/>
      <c r="W281" s="59"/>
    </row>
    <row r="282" spans="4:23" ht="12.75">
      <c r="D282" s="49"/>
      <c r="E282" s="49"/>
      <c r="F282" s="49"/>
      <c r="G282" s="89"/>
      <c r="W282" s="59"/>
    </row>
    <row r="283" spans="4:23" ht="12.75">
      <c r="D283" s="49"/>
      <c r="E283" s="49"/>
      <c r="F283" s="49"/>
      <c r="G283" s="89"/>
      <c r="W283" s="59"/>
    </row>
    <row r="284" spans="4:23" ht="12.75">
      <c r="D284" s="49"/>
      <c r="E284" s="49"/>
      <c r="F284" s="49"/>
      <c r="G284" s="89"/>
      <c r="W284" s="59"/>
    </row>
    <row r="285" spans="4:23" ht="12.75">
      <c r="D285" s="49"/>
      <c r="E285" s="49"/>
      <c r="F285" s="49"/>
      <c r="G285" s="89"/>
      <c r="W285" s="59"/>
    </row>
    <row r="286" spans="4:23" ht="12.75">
      <c r="D286" s="49"/>
      <c r="E286" s="49"/>
      <c r="F286" s="49"/>
      <c r="G286" s="89"/>
      <c r="W286" s="59"/>
    </row>
    <row r="287" spans="4:23" ht="12.75">
      <c r="D287" s="49"/>
      <c r="E287" s="49"/>
      <c r="F287" s="49"/>
      <c r="G287" s="89"/>
      <c r="W287" s="59"/>
    </row>
    <row r="288" spans="4:23" ht="12.75">
      <c r="D288" s="49"/>
      <c r="E288" s="49"/>
      <c r="F288" s="49"/>
      <c r="G288" s="89"/>
      <c r="W288" s="59"/>
    </row>
    <row r="289" spans="4:23" ht="12.75">
      <c r="D289" s="49"/>
      <c r="E289" s="49"/>
      <c r="F289" s="49"/>
      <c r="G289" s="89"/>
      <c r="W289" s="59"/>
    </row>
    <row r="290" spans="4:23" ht="12.75">
      <c r="D290" s="49"/>
      <c r="E290" s="49"/>
      <c r="F290" s="49"/>
      <c r="G290" s="89"/>
      <c r="W290" s="59"/>
    </row>
    <row r="291" spans="4:23" ht="12.75">
      <c r="D291" s="49"/>
      <c r="E291" s="49"/>
      <c r="F291" s="49"/>
      <c r="G291" s="89"/>
      <c r="W291" s="59"/>
    </row>
    <row r="292" spans="4:23" ht="12.75">
      <c r="D292" s="49"/>
      <c r="E292" s="49"/>
      <c r="F292" s="49"/>
      <c r="G292" s="89"/>
      <c r="W292" s="59"/>
    </row>
    <row r="293" spans="4:23" ht="12.75">
      <c r="D293" s="49"/>
      <c r="E293" s="49"/>
      <c r="F293" s="49"/>
      <c r="G293" s="89"/>
      <c r="W293" s="59"/>
    </row>
    <row r="294" spans="4:23" ht="12.75">
      <c r="D294" s="49"/>
      <c r="E294" s="49"/>
      <c r="F294" s="49"/>
      <c r="G294" s="89"/>
      <c r="W294" s="59"/>
    </row>
    <row r="295" spans="4:23" ht="12.75">
      <c r="D295" s="49"/>
      <c r="E295" s="49"/>
      <c r="F295" s="49"/>
      <c r="G295" s="89"/>
      <c r="W295" s="59"/>
    </row>
    <row r="296" spans="4:23" ht="12.75">
      <c r="D296" s="49"/>
      <c r="E296" s="49"/>
      <c r="F296" s="49"/>
      <c r="G296" s="89"/>
      <c r="W296" s="59"/>
    </row>
    <row r="297" spans="4:23" ht="12.75">
      <c r="D297" s="49"/>
      <c r="E297" s="49"/>
      <c r="F297" s="49"/>
      <c r="G297" s="89"/>
      <c r="W297" s="59"/>
    </row>
    <row r="298" spans="4:23" ht="12.75">
      <c r="D298" s="49"/>
      <c r="E298" s="49"/>
      <c r="F298" s="49"/>
      <c r="G298" s="89"/>
      <c r="W298" s="59"/>
    </row>
    <row r="299" spans="4:23" ht="12.75">
      <c r="D299" s="49"/>
      <c r="E299" s="49"/>
      <c r="F299" s="49"/>
      <c r="G299" s="89"/>
      <c r="W299" s="59"/>
    </row>
    <row r="300" spans="4:23" ht="12.75">
      <c r="D300" s="49"/>
      <c r="E300" s="49"/>
      <c r="F300" s="49"/>
      <c r="G300" s="89"/>
      <c r="W300" s="59"/>
    </row>
    <row r="301" spans="4:23" ht="12.75">
      <c r="D301" s="49"/>
      <c r="E301" s="49"/>
      <c r="F301" s="49"/>
      <c r="G301" s="89"/>
      <c r="W301" s="59"/>
    </row>
    <row r="302" spans="4:23" ht="12.75">
      <c r="D302" s="49"/>
      <c r="E302" s="49"/>
      <c r="F302" s="49"/>
      <c r="G302" s="89"/>
      <c r="W302" s="59"/>
    </row>
    <row r="303" spans="4:23" ht="12.75">
      <c r="D303" s="49"/>
      <c r="E303" s="49"/>
      <c r="F303" s="49"/>
      <c r="G303" s="89"/>
      <c r="W303" s="59"/>
    </row>
    <row r="304" spans="4:23" ht="12.75">
      <c r="D304" s="49"/>
      <c r="E304" s="49"/>
      <c r="F304" s="49"/>
      <c r="G304" s="89"/>
      <c r="W304" s="59"/>
    </row>
    <row r="305" spans="4:23" ht="12.75">
      <c r="D305" s="49"/>
      <c r="E305" s="49"/>
      <c r="F305" s="49"/>
      <c r="G305" s="89"/>
      <c r="W305" s="59"/>
    </row>
    <row r="306" spans="4:23" ht="12.75">
      <c r="D306" s="49"/>
      <c r="E306" s="49"/>
      <c r="F306" s="49"/>
      <c r="G306" s="89"/>
      <c r="W306" s="59"/>
    </row>
    <row r="307" spans="4:23" ht="12.75">
      <c r="D307" s="49"/>
      <c r="E307" s="49"/>
      <c r="F307" s="49"/>
      <c r="G307" s="89"/>
      <c r="W307" s="59"/>
    </row>
    <row r="308" spans="4:23" ht="12.75">
      <c r="D308" s="49"/>
      <c r="E308" s="49"/>
      <c r="F308" s="49"/>
      <c r="G308" s="89"/>
      <c r="W308" s="59"/>
    </row>
    <row r="309" spans="4:23" ht="12.75">
      <c r="D309" s="49"/>
      <c r="E309" s="49"/>
      <c r="F309" s="49"/>
      <c r="G309" s="89"/>
      <c r="W309" s="59"/>
    </row>
    <row r="310" spans="4:23" ht="12.75">
      <c r="D310" s="49"/>
      <c r="E310" s="49"/>
      <c r="F310" s="49"/>
      <c r="G310" s="89"/>
      <c r="W310" s="59"/>
    </row>
    <row r="311" spans="4:23" ht="12.75">
      <c r="D311" s="49"/>
      <c r="E311" s="49"/>
      <c r="F311" s="49"/>
      <c r="G311" s="89"/>
      <c r="W311" s="59"/>
    </row>
    <row r="312" spans="4:23" ht="12.75">
      <c r="D312" s="49"/>
      <c r="E312" s="49"/>
      <c r="F312" s="49"/>
      <c r="G312" s="89"/>
      <c r="W312" s="59"/>
    </row>
    <row r="313" spans="4:23" ht="12.75">
      <c r="D313" s="49"/>
      <c r="E313" s="49"/>
      <c r="F313" s="49"/>
      <c r="G313" s="89"/>
      <c r="W313" s="59"/>
    </row>
    <row r="314" spans="4:23" ht="12.75">
      <c r="D314" s="49"/>
      <c r="E314" s="49"/>
      <c r="F314" s="49"/>
      <c r="G314" s="89"/>
      <c r="W314" s="59"/>
    </row>
    <row r="315" spans="4:23" ht="12.75">
      <c r="D315" s="49"/>
      <c r="E315" s="49"/>
      <c r="F315" s="49"/>
      <c r="G315" s="89"/>
      <c r="W315" s="59"/>
    </row>
    <row r="316" spans="4:23" ht="12.75">
      <c r="D316" s="49"/>
      <c r="E316" s="49"/>
      <c r="F316" s="49"/>
      <c r="G316" s="89"/>
      <c r="W316" s="59"/>
    </row>
    <row r="317" spans="4:23" ht="12.75">
      <c r="D317" s="49"/>
      <c r="E317" s="49"/>
      <c r="F317" s="49"/>
      <c r="G317" s="89"/>
      <c r="W317" s="59"/>
    </row>
    <row r="318" spans="4:23" ht="12.75">
      <c r="D318" s="49"/>
      <c r="E318" s="49"/>
      <c r="F318" s="49"/>
      <c r="G318" s="89"/>
      <c r="W318" s="59"/>
    </row>
    <row r="319" spans="4:23" ht="12.75">
      <c r="D319" s="49"/>
      <c r="E319" s="49"/>
      <c r="F319" s="49"/>
      <c r="G319" s="89"/>
      <c r="W319" s="59"/>
    </row>
    <row r="320" spans="4:23" ht="12.75">
      <c r="D320" s="49"/>
      <c r="E320" s="49"/>
      <c r="F320" s="49"/>
      <c r="G320" s="89"/>
      <c r="W320" s="59"/>
    </row>
    <row r="321" spans="4:23" ht="12.75">
      <c r="D321" s="49"/>
      <c r="E321" s="49"/>
      <c r="F321" s="49"/>
      <c r="G321" s="89"/>
      <c r="W321" s="59"/>
    </row>
    <row r="322" spans="4:23" ht="12.75">
      <c r="D322" s="49"/>
      <c r="E322" s="49"/>
      <c r="F322" s="49"/>
      <c r="G322" s="89"/>
      <c r="W322" s="59"/>
    </row>
    <row r="323" spans="4:23" ht="12.75">
      <c r="D323" s="49"/>
      <c r="E323" s="49"/>
      <c r="F323" s="49"/>
      <c r="G323" s="89"/>
      <c r="W323" s="59"/>
    </row>
    <row r="324" spans="4:23" ht="12.75">
      <c r="D324" s="49"/>
      <c r="E324" s="49"/>
      <c r="F324" s="49"/>
      <c r="G324" s="89"/>
      <c r="W324" s="59"/>
    </row>
    <row r="325" spans="4:23" ht="12.75">
      <c r="D325" s="49"/>
      <c r="E325" s="49"/>
      <c r="F325" s="49"/>
      <c r="G325" s="89"/>
      <c r="W325" s="59"/>
    </row>
    <row r="326" spans="4:23" ht="12.75">
      <c r="D326" s="49"/>
      <c r="E326" s="49"/>
      <c r="F326" s="49"/>
      <c r="G326" s="89"/>
      <c r="W326" s="59"/>
    </row>
    <row r="327" spans="4:23" ht="12.75">
      <c r="D327" s="49"/>
      <c r="E327" s="49"/>
      <c r="F327" s="49"/>
      <c r="G327" s="89"/>
      <c r="W327" s="59"/>
    </row>
    <row r="328" spans="4:23" ht="12.75">
      <c r="D328" s="49"/>
      <c r="E328" s="49"/>
      <c r="F328" s="49"/>
      <c r="G328" s="89"/>
      <c r="W328" s="59"/>
    </row>
    <row r="329" spans="4:23" ht="12.75">
      <c r="D329" s="49"/>
      <c r="E329" s="49"/>
      <c r="F329" s="49"/>
      <c r="G329" s="89"/>
      <c r="W329" s="59"/>
    </row>
    <row r="330" spans="4:23" ht="12.75">
      <c r="D330" s="49"/>
      <c r="E330" s="49"/>
      <c r="F330" s="49"/>
      <c r="G330" s="89"/>
      <c r="W330" s="59"/>
    </row>
    <row r="331" spans="4:23" ht="12.75">
      <c r="D331" s="49"/>
      <c r="E331" s="49"/>
      <c r="F331" s="49"/>
      <c r="G331" s="89"/>
      <c r="W331" s="59"/>
    </row>
    <row r="332" spans="4:23" ht="12.75">
      <c r="D332" s="49"/>
      <c r="E332" s="49"/>
      <c r="F332" s="49"/>
      <c r="G332" s="89"/>
      <c r="W332" s="59"/>
    </row>
    <row r="333" spans="4:23" ht="12.75">
      <c r="D333" s="49"/>
      <c r="E333" s="49"/>
      <c r="F333" s="49"/>
      <c r="G333" s="89"/>
      <c r="W333" s="59"/>
    </row>
    <row r="334" spans="4:23" ht="12.75">
      <c r="D334" s="49"/>
      <c r="E334" s="49"/>
      <c r="F334" s="49"/>
      <c r="G334" s="89"/>
      <c r="W334" s="59"/>
    </row>
    <row r="335" spans="4:23" ht="12.75">
      <c r="D335" s="49"/>
      <c r="E335" s="49"/>
      <c r="F335" s="49"/>
      <c r="G335" s="89"/>
      <c r="W335" s="59"/>
    </row>
    <row r="336" spans="4:23" ht="12.75">
      <c r="D336" s="49"/>
      <c r="E336" s="49"/>
      <c r="F336" s="49"/>
      <c r="G336" s="89"/>
      <c r="W336" s="59"/>
    </row>
    <row r="337" spans="4:23" ht="12.75">
      <c r="D337" s="49"/>
      <c r="E337" s="49"/>
      <c r="F337" s="49"/>
      <c r="G337" s="89"/>
      <c r="W337" s="59"/>
    </row>
    <row r="338" spans="4:23" ht="12.75">
      <c r="D338" s="49"/>
      <c r="E338" s="49"/>
      <c r="F338" s="49"/>
      <c r="G338" s="89"/>
      <c r="W338" s="59"/>
    </row>
    <row r="339" spans="4:23" ht="12.75">
      <c r="D339" s="49"/>
      <c r="E339" s="49"/>
      <c r="F339" s="49"/>
      <c r="G339" s="89"/>
      <c r="W339" s="59"/>
    </row>
    <row r="340" spans="4:23" ht="12.75">
      <c r="D340" s="49"/>
      <c r="E340" s="49"/>
      <c r="F340" s="49"/>
      <c r="G340" s="89"/>
      <c r="W340" s="59"/>
    </row>
    <row r="341" spans="4:23" ht="12.75">
      <c r="D341" s="49"/>
      <c r="E341" s="49"/>
      <c r="F341" s="49"/>
      <c r="G341" s="89"/>
      <c r="W341" s="59"/>
    </row>
    <row r="342" spans="4:23" ht="12.75">
      <c r="D342" s="49"/>
      <c r="E342" s="49"/>
      <c r="F342" s="49"/>
      <c r="G342" s="89"/>
      <c r="W342" s="59"/>
    </row>
    <row r="343" spans="4:23" ht="12.75">
      <c r="D343" s="49"/>
      <c r="E343" s="49"/>
      <c r="F343" s="49"/>
      <c r="G343" s="89"/>
      <c r="W343" s="59"/>
    </row>
    <row r="344" spans="4:23" ht="12.75">
      <c r="D344" s="49"/>
      <c r="E344" s="49"/>
      <c r="F344" s="49"/>
      <c r="G344" s="89"/>
      <c r="W344" s="59"/>
    </row>
    <row r="345" spans="4:23" ht="12.75">
      <c r="D345" s="49"/>
      <c r="E345" s="49"/>
      <c r="F345" s="49"/>
      <c r="G345" s="89"/>
      <c r="W345" s="59"/>
    </row>
    <row r="346" spans="4:23" ht="12.75">
      <c r="D346" s="49"/>
      <c r="E346" s="49"/>
      <c r="F346" s="49"/>
      <c r="G346" s="89"/>
      <c r="W346" s="59"/>
    </row>
    <row r="347" spans="4:23" ht="12.75">
      <c r="D347" s="49"/>
      <c r="E347" s="49"/>
      <c r="F347" s="49"/>
      <c r="G347" s="89"/>
      <c r="W347" s="59"/>
    </row>
    <row r="348" spans="4:23" ht="12.75">
      <c r="D348" s="49"/>
      <c r="E348" s="49"/>
      <c r="F348" s="49"/>
      <c r="G348" s="89"/>
      <c r="W348" s="59"/>
    </row>
    <row r="349" spans="4:23" ht="12.75">
      <c r="D349" s="49"/>
      <c r="E349" s="49"/>
      <c r="F349" s="49"/>
      <c r="G349" s="89"/>
      <c r="W349" s="59"/>
    </row>
    <row r="350" spans="4:23" ht="12.75">
      <c r="D350" s="49"/>
      <c r="E350" s="49"/>
      <c r="F350" s="49"/>
      <c r="G350" s="89"/>
      <c r="W350" s="59"/>
    </row>
    <row r="351" spans="4:23" ht="12.75">
      <c r="D351" s="49"/>
      <c r="E351" s="49"/>
      <c r="F351" s="49"/>
      <c r="G351" s="89"/>
      <c r="W351" s="59"/>
    </row>
    <row r="352" spans="4:23" ht="12.75">
      <c r="D352" s="49"/>
      <c r="E352" s="49"/>
      <c r="F352" s="49"/>
      <c r="G352" s="89"/>
      <c r="W352" s="59"/>
    </row>
    <row r="353" spans="4:23" ht="12.75">
      <c r="D353" s="49"/>
      <c r="E353" s="49"/>
      <c r="F353" s="49"/>
      <c r="G353" s="89"/>
      <c r="W353" s="59"/>
    </row>
    <row r="354" spans="4:23" ht="12.75">
      <c r="D354" s="49"/>
      <c r="E354" s="49"/>
      <c r="F354" s="49"/>
      <c r="G354" s="89"/>
      <c r="W354" s="59"/>
    </row>
    <row r="355" spans="4:23" ht="12.75">
      <c r="D355" s="49"/>
      <c r="E355" s="49"/>
      <c r="F355" s="49"/>
      <c r="G355" s="89"/>
      <c r="W355" s="59"/>
    </row>
    <row r="356" spans="4:23" ht="12.75">
      <c r="D356" s="49"/>
      <c r="E356" s="49"/>
      <c r="F356" s="49"/>
      <c r="G356" s="89"/>
      <c r="W356" s="59"/>
    </row>
    <row r="357" spans="4:23" ht="12.75">
      <c r="D357" s="49"/>
      <c r="E357" s="49"/>
      <c r="F357" s="49"/>
      <c r="G357" s="89"/>
      <c r="W357" s="59"/>
    </row>
    <row r="358" spans="4:23" ht="12.75">
      <c r="D358" s="49"/>
      <c r="E358" s="49"/>
      <c r="F358" s="49"/>
      <c r="G358" s="89"/>
      <c r="W358" s="59"/>
    </row>
    <row r="359" spans="4:23" ht="12.75">
      <c r="D359" s="49"/>
      <c r="E359" s="49"/>
      <c r="F359" s="49"/>
      <c r="G359" s="89"/>
      <c r="W359" s="59"/>
    </row>
    <row r="360" spans="4:23" ht="12.75">
      <c r="D360" s="49"/>
      <c r="E360" s="49"/>
      <c r="F360" s="49"/>
      <c r="G360" s="89"/>
      <c r="W360" s="59"/>
    </row>
    <row r="361" spans="4:23" ht="12.75">
      <c r="D361" s="49"/>
      <c r="E361" s="49"/>
      <c r="F361" s="49"/>
      <c r="G361" s="89"/>
      <c r="W361" s="59"/>
    </row>
    <row r="362" spans="4:23" ht="12.75">
      <c r="D362" s="49"/>
      <c r="E362" s="49"/>
      <c r="F362" s="49"/>
      <c r="G362" s="89"/>
      <c r="W362" s="59"/>
    </row>
    <row r="363" spans="4:23" ht="12.75">
      <c r="D363" s="49"/>
      <c r="E363" s="49"/>
      <c r="F363" s="49"/>
      <c r="G363" s="89"/>
      <c r="W363" s="59"/>
    </row>
    <row r="364" spans="4:23" ht="12.75">
      <c r="D364" s="49"/>
      <c r="E364" s="49"/>
      <c r="F364" s="49"/>
      <c r="G364" s="89"/>
      <c r="W364" s="59"/>
    </row>
    <row r="365" spans="4:23" ht="12.75">
      <c r="D365" s="49"/>
      <c r="E365" s="49"/>
      <c r="F365" s="49"/>
      <c r="G365" s="89"/>
      <c r="W365" s="59"/>
    </row>
    <row r="366" spans="4:23" ht="12.75">
      <c r="D366" s="49"/>
      <c r="E366" s="49"/>
      <c r="F366" s="49"/>
      <c r="G366" s="89"/>
      <c r="W366" s="59"/>
    </row>
    <row r="367" spans="4:23" ht="12.75">
      <c r="D367" s="49"/>
      <c r="E367" s="49"/>
      <c r="F367" s="49"/>
      <c r="G367" s="89"/>
      <c r="W367" s="59"/>
    </row>
    <row r="368" spans="4:23" ht="12.75">
      <c r="D368" s="49"/>
      <c r="E368" s="49"/>
      <c r="F368" s="49"/>
      <c r="G368" s="89"/>
      <c r="W368" s="59"/>
    </row>
    <row r="369" spans="4:23" ht="12.75">
      <c r="D369" s="49"/>
      <c r="E369" s="49"/>
      <c r="F369" s="49"/>
      <c r="G369" s="89"/>
      <c r="W369" s="59"/>
    </row>
    <row r="370" spans="4:23" ht="12.75">
      <c r="D370" s="49"/>
      <c r="E370" s="49"/>
      <c r="F370" s="49"/>
      <c r="G370" s="89"/>
      <c r="W370" s="59"/>
    </row>
    <row r="371" spans="4:23" ht="12.75">
      <c r="D371" s="49"/>
      <c r="E371" s="49"/>
      <c r="F371" s="49"/>
      <c r="G371" s="89"/>
      <c r="W371" s="59"/>
    </row>
    <row r="372" spans="4:23" ht="12.75">
      <c r="D372" s="49"/>
      <c r="E372" s="49"/>
      <c r="F372" s="49"/>
      <c r="G372" s="89"/>
      <c r="W372" s="59"/>
    </row>
    <row r="373" spans="4:23" ht="12.75">
      <c r="D373" s="49"/>
      <c r="E373" s="49"/>
      <c r="F373" s="49"/>
      <c r="G373" s="89"/>
      <c r="W373" s="59"/>
    </row>
    <row r="374" spans="4:23" ht="12.75">
      <c r="D374" s="49"/>
      <c r="E374" s="49"/>
      <c r="F374" s="49"/>
      <c r="G374" s="89"/>
      <c r="W374" s="59"/>
    </row>
    <row r="375" spans="4:23" ht="12.75">
      <c r="D375" s="49"/>
      <c r="E375" s="49"/>
      <c r="F375" s="49"/>
      <c r="G375" s="89"/>
      <c r="W375" s="59"/>
    </row>
    <row r="376" spans="4:23" ht="12.75">
      <c r="D376" s="49"/>
      <c r="E376" s="49"/>
      <c r="F376" s="49"/>
      <c r="G376" s="89"/>
      <c r="W376" s="59"/>
    </row>
    <row r="377" spans="4:23" ht="12.75">
      <c r="D377" s="49"/>
      <c r="E377" s="49"/>
      <c r="F377" s="49"/>
      <c r="G377" s="89"/>
      <c r="W377" s="59"/>
    </row>
    <row r="378" spans="4:23" ht="12.75">
      <c r="D378" s="49"/>
      <c r="E378" s="49"/>
      <c r="F378" s="49"/>
      <c r="G378" s="89"/>
      <c r="W378" s="59"/>
    </row>
    <row r="379" spans="4:23" ht="12.75">
      <c r="D379" s="49"/>
      <c r="E379" s="49"/>
      <c r="F379" s="49"/>
      <c r="G379" s="89"/>
      <c r="W379" s="59"/>
    </row>
    <row r="380" spans="4:23" ht="12.75">
      <c r="D380" s="49"/>
      <c r="E380" s="49"/>
      <c r="F380" s="49"/>
      <c r="G380" s="89"/>
      <c r="W380" s="59"/>
    </row>
    <row r="381" spans="4:23" ht="12.75">
      <c r="D381" s="49"/>
      <c r="E381" s="49"/>
      <c r="F381" s="49"/>
      <c r="G381" s="89"/>
      <c r="W381" s="59"/>
    </row>
    <row r="382" spans="4:23" ht="12.75">
      <c r="D382" s="49"/>
      <c r="E382" s="49"/>
      <c r="F382" s="49"/>
      <c r="G382" s="89"/>
      <c r="W382" s="59"/>
    </row>
    <row r="383" spans="4:23" ht="12.75">
      <c r="D383" s="49"/>
      <c r="E383" s="49"/>
      <c r="F383" s="49"/>
      <c r="G383" s="89"/>
      <c r="W383" s="59"/>
    </row>
    <row r="384" spans="4:23" ht="12.75">
      <c r="D384" s="49"/>
      <c r="E384" s="49"/>
      <c r="F384" s="49"/>
      <c r="G384" s="89"/>
      <c r="W384" s="59"/>
    </row>
    <row r="385" spans="4:23" ht="12.75">
      <c r="D385" s="49"/>
      <c r="E385" s="49"/>
      <c r="F385" s="49"/>
      <c r="G385" s="89"/>
      <c r="W385" s="59"/>
    </row>
    <row r="386" spans="4:23" ht="12.75">
      <c r="D386" s="49"/>
      <c r="E386" s="49"/>
      <c r="F386" s="49"/>
      <c r="G386" s="89"/>
      <c r="W386" s="59"/>
    </row>
    <row r="387" spans="4:23" ht="12.75">
      <c r="D387" s="49"/>
      <c r="E387" s="49"/>
      <c r="F387" s="49"/>
      <c r="G387" s="89"/>
      <c r="W387" s="59"/>
    </row>
    <row r="388" spans="4:23" ht="12.75">
      <c r="D388" s="49"/>
      <c r="E388" s="49"/>
      <c r="F388" s="49"/>
      <c r="G388" s="89"/>
      <c r="W388" s="59"/>
    </row>
    <row r="389" spans="4:23" ht="12.75">
      <c r="D389" s="49"/>
      <c r="E389" s="49"/>
      <c r="F389" s="49"/>
      <c r="G389" s="89"/>
      <c r="W389" s="59"/>
    </row>
    <row r="390" spans="4:23" ht="12.75">
      <c r="D390" s="49"/>
      <c r="E390" s="49"/>
      <c r="F390" s="49"/>
      <c r="G390" s="89"/>
      <c r="W390" s="59"/>
    </row>
    <row r="391" spans="4:23" ht="12.75">
      <c r="D391" s="49"/>
      <c r="E391" s="49"/>
      <c r="F391" s="49"/>
      <c r="G391" s="89"/>
      <c r="W391" s="59"/>
    </row>
    <row r="392" spans="4:23" ht="12.75">
      <c r="D392" s="49"/>
      <c r="E392" s="49"/>
      <c r="F392" s="49"/>
      <c r="G392" s="89"/>
      <c r="W392" s="59"/>
    </row>
    <row r="393" spans="4:23" ht="12.75">
      <c r="D393" s="49"/>
      <c r="E393" s="49"/>
      <c r="F393" s="49"/>
      <c r="G393" s="89"/>
      <c r="W393" s="59"/>
    </row>
    <row r="394" spans="4:23" ht="12.75">
      <c r="D394" s="49"/>
      <c r="E394" s="49"/>
      <c r="F394" s="49"/>
      <c r="G394" s="89"/>
      <c r="W394" s="59"/>
    </row>
    <row r="395" spans="4:23" ht="12.75">
      <c r="D395" s="49"/>
      <c r="E395" s="49"/>
      <c r="F395" s="49"/>
      <c r="G395" s="89"/>
      <c r="W395" s="59"/>
    </row>
    <row r="396" spans="4:23" ht="12.75">
      <c r="D396" s="49"/>
      <c r="E396" s="49"/>
      <c r="F396" s="49"/>
      <c r="G396" s="89"/>
      <c r="W396" s="59"/>
    </row>
    <row r="397" spans="4:23" ht="12.75">
      <c r="D397" s="49"/>
      <c r="E397" s="49"/>
      <c r="F397" s="49"/>
      <c r="G397" s="89"/>
      <c r="W397" s="59"/>
    </row>
    <row r="398" spans="4:23" ht="12.75">
      <c r="D398" s="49"/>
      <c r="E398" s="49"/>
      <c r="F398" s="49"/>
      <c r="G398" s="89"/>
      <c r="W398" s="59"/>
    </row>
    <row r="399" spans="4:23" ht="12.75">
      <c r="D399" s="49"/>
      <c r="E399" s="49"/>
      <c r="F399" s="49"/>
      <c r="G399" s="89"/>
      <c r="W399" s="59"/>
    </row>
    <row r="400" spans="4:23" ht="12.75">
      <c r="D400" s="49"/>
      <c r="E400" s="49"/>
      <c r="F400" s="49"/>
      <c r="G400" s="89"/>
      <c r="W400" s="59"/>
    </row>
    <row r="401" spans="4:23" ht="12.75">
      <c r="D401" s="49"/>
      <c r="E401" s="49"/>
      <c r="F401" s="49"/>
      <c r="G401" s="89"/>
      <c r="W401" s="59"/>
    </row>
    <row r="402" spans="4:23" ht="12.75">
      <c r="D402" s="49"/>
      <c r="E402" s="49"/>
      <c r="F402" s="49"/>
      <c r="G402" s="89"/>
      <c r="W402" s="59"/>
    </row>
    <row r="403" spans="4:23" ht="12.75">
      <c r="D403" s="49"/>
      <c r="E403" s="49"/>
      <c r="F403" s="49"/>
      <c r="G403" s="89"/>
      <c r="W403" s="59"/>
    </row>
    <row r="404" spans="4:23" ht="12.75">
      <c r="D404" s="49"/>
      <c r="E404" s="49"/>
      <c r="F404" s="49"/>
      <c r="G404" s="89"/>
      <c r="W404" s="59"/>
    </row>
    <row r="405" spans="4:23" ht="12.75">
      <c r="D405" s="49"/>
      <c r="E405" s="49"/>
      <c r="F405" s="49"/>
      <c r="G405" s="89"/>
      <c r="W405" s="59"/>
    </row>
    <row r="406" spans="4:23" ht="12.75">
      <c r="D406" s="49"/>
      <c r="E406" s="49"/>
      <c r="F406" s="49"/>
      <c r="G406" s="89"/>
      <c r="W406" s="59"/>
    </row>
    <row r="407" spans="4:23" ht="12.75">
      <c r="D407" s="49"/>
      <c r="E407" s="49"/>
      <c r="F407" s="49"/>
      <c r="G407" s="89"/>
      <c r="W407" s="59"/>
    </row>
    <row r="408" spans="4:23" ht="12.75">
      <c r="D408" s="49"/>
      <c r="E408" s="49"/>
      <c r="F408" s="49"/>
      <c r="G408" s="89"/>
      <c r="W408" s="59"/>
    </row>
    <row r="409" spans="4:23" ht="12.75">
      <c r="D409" s="49"/>
      <c r="E409" s="49"/>
      <c r="F409" s="49"/>
      <c r="G409" s="89"/>
      <c r="W409" s="59"/>
    </row>
    <row r="410" spans="4:23" ht="12.75">
      <c r="D410" s="49"/>
      <c r="E410" s="49"/>
      <c r="F410" s="49"/>
      <c r="G410" s="89"/>
      <c r="W410" s="59"/>
    </row>
    <row r="411" spans="4:23" ht="12.75">
      <c r="D411" s="49"/>
      <c r="E411" s="49"/>
      <c r="F411" s="49"/>
      <c r="G411" s="89"/>
      <c r="W411" s="59"/>
    </row>
    <row r="412" spans="4:23" ht="12.75">
      <c r="D412" s="49"/>
      <c r="E412" s="49"/>
      <c r="F412" s="49"/>
      <c r="G412" s="89"/>
      <c r="W412" s="59"/>
    </row>
    <row r="413" spans="4:23" ht="12.75">
      <c r="D413" s="49"/>
      <c r="E413" s="49"/>
      <c r="F413" s="49"/>
      <c r="G413" s="89"/>
      <c r="W413" s="59"/>
    </row>
    <row r="414" spans="4:23" ht="12.75">
      <c r="D414" s="49"/>
      <c r="E414" s="49"/>
      <c r="F414" s="49"/>
      <c r="G414" s="89"/>
      <c r="W414" s="59"/>
    </row>
    <row r="415" spans="4:23" ht="12.75">
      <c r="D415" s="49"/>
      <c r="E415" s="49"/>
      <c r="F415" s="49"/>
      <c r="G415" s="89"/>
      <c r="W415" s="59"/>
    </row>
    <row r="416" spans="4:23" ht="12.75">
      <c r="D416" s="49"/>
      <c r="E416" s="49"/>
      <c r="F416" s="49"/>
      <c r="G416" s="89"/>
      <c r="W416" s="59"/>
    </row>
    <row r="417" spans="4:23" ht="12.75">
      <c r="D417" s="49"/>
      <c r="E417" s="49"/>
      <c r="F417" s="49"/>
      <c r="G417" s="89"/>
      <c r="W417" s="59"/>
    </row>
    <row r="418" spans="4:23" ht="12.75">
      <c r="D418" s="49"/>
      <c r="E418" s="49"/>
      <c r="F418" s="49"/>
      <c r="G418" s="89"/>
      <c r="W418" s="59"/>
    </row>
    <row r="419" spans="4:23" ht="12.75">
      <c r="D419" s="49"/>
      <c r="E419" s="49"/>
      <c r="F419" s="49"/>
      <c r="G419" s="89"/>
      <c r="W419" s="59"/>
    </row>
    <row r="420" spans="4:23" ht="12.75">
      <c r="D420" s="49"/>
      <c r="E420" s="49"/>
      <c r="F420" s="49"/>
      <c r="G420" s="89"/>
      <c r="W420" s="59"/>
    </row>
    <row r="421" spans="4:23" ht="12.75">
      <c r="D421" s="49"/>
      <c r="E421" s="49"/>
      <c r="F421" s="49"/>
      <c r="G421" s="89"/>
      <c r="W421" s="59"/>
    </row>
    <row r="422" spans="4:23" ht="12.75">
      <c r="D422" s="49"/>
      <c r="E422" s="49"/>
      <c r="F422" s="49"/>
      <c r="G422" s="89"/>
      <c r="W422" s="59"/>
    </row>
    <row r="423" spans="4:23" ht="12.75">
      <c r="D423" s="49"/>
      <c r="E423" s="49"/>
      <c r="F423" s="49"/>
      <c r="G423" s="89"/>
      <c r="W423" s="59"/>
    </row>
    <row r="424" spans="4:23" ht="12.75">
      <c r="D424" s="49"/>
      <c r="E424" s="49"/>
      <c r="F424" s="49"/>
      <c r="G424" s="89"/>
      <c r="W424" s="59"/>
    </row>
    <row r="425" spans="4:23" ht="12.75">
      <c r="D425" s="49"/>
      <c r="E425" s="49"/>
      <c r="F425" s="49"/>
      <c r="G425" s="89"/>
      <c r="W425" s="59"/>
    </row>
    <row r="426" spans="4:23" ht="12.75">
      <c r="D426" s="49"/>
      <c r="E426" s="49"/>
      <c r="F426" s="49"/>
      <c r="G426" s="89"/>
      <c r="W426" s="59"/>
    </row>
    <row r="427" spans="4:23" ht="12.75">
      <c r="D427" s="49"/>
      <c r="E427" s="49"/>
      <c r="F427" s="49"/>
      <c r="G427" s="89"/>
      <c r="W427" s="59"/>
    </row>
    <row r="428" spans="4:23" ht="12.75">
      <c r="D428" s="49"/>
      <c r="E428" s="49"/>
      <c r="F428" s="49"/>
      <c r="G428" s="89"/>
      <c r="W428" s="59"/>
    </row>
    <row r="429" spans="4:23" ht="12.75">
      <c r="D429" s="49"/>
      <c r="E429" s="49"/>
      <c r="F429" s="49"/>
      <c r="G429" s="89"/>
      <c r="W429" s="59"/>
    </row>
    <row r="430" spans="4:23" ht="12.75">
      <c r="D430" s="49"/>
      <c r="E430" s="49"/>
      <c r="F430" s="49"/>
      <c r="G430" s="89"/>
      <c r="W430" s="59"/>
    </row>
    <row r="431" spans="4:23" ht="12.75">
      <c r="D431" s="49"/>
      <c r="E431" s="49"/>
      <c r="F431" s="49"/>
      <c r="G431" s="89"/>
      <c r="W431" s="59"/>
    </row>
    <row r="432" spans="4:23" ht="12.75">
      <c r="D432" s="49"/>
      <c r="E432" s="49"/>
      <c r="F432" s="49"/>
      <c r="G432" s="89"/>
      <c r="W432" s="59"/>
    </row>
    <row r="433" spans="4:23" ht="12.75">
      <c r="D433" s="49"/>
      <c r="E433" s="49"/>
      <c r="F433" s="49"/>
      <c r="G433" s="89"/>
      <c r="W433" s="59"/>
    </row>
    <row r="434" spans="4:23" ht="12.75">
      <c r="D434" s="49"/>
      <c r="E434" s="49"/>
      <c r="F434" s="49"/>
      <c r="G434" s="89"/>
      <c r="W434" s="59"/>
    </row>
    <row r="435" spans="4:23" ht="12.75">
      <c r="D435" s="49"/>
      <c r="E435" s="49"/>
      <c r="F435" s="49"/>
      <c r="G435" s="89"/>
      <c r="W435" s="59"/>
    </row>
    <row r="436" spans="4:23" ht="12.75">
      <c r="D436" s="49"/>
      <c r="E436" s="49"/>
      <c r="F436" s="49"/>
      <c r="G436" s="89"/>
      <c r="W436" s="59"/>
    </row>
    <row r="437" spans="4:23" ht="12.75">
      <c r="D437" s="49"/>
      <c r="E437" s="49"/>
      <c r="F437" s="49"/>
      <c r="G437" s="89"/>
      <c r="W437" s="59"/>
    </row>
    <row r="438" spans="4:23" ht="12.75">
      <c r="D438" s="49"/>
      <c r="E438" s="49"/>
      <c r="F438" s="49"/>
      <c r="G438" s="89"/>
      <c r="W438" s="59"/>
    </row>
    <row r="439" spans="4:23" ht="12.75">
      <c r="D439" s="49"/>
      <c r="E439" s="49"/>
      <c r="F439" s="49"/>
      <c r="G439" s="89"/>
      <c r="W439" s="59"/>
    </row>
    <row r="440" spans="4:23" ht="12.75">
      <c r="D440" s="49"/>
      <c r="E440" s="49"/>
      <c r="F440" s="49"/>
      <c r="G440" s="89"/>
      <c r="W440" s="59"/>
    </row>
    <row r="441" spans="4:23" ht="12.75">
      <c r="D441" s="49"/>
      <c r="E441" s="49"/>
      <c r="F441" s="49"/>
      <c r="G441" s="89"/>
      <c r="W441" s="59"/>
    </row>
    <row r="442" spans="4:23" ht="12.75">
      <c r="D442" s="49"/>
      <c r="E442" s="49"/>
      <c r="F442" s="49"/>
      <c r="G442" s="89"/>
      <c r="W442" s="59"/>
    </row>
    <row r="443" spans="4:23" ht="12.75">
      <c r="D443" s="49"/>
      <c r="E443" s="49"/>
      <c r="F443" s="49"/>
      <c r="G443" s="89"/>
      <c r="W443" s="59"/>
    </row>
    <row r="444" spans="4:23" ht="12.75">
      <c r="D444" s="49"/>
      <c r="E444" s="49"/>
      <c r="F444" s="49"/>
      <c r="G444" s="89"/>
      <c r="W444" s="59"/>
    </row>
    <row r="445" spans="4:23" ht="12.75">
      <c r="D445" s="49"/>
      <c r="E445" s="49"/>
      <c r="F445" s="49"/>
      <c r="G445" s="89"/>
      <c r="W445" s="59"/>
    </row>
    <row r="446" spans="4:23" ht="12.75">
      <c r="D446" s="49"/>
      <c r="E446" s="49"/>
      <c r="F446" s="49"/>
      <c r="G446" s="89"/>
      <c r="W446" s="59"/>
    </row>
    <row r="447" spans="4:23" ht="12.75">
      <c r="D447" s="49"/>
      <c r="E447" s="49"/>
      <c r="F447" s="49"/>
      <c r="G447" s="89"/>
      <c r="W447" s="59"/>
    </row>
    <row r="448" spans="4:23" ht="12.75">
      <c r="D448" s="49"/>
      <c r="E448" s="49"/>
      <c r="F448" s="49"/>
      <c r="G448" s="89"/>
      <c r="W448" s="59"/>
    </row>
    <row r="449" spans="4:23" ht="12.75">
      <c r="D449" s="49"/>
      <c r="E449" s="49"/>
      <c r="F449" s="49"/>
      <c r="G449" s="89"/>
      <c r="W449" s="59"/>
    </row>
    <row r="450" spans="4:23" ht="12.75">
      <c r="D450" s="49"/>
      <c r="E450" s="49"/>
      <c r="F450" s="49"/>
      <c r="G450" s="89"/>
      <c r="W450" s="59"/>
    </row>
    <row r="451" spans="4:23" ht="12.75">
      <c r="D451" s="49"/>
      <c r="E451" s="49"/>
      <c r="F451" s="49"/>
      <c r="G451" s="89"/>
      <c r="W451" s="59"/>
    </row>
    <row r="452" spans="4:23" ht="12.75">
      <c r="D452" s="49"/>
      <c r="E452" s="49"/>
      <c r="F452" s="49"/>
      <c r="G452" s="89"/>
      <c r="W452" s="59"/>
    </row>
    <row r="453" spans="4:23" ht="12.75">
      <c r="D453" s="49"/>
      <c r="E453" s="49"/>
      <c r="F453" s="49"/>
      <c r="G453" s="89"/>
      <c r="W453" s="59"/>
    </row>
    <row r="454" spans="4:23" ht="12.75">
      <c r="D454" s="49"/>
      <c r="E454" s="49"/>
      <c r="F454" s="49"/>
      <c r="G454" s="89"/>
      <c r="W454" s="59"/>
    </row>
    <row r="455" spans="4:23" ht="12.75">
      <c r="D455" s="49"/>
      <c r="E455" s="49"/>
      <c r="F455" s="49"/>
      <c r="G455" s="89"/>
      <c r="W455" s="59"/>
    </row>
    <row r="456" spans="4:23" ht="12.75">
      <c r="D456" s="49"/>
      <c r="E456" s="49"/>
      <c r="F456" s="49"/>
      <c r="G456" s="89"/>
      <c r="W456" s="59"/>
    </row>
    <row r="457" spans="4:23" ht="12.75">
      <c r="D457" s="49"/>
      <c r="E457" s="49"/>
      <c r="F457" s="49"/>
      <c r="G457" s="89"/>
      <c r="W457" s="59"/>
    </row>
    <row r="458" spans="4:23" ht="12.75">
      <c r="D458" s="49"/>
      <c r="E458" s="49"/>
      <c r="F458" s="49"/>
      <c r="G458" s="89"/>
      <c r="W458" s="59"/>
    </row>
    <row r="459" spans="4:23" ht="12.75">
      <c r="D459" s="49"/>
      <c r="E459" s="49"/>
      <c r="F459" s="49"/>
      <c r="G459" s="89"/>
      <c r="W459" s="59"/>
    </row>
    <row r="460" spans="4:23" ht="12.75">
      <c r="D460" s="49"/>
      <c r="E460" s="49"/>
      <c r="F460" s="49"/>
      <c r="G460" s="89"/>
      <c r="W460" s="59"/>
    </row>
    <row r="461" spans="4:23" ht="12.75">
      <c r="D461" s="49"/>
      <c r="E461" s="49"/>
      <c r="F461" s="49"/>
      <c r="G461" s="89"/>
      <c r="W461" s="59"/>
    </row>
    <row r="462" spans="4:23" ht="12.75">
      <c r="D462" s="49"/>
      <c r="E462" s="49"/>
      <c r="F462" s="49"/>
      <c r="G462" s="89"/>
      <c r="W462" s="59"/>
    </row>
    <row r="463" spans="4:23" ht="12.75">
      <c r="D463" s="49"/>
      <c r="E463" s="49"/>
      <c r="F463" s="49"/>
      <c r="G463" s="89"/>
      <c r="W463" s="59"/>
    </row>
    <row r="464" spans="4:23" ht="12.75">
      <c r="D464" s="49"/>
      <c r="E464" s="49"/>
      <c r="F464" s="49"/>
      <c r="G464" s="89"/>
      <c r="W464" s="59"/>
    </row>
    <row r="465" spans="4:23" ht="12.75">
      <c r="D465" s="49"/>
      <c r="E465" s="49"/>
      <c r="F465" s="49"/>
      <c r="G465" s="89"/>
      <c r="W465" s="59"/>
    </row>
    <row r="466" spans="4:23" ht="12.75">
      <c r="D466" s="49"/>
      <c r="E466" s="49"/>
      <c r="F466" s="49"/>
      <c r="G466" s="89"/>
      <c r="W466" s="59"/>
    </row>
    <row r="467" spans="4:23" ht="12.75">
      <c r="D467" s="49"/>
      <c r="E467" s="49"/>
      <c r="F467" s="49"/>
      <c r="G467" s="89"/>
      <c r="W467" s="59"/>
    </row>
    <row r="468" spans="4:23" ht="12.75">
      <c r="D468" s="49"/>
      <c r="E468" s="49"/>
      <c r="F468" s="49"/>
      <c r="G468" s="89"/>
      <c r="W468" s="59"/>
    </row>
    <row r="469" spans="4:23" ht="12.75">
      <c r="D469" s="49"/>
      <c r="E469" s="49"/>
      <c r="F469" s="49"/>
      <c r="G469" s="89"/>
      <c r="W469" s="59"/>
    </row>
    <row r="470" spans="4:23" ht="12.75">
      <c r="D470" s="49"/>
      <c r="E470" s="49"/>
      <c r="F470" s="49"/>
      <c r="G470" s="89"/>
      <c r="W470" s="59"/>
    </row>
    <row r="471" spans="4:23" ht="12.75">
      <c r="D471" s="49"/>
      <c r="E471" s="49"/>
      <c r="F471" s="49"/>
      <c r="G471" s="89"/>
      <c r="W471" s="59"/>
    </row>
    <row r="472" spans="4:23" ht="12.75">
      <c r="D472" s="49"/>
      <c r="E472" s="49"/>
      <c r="F472" s="49"/>
      <c r="G472" s="89"/>
      <c r="W472" s="59"/>
    </row>
    <row r="473" spans="4:23" ht="12.75">
      <c r="D473" s="49"/>
      <c r="E473" s="49"/>
      <c r="F473" s="49"/>
      <c r="G473" s="89"/>
      <c r="W473" s="59"/>
    </row>
    <row r="474" spans="4:23" ht="12.75">
      <c r="D474" s="49"/>
      <c r="E474" s="49"/>
      <c r="F474" s="49"/>
      <c r="G474" s="89"/>
      <c r="W474" s="59"/>
    </row>
    <row r="475" spans="4:23" ht="12.75">
      <c r="D475" s="49"/>
      <c r="E475" s="49"/>
      <c r="F475" s="49"/>
      <c r="G475" s="89"/>
      <c r="W475" s="59"/>
    </row>
    <row r="476" spans="4:23" ht="12.75">
      <c r="D476" s="49"/>
      <c r="E476" s="49"/>
      <c r="F476" s="49"/>
      <c r="G476" s="89"/>
      <c r="W476" s="59"/>
    </row>
    <row r="477" spans="4:23" ht="12.75">
      <c r="D477" s="49"/>
      <c r="E477" s="49"/>
      <c r="F477" s="49"/>
      <c r="G477" s="89"/>
      <c r="W477" s="59"/>
    </row>
    <row r="478" spans="4:23" ht="12.75">
      <c r="D478" s="49"/>
      <c r="E478" s="49"/>
      <c r="F478" s="49"/>
      <c r="G478" s="89"/>
      <c r="W478" s="59"/>
    </row>
    <row r="479" spans="4:23" ht="12.75">
      <c r="D479" s="49"/>
      <c r="E479" s="49"/>
      <c r="F479" s="49"/>
      <c r="G479" s="89"/>
      <c r="W479" s="59"/>
    </row>
    <row r="480" spans="4:23" ht="12.75">
      <c r="D480" s="49"/>
      <c r="E480" s="49"/>
      <c r="F480" s="49"/>
      <c r="G480" s="89"/>
      <c r="W480" s="59"/>
    </row>
    <row r="481" spans="4:23" ht="12.75">
      <c r="D481" s="49"/>
      <c r="E481" s="49"/>
      <c r="F481" s="49"/>
      <c r="G481" s="89"/>
      <c r="W481" s="59"/>
    </row>
    <row r="482" spans="4:23" ht="12.75">
      <c r="D482" s="49"/>
      <c r="E482" s="49"/>
      <c r="F482" s="49"/>
      <c r="G482" s="89"/>
      <c r="W482" s="59"/>
    </row>
    <row r="483" spans="4:23" ht="12.75">
      <c r="D483" s="49"/>
      <c r="E483" s="49"/>
      <c r="F483" s="49"/>
      <c r="G483" s="89"/>
      <c r="W483" s="59"/>
    </row>
    <row r="484" spans="4:23" ht="12.75">
      <c r="D484" s="49"/>
      <c r="E484" s="49"/>
      <c r="F484" s="49"/>
      <c r="G484" s="89"/>
      <c r="W484" s="59"/>
    </row>
    <row r="485" spans="4:23" ht="12.75">
      <c r="D485" s="49"/>
      <c r="E485" s="49"/>
      <c r="F485" s="49"/>
      <c r="G485" s="89"/>
      <c r="W485" s="59"/>
    </row>
    <row r="486" spans="4:23" ht="12.75">
      <c r="D486" s="49"/>
      <c r="E486" s="49"/>
      <c r="F486" s="49"/>
      <c r="G486" s="89"/>
      <c r="W486" s="59"/>
    </row>
    <row r="487" spans="4:23" ht="12.75">
      <c r="D487" s="49"/>
      <c r="E487" s="49"/>
      <c r="F487" s="49"/>
      <c r="G487" s="89"/>
      <c r="W487" s="59"/>
    </row>
    <row r="488" spans="4:23" ht="12.75">
      <c r="D488" s="49"/>
      <c r="E488" s="49"/>
      <c r="F488" s="49"/>
      <c r="G488" s="89"/>
      <c r="W488" s="59"/>
    </row>
    <row r="489" spans="4:23" ht="12.75">
      <c r="D489" s="49"/>
      <c r="E489" s="49"/>
      <c r="F489" s="49"/>
      <c r="G489" s="89"/>
      <c r="W489" s="59"/>
    </row>
    <row r="490" spans="4:23" ht="12.75">
      <c r="D490" s="49"/>
      <c r="E490" s="49"/>
      <c r="F490" s="49"/>
      <c r="G490" s="89"/>
      <c r="W490" s="59"/>
    </row>
    <row r="491" spans="4:23" ht="12.75">
      <c r="D491" s="49"/>
      <c r="E491" s="49"/>
      <c r="F491" s="49"/>
      <c r="G491" s="89"/>
      <c r="W491" s="59"/>
    </row>
    <row r="492" spans="4:23" ht="12.75">
      <c r="D492" s="49"/>
      <c r="E492" s="49"/>
      <c r="F492" s="49"/>
      <c r="G492" s="89"/>
      <c r="W492" s="59"/>
    </row>
    <row r="493" spans="4:23" ht="12.75">
      <c r="D493" s="49"/>
      <c r="E493" s="49"/>
      <c r="F493" s="49"/>
      <c r="G493" s="89"/>
      <c r="W493" s="59"/>
    </row>
    <row r="494" spans="4:23" ht="12.75">
      <c r="D494" s="49"/>
      <c r="E494" s="49"/>
      <c r="F494" s="49"/>
      <c r="G494" s="89"/>
      <c r="W494" s="59"/>
    </row>
    <row r="495" spans="4:23" ht="12.75">
      <c r="D495" s="49"/>
      <c r="E495" s="49"/>
      <c r="F495" s="49"/>
      <c r="G495" s="89"/>
      <c r="W495" s="59"/>
    </row>
    <row r="496" spans="4:23" ht="12.75">
      <c r="D496" s="49"/>
      <c r="E496" s="49"/>
      <c r="F496" s="49"/>
      <c r="G496" s="89"/>
      <c r="W496" s="59"/>
    </row>
    <row r="497" spans="4:23" ht="12.75">
      <c r="D497" s="49"/>
      <c r="E497" s="49"/>
      <c r="F497" s="49"/>
      <c r="G497" s="89"/>
      <c r="W497" s="59"/>
    </row>
    <row r="498" spans="4:23" ht="12.75">
      <c r="D498" s="49"/>
      <c r="E498" s="49"/>
      <c r="F498" s="49"/>
      <c r="G498" s="89"/>
      <c r="W498" s="59"/>
    </row>
    <row r="499" spans="4:23" ht="12.75">
      <c r="D499" s="49"/>
      <c r="E499" s="49"/>
      <c r="F499" s="49"/>
      <c r="G499" s="89"/>
      <c r="W499" s="59"/>
    </row>
    <row r="500" spans="4:23" ht="12.75">
      <c r="D500" s="49"/>
      <c r="E500" s="49"/>
      <c r="F500" s="49"/>
      <c r="G500" s="89"/>
      <c r="W500" s="59"/>
    </row>
    <row r="501" spans="4:23" ht="12.75">
      <c r="D501" s="49"/>
      <c r="E501" s="49"/>
      <c r="F501" s="49"/>
      <c r="G501" s="89"/>
      <c r="W501" s="59"/>
    </row>
    <row r="502" spans="4:23" ht="12.75">
      <c r="D502" s="49"/>
      <c r="E502" s="49"/>
      <c r="F502" s="49"/>
      <c r="G502" s="89"/>
      <c r="W502" s="59"/>
    </row>
    <row r="503" spans="4:23" ht="12.75">
      <c r="D503" s="49"/>
      <c r="E503" s="49"/>
      <c r="F503" s="49"/>
      <c r="G503" s="89"/>
      <c r="W503" s="59"/>
    </row>
    <row r="504" spans="4:23" ht="12.75">
      <c r="D504" s="49"/>
      <c r="E504" s="49"/>
      <c r="F504" s="49"/>
      <c r="G504" s="89"/>
      <c r="W504" s="59"/>
    </row>
    <row r="505" spans="4:23" ht="12.75">
      <c r="D505" s="49"/>
      <c r="E505" s="49"/>
      <c r="F505" s="49"/>
      <c r="G505" s="89"/>
      <c r="W505" s="59"/>
    </row>
    <row r="506" spans="4:23" ht="12.75">
      <c r="D506" s="49"/>
      <c r="E506" s="49"/>
      <c r="F506" s="49"/>
      <c r="G506" s="89"/>
      <c r="W506" s="59"/>
    </row>
    <row r="507" spans="4:23" ht="12.75">
      <c r="D507" s="49"/>
      <c r="E507" s="49"/>
      <c r="F507" s="49"/>
      <c r="G507" s="89"/>
      <c r="W507" s="59"/>
    </row>
    <row r="508" spans="4:23" ht="12.75">
      <c r="D508" s="49"/>
      <c r="E508" s="49"/>
      <c r="F508" s="49"/>
      <c r="G508" s="89"/>
      <c r="W508" s="59"/>
    </row>
    <row r="509" spans="4:23" ht="12.75">
      <c r="D509" s="49"/>
      <c r="E509" s="49"/>
      <c r="F509" s="49"/>
      <c r="G509" s="89"/>
      <c r="W509" s="59"/>
    </row>
    <row r="510" spans="4:23" ht="12.75">
      <c r="D510" s="49"/>
      <c r="E510" s="49"/>
      <c r="F510" s="49"/>
      <c r="G510" s="89"/>
      <c r="W510" s="59"/>
    </row>
    <row r="511" spans="4:23" ht="12.75">
      <c r="D511" s="49"/>
      <c r="E511" s="49"/>
      <c r="F511" s="49"/>
      <c r="G511" s="89"/>
      <c r="W511" s="59"/>
    </row>
    <row r="512" spans="4:23" ht="12.75">
      <c r="D512" s="49"/>
      <c r="E512" s="49"/>
      <c r="F512" s="49"/>
      <c r="G512" s="89"/>
      <c r="W512" s="59"/>
    </row>
    <row r="513" spans="4:23" ht="12.75">
      <c r="D513" s="49"/>
      <c r="E513" s="49"/>
      <c r="F513" s="49"/>
      <c r="G513" s="89"/>
      <c r="W513" s="59"/>
    </row>
    <row r="514" spans="4:23" ht="12.75">
      <c r="D514" s="49"/>
      <c r="E514" s="49"/>
      <c r="F514" s="49"/>
      <c r="G514" s="89"/>
      <c r="W514" s="59"/>
    </row>
    <row r="515" spans="4:23" ht="12.75">
      <c r="D515" s="49"/>
      <c r="E515" s="49"/>
      <c r="F515" s="49"/>
      <c r="G515" s="89"/>
      <c r="W515" s="59"/>
    </row>
    <row r="516" spans="4:23" ht="12.75">
      <c r="D516" s="49"/>
      <c r="E516" s="49"/>
      <c r="F516" s="49"/>
      <c r="G516" s="89"/>
      <c r="W516" s="59"/>
    </row>
    <row r="517" spans="4:23" ht="12.75">
      <c r="D517" s="49"/>
      <c r="E517" s="49"/>
      <c r="F517" s="49"/>
      <c r="G517" s="89"/>
      <c r="W517" s="59"/>
    </row>
    <row r="518" spans="4:23" ht="12.75">
      <c r="D518" s="49"/>
      <c r="E518" s="49"/>
      <c r="F518" s="49"/>
      <c r="G518" s="89"/>
      <c r="W518" s="59"/>
    </row>
    <row r="519" spans="4:23" ht="12.75">
      <c r="D519" s="49"/>
      <c r="E519" s="49"/>
      <c r="F519" s="49"/>
      <c r="G519" s="89"/>
      <c r="W519" s="59"/>
    </row>
    <row r="520" spans="4:23" ht="12.75">
      <c r="D520" s="49"/>
      <c r="E520" s="49"/>
      <c r="F520" s="49"/>
      <c r="G520" s="89"/>
      <c r="W520" s="59"/>
    </row>
    <row r="521" spans="4:23" ht="12.75">
      <c r="D521" s="49"/>
      <c r="E521" s="49"/>
      <c r="F521" s="49"/>
      <c r="G521" s="89"/>
      <c r="W521" s="59"/>
    </row>
    <row r="522" spans="4:23" ht="12.75">
      <c r="D522" s="49"/>
      <c r="E522" s="49"/>
      <c r="F522" s="49"/>
      <c r="G522" s="89"/>
      <c r="W522" s="59"/>
    </row>
    <row r="523" spans="4:23" ht="12.75">
      <c r="D523" s="49"/>
      <c r="E523" s="49"/>
      <c r="F523" s="49"/>
      <c r="G523" s="89"/>
      <c r="W523" s="59"/>
    </row>
    <row r="524" spans="4:23" ht="12.75">
      <c r="D524" s="49"/>
      <c r="E524" s="49"/>
      <c r="F524" s="49"/>
      <c r="G524" s="89"/>
      <c r="W524" s="59"/>
    </row>
    <row r="525" spans="4:23" ht="12.75">
      <c r="D525" s="49"/>
      <c r="E525" s="49"/>
      <c r="F525" s="49"/>
      <c r="G525" s="89"/>
      <c r="W525" s="59"/>
    </row>
    <row r="526" spans="4:23" ht="12.75">
      <c r="D526" s="49"/>
      <c r="E526" s="49"/>
      <c r="F526" s="49"/>
      <c r="G526" s="89"/>
      <c r="W526" s="59"/>
    </row>
    <row r="527" spans="4:23" ht="12.75">
      <c r="D527" s="49"/>
      <c r="E527" s="49"/>
      <c r="F527" s="49"/>
      <c r="G527" s="89"/>
      <c r="W527" s="59"/>
    </row>
    <row r="528" spans="4:23" ht="12.75">
      <c r="D528" s="49"/>
      <c r="E528" s="49"/>
      <c r="F528" s="49"/>
      <c r="G528" s="89"/>
      <c r="W528" s="59"/>
    </row>
    <row r="529" spans="4:23" ht="12.75">
      <c r="D529" s="49"/>
      <c r="E529" s="49"/>
      <c r="F529" s="49"/>
      <c r="G529" s="89"/>
      <c r="W529" s="59"/>
    </row>
    <row r="530" spans="4:23" ht="12.75">
      <c r="D530" s="49"/>
      <c r="E530" s="49"/>
      <c r="F530" s="49"/>
      <c r="G530" s="89"/>
      <c r="W530" s="59"/>
    </row>
    <row r="531" spans="4:23" ht="12.75">
      <c r="D531" s="49"/>
      <c r="E531" s="49"/>
      <c r="F531" s="49"/>
      <c r="G531" s="89"/>
      <c r="W531" s="59"/>
    </row>
    <row r="532" spans="4:23" ht="12.75">
      <c r="D532" s="49"/>
      <c r="E532" s="49"/>
      <c r="F532" s="49"/>
      <c r="G532" s="89"/>
      <c r="W532" s="59"/>
    </row>
    <row r="533" spans="4:23" ht="12.75">
      <c r="D533" s="49"/>
      <c r="E533" s="49"/>
      <c r="F533" s="49"/>
      <c r="G533" s="89"/>
      <c r="W533" s="59"/>
    </row>
    <row r="534" spans="4:23" ht="12.75">
      <c r="D534" s="49"/>
      <c r="E534" s="49"/>
      <c r="F534" s="49"/>
      <c r="G534" s="89"/>
      <c r="W534" s="59"/>
    </row>
    <row r="535" spans="4:23" ht="12.75">
      <c r="D535" s="49"/>
      <c r="E535" s="49"/>
      <c r="F535" s="49"/>
      <c r="G535" s="89"/>
      <c r="W535" s="59"/>
    </row>
    <row r="536" spans="4:23" ht="12.75">
      <c r="D536" s="49"/>
      <c r="E536" s="49"/>
      <c r="F536" s="49"/>
      <c r="G536" s="89"/>
      <c r="W536" s="59"/>
    </row>
    <row r="537" spans="4:23" ht="12.75">
      <c r="D537" s="49"/>
      <c r="E537" s="49"/>
      <c r="F537" s="49"/>
      <c r="G537" s="89"/>
      <c r="W537" s="59"/>
    </row>
    <row r="538" spans="4:23" ht="12.75">
      <c r="D538" s="49"/>
      <c r="E538" s="49"/>
      <c r="F538" s="49"/>
      <c r="G538" s="89"/>
      <c r="W538" s="59"/>
    </row>
    <row r="539" spans="4:23" ht="12.75">
      <c r="D539" s="49"/>
      <c r="E539" s="49"/>
      <c r="F539" s="49"/>
      <c r="G539" s="89"/>
      <c r="W539" s="59"/>
    </row>
    <row r="540" spans="4:23" ht="12.75">
      <c r="D540" s="49"/>
      <c r="E540" s="49"/>
      <c r="F540" s="49"/>
      <c r="G540" s="89"/>
      <c r="W540" s="59"/>
    </row>
    <row r="541" spans="4:23" ht="12.75">
      <c r="D541" s="49"/>
      <c r="E541" s="49"/>
      <c r="F541" s="49"/>
      <c r="G541" s="89"/>
      <c r="W541" s="59"/>
    </row>
    <row r="542" spans="4:23" ht="12.75">
      <c r="D542" s="49"/>
      <c r="E542" s="49"/>
      <c r="F542" s="49"/>
      <c r="G542" s="89"/>
      <c r="W542" s="59"/>
    </row>
    <row r="543" spans="4:23" ht="12.75">
      <c r="D543" s="49"/>
      <c r="E543" s="49"/>
      <c r="F543" s="49"/>
      <c r="G543" s="89"/>
      <c r="W543" s="59"/>
    </row>
    <row r="544" spans="4:23" ht="12.75">
      <c r="D544" s="49"/>
      <c r="E544" s="49"/>
      <c r="F544" s="49"/>
      <c r="G544" s="89"/>
      <c r="W544" s="59"/>
    </row>
    <row r="545" spans="4:23" ht="12.75">
      <c r="D545" s="49"/>
      <c r="E545" s="49"/>
      <c r="F545" s="49"/>
      <c r="G545" s="89"/>
      <c r="W545" s="59"/>
    </row>
    <row r="546" spans="4:23" ht="12.75">
      <c r="D546" s="49"/>
      <c r="E546" s="49"/>
      <c r="F546" s="49"/>
      <c r="G546" s="89"/>
      <c r="W546" s="59"/>
    </row>
    <row r="547" spans="4:23" ht="12.75">
      <c r="D547" s="49"/>
      <c r="E547" s="49"/>
      <c r="F547" s="49"/>
      <c r="G547" s="89"/>
      <c r="W547" s="59"/>
    </row>
    <row r="548" spans="4:23" ht="12.75">
      <c r="D548" s="49"/>
      <c r="E548" s="49"/>
      <c r="F548" s="49"/>
      <c r="G548" s="89"/>
      <c r="W548" s="59"/>
    </row>
    <row r="549" spans="4:23" ht="12.75">
      <c r="D549" s="49"/>
      <c r="E549" s="49"/>
      <c r="F549" s="49"/>
      <c r="G549" s="89"/>
      <c r="W549" s="59"/>
    </row>
    <row r="550" spans="4:23" ht="12.75">
      <c r="D550" s="49"/>
      <c r="E550" s="49"/>
      <c r="F550" s="49"/>
      <c r="G550" s="89"/>
      <c r="W550" s="59"/>
    </row>
    <row r="551" spans="4:23" ht="12.75">
      <c r="D551" s="49"/>
      <c r="E551" s="49"/>
      <c r="F551" s="49"/>
      <c r="G551" s="89"/>
      <c r="W551" s="59"/>
    </row>
    <row r="552" spans="4:23" ht="12.75">
      <c r="D552" s="49"/>
      <c r="E552" s="49"/>
      <c r="F552" s="49"/>
      <c r="G552" s="89"/>
      <c r="W552" s="59"/>
    </row>
    <row r="553" spans="4:23" ht="12.75">
      <c r="D553" s="49"/>
      <c r="E553" s="49"/>
      <c r="F553" s="49"/>
      <c r="G553" s="89"/>
      <c r="W553" s="59"/>
    </row>
    <row r="554" spans="4:23" ht="12.75">
      <c r="D554" s="49"/>
      <c r="E554" s="49"/>
      <c r="F554" s="49"/>
      <c r="G554" s="89"/>
      <c r="W554" s="59"/>
    </row>
    <row r="555" spans="4:23" ht="12.75">
      <c r="D555" s="49"/>
      <c r="E555" s="49"/>
      <c r="F555" s="49"/>
      <c r="G555" s="89"/>
      <c r="W555" s="59"/>
    </row>
    <row r="556" spans="4:23" ht="12.75">
      <c r="D556" s="49"/>
      <c r="E556" s="49"/>
      <c r="F556" s="49"/>
      <c r="G556" s="89"/>
      <c r="W556" s="59"/>
    </row>
    <row r="557" spans="4:23" ht="12.75">
      <c r="D557" s="49"/>
      <c r="E557" s="49"/>
      <c r="F557" s="49"/>
      <c r="G557" s="89"/>
      <c r="W557" s="59"/>
    </row>
    <row r="558" spans="4:23" ht="12.75">
      <c r="D558" s="49"/>
      <c r="E558" s="49"/>
      <c r="F558" s="49"/>
      <c r="G558" s="89"/>
      <c r="W558" s="59"/>
    </row>
    <row r="559" spans="4:23" ht="12.75">
      <c r="D559" s="49"/>
      <c r="E559" s="49"/>
      <c r="F559" s="49"/>
      <c r="G559" s="89"/>
      <c r="W559" s="59"/>
    </row>
    <row r="560" spans="4:23" ht="12.75">
      <c r="D560" s="49"/>
      <c r="E560" s="49"/>
      <c r="F560" s="49"/>
      <c r="G560" s="89"/>
      <c r="W560" s="59"/>
    </row>
    <row r="561" spans="4:23" ht="12.75">
      <c r="D561" s="49"/>
      <c r="E561" s="49"/>
      <c r="F561" s="49"/>
      <c r="G561" s="89"/>
      <c r="W561" s="59"/>
    </row>
    <row r="562" spans="4:23" ht="12.75">
      <c r="D562" s="49"/>
      <c r="E562" s="49"/>
      <c r="F562" s="49"/>
      <c r="G562" s="89"/>
      <c r="W562" s="59"/>
    </row>
    <row r="563" spans="4:23" ht="12.75">
      <c r="D563" s="49"/>
      <c r="E563" s="49"/>
      <c r="F563" s="49"/>
      <c r="G563" s="89"/>
      <c r="W563" s="59"/>
    </row>
    <row r="564" spans="4:23" ht="12.75">
      <c r="D564" s="49"/>
      <c r="E564" s="49"/>
      <c r="F564" s="49"/>
      <c r="G564" s="89"/>
      <c r="W564" s="59"/>
    </row>
    <row r="565" spans="4:23" ht="12.75">
      <c r="D565" s="49"/>
      <c r="E565" s="49"/>
      <c r="F565" s="49"/>
      <c r="G565" s="89"/>
      <c r="W565" s="59"/>
    </row>
    <row r="566" spans="4:23" ht="12.75">
      <c r="D566" s="49"/>
      <c r="E566" s="49"/>
      <c r="F566" s="49"/>
      <c r="G566" s="89"/>
      <c r="W566" s="59"/>
    </row>
    <row r="567" spans="4:23" ht="12.75">
      <c r="D567" s="49"/>
      <c r="E567" s="49"/>
      <c r="F567" s="49"/>
      <c r="G567" s="89"/>
      <c r="W567" s="59"/>
    </row>
    <row r="568" spans="4:23" ht="12.75">
      <c r="D568" s="49"/>
      <c r="E568" s="49"/>
      <c r="F568" s="49"/>
      <c r="G568" s="89"/>
      <c r="W568" s="59"/>
    </row>
    <row r="569" spans="4:23" ht="12.75">
      <c r="D569" s="49"/>
      <c r="E569" s="49"/>
      <c r="F569" s="49"/>
      <c r="G569" s="89"/>
      <c r="W569" s="59"/>
    </row>
    <row r="570" spans="4:23" ht="12.75">
      <c r="D570" s="49"/>
      <c r="E570" s="49"/>
      <c r="F570" s="49"/>
      <c r="G570" s="89"/>
      <c r="W570" s="59"/>
    </row>
    <row r="571" spans="4:23" ht="12.75">
      <c r="D571" s="49"/>
      <c r="E571" s="49"/>
      <c r="F571" s="49"/>
      <c r="G571" s="89"/>
      <c r="W571" s="59"/>
    </row>
    <row r="572" spans="4:23" ht="12.75">
      <c r="D572" s="49"/>
      <c r="E572" s="49"/>
      <c r="F572" s="49"/>
      <c r="G572" s="89"/>
      <c r="W572" s="59"/>
    </row>
    <row r="573" spans="4:23" ht="12.75">
      <c r="D573" s="49"/>
      <c r="E573" s="49"/>
      <c r="F573" s="49"/>
      <c r="G573" s="89"/>
      <c r="W573" s="59"/>
    </row>
    <row r="574" spans="4:23" ht="12.75">
      <c r="D574" s="49"/>
      <c r="E574" s="49"/>
      <c r="F574" s="49"/>
      <c r="G574" s="89"/>
      <c r="W574" s="59"/>
    </row>
    <row r="575" spans="4:23" ht="12.75">
      <c r="D575" s="49"/>
      <c r="E575" s="49"/>
      <c r="F575" s="49"/>
      <c r="G575" s="89"/>
      <c r="W575" s="59"/>
    </row>
    <row r="576" spans="4:23" ht="12.75">
      <c r="D576" s="49"/>
      <c r="E576" s="49"/>
      <c r="F576" s="49"/>
      <c r="G576" s="89"/>
      <c r="W576" s="59"/>
    </row>
    <row r="577" spans="4:23" ht="12.75">
      <c r="D577" s="49"/>
      <c r="E577" s="49"/>
      <c r="F577" s="49"/>
      <c r="G577" s="89"/>
      <c r="W577" s="59"/>
    </row>
    <row r="578" spans="4:23" ht="12.75">
      <c r="D578" s="49"/>
      <c r="E578" s="49"/>
      <c r="F578" s="49"/>
      <c r="G578" s="89"/>
      <c r="W578" s="59"/>
    </row>
    <row r="579" spans="4:23" ht="12.75">
      <c r="D579" s="49"/>
      <c r="E579" s="49"/>
      <c r="F579" s="49"/>
      <c r="G579" s="89"/>
      <c r="W579" s="59"/>
    </row>
    <row r="580" spans="4:23" ht="12.75">
      <c r="D580" s="49"/>
      <c r="E580" s="49"/>
      <c r="F580" s="49"/>
      <c r="G580" s="89"/>
      <c r="W580" s="59"/>
    </row>
    <row r="581" spans="4:23" ht="12.75">
      <c r="D581" s="49"/>
      <c r="E581" s="49"/>
      <c r="F581" s="49"/>
      <c r="G581" s="89"/>
      <c r="W581" s="59"/>
    </row>
    <row r="582" spans="4:23" ht="12.75">
      <c r="D582" s="49"/>
      <c r="E582" s="49"/>
      <c r="F582" s="49"/>
      <c r="G582" s="89"/>
      <c r="W582" s="59"/>
    </row>
    <row r="583" spans="4:23" ht="12.75">
      <c r="D583" s="49"/>
      <c r="E583" s="49"/>
      <c r="F583" s="49"/>
      <c r="G583" s="89"/>
      <c r="W583" s="59"/>
    </row>
    <row r="584" spans="4:23" ht="12.75">
      <c r="D584" s="49"/>
      <c r="E584" s="49"/>
      <c r="F584" s="49"/>
      <c r="G584" s="89"/>
      <c r="W584" s="59"/>
    </row>
    <row r="585" spans="4:23" ht="12.75">
      <c r="D585" s="49"/>
      <c r="E585" s="49"/>
      <c r="F585" s="49"/>
      <c r="G585" s="89"/>
      <c r="W585" s="59"/>
    </row>
    <row r="586" spans="4:23" ht="12.75">
      <c r="D586" s="49"/>
      <c r="E586" s="49"/>
      <c r="F586" s="49"/>
      <c r="G586" s="89"/>
      <c r="W586" s="59"/>
    </row>
    <row r="587" spans="4:23" ht="12.75">
      <c r="D587" s="49"/>
      <c r="E587" s="49"/>
      <c r="F587" s="49"/>
      <c r="G587" s="89"/>
      <c r="W587" s="59"/>
    </row>
    <row r="588" spans="4:23" ht="12.75">
      <c r="D588" s="49"/>
      <c r="E588" s="49"/>
      <c r="F588" s="49"/>
      <c r="G588" s="89"/>
      <c r="W588" s="59"/>
    </row>
    <row r="589" spans="4:23" ht="12.75">
      <c r="D589" s="49"/>
      <c r="E589" s="49"/>
      <c r="F589" s="49"/>
      <c r="G589" s="89"/>
      <c r="W589" s="59"/>
    </row>
    <row r="590" spans="4:23" ht="12.75">
      <c r="D590" s="49"/>
      <c r="E590" s="49"/>
      <c r="F590" s="49"/>
      <c r="G590" s="89"/>
      <c r="W590" s="59"/>
    </row>
    <row r="591" spans="4:23" ht="12.75">
      <c r="D591" s="49"/>
      <c r="E591" s="49"/>
      <c r="F591" s="49"/>
      <c r="G591" s="89"/>
      <c r="W591" s="59"/>
    </row>
    <row r="592" spans="4:23" ht="12.75">
      <c r="D592" s="49"/>
      <c r="E592" s="49"/>
      <c r="F592" s="49"/>
      <c r="G592" s="89"/>
      <c r="W592" s="59"/>
    </row>
    <row r="593" spans="4:23" ht="12.75">
      <c r="D593" s="49"/>
      <c r="E593" s="49"/>
      <c r="F593" s="49"/>
      <c r="G593" s="89"/>
      <c r="W593" s="59"/>
    </row>
    <row r="594" spans="4:23" ht="12.75">
      <c r="D594" s="49"/>
      <c r="E594" s="49"/>
      <c r="F594" s="49"/>
      <c r="G594" s="89"/>
      <c r="W594" s="59"/>
    </row>
    <row r="595" spans="4:23" ht="12.75">
      <c r="D595" s="49"/>
      <c r="E595" s="49"/>
      <c r="F595" s="49"/>
      <c r="G595" s="89"/>
      <c r="W595" s="59"/>
    </row>
    <row r="596" spans="4:23" ht="12.75">
      <c r="D596" s="49"/>
      <c r="E596" s="49"/>
      <c r="F596" s="49"/>
      <c r="G596" s="89"/>
      <c r="W596" s="59"/>
    </row>
    <row r="597" spans="4:23" ht="12.75">
      <c r="D597" s="49"/>
      <c r="E597" s="49"/>
      <c r="F597" s="49"/>
      <c r="G597" s="89"/>
      <c r="W597" s="59"/>
    </row>
    <row r="598" spans="4:23" ht="12.75">
      <c r="D598" s="49"/>
      <c r="E598" s="49"/>
      <c r="F598" s="49"/>
      <c r="G598" s="89"/>
      <c r="W598" s="59"/>
    </row>
    <row r="599" spans="4:23" ht="12.75">
      <c r="D599" s="49"/>
      <c r="E599" s="49"/>
      <c r="F599" s="49"/>
      <c r="G599" s="89"/>
      <c r="W599" s="59"/>
    </row>
    <row r="600" spans="4:23" ht="12.75">
      <c r="D600" s="49"/>
      <c r="E600" s="49"/>
      <c r="F600" s="49"/>
      <c r="G600" s="89"/>
      <c r="W600" s="59"/>
    </row>
    <row r="601" spans="4:23" ht="12.75">
      <c r="D601" s="49"/>
      <c r="E601" s="49"/>
      <c r="F601" s="49"/>
      <c r="G601" s="89"/>
      <c r="W601" s="59"/>
    </row>
    <row r="602" spans="4:23" ht="12.75">
      <c r="D602" s="49"/>
      <c r="E602" s="49"/>
      <c r="F602" s="49"/>
      <c r="G602" s="89"/>
      <c r="W602" s="59"/>
    </row>
    <row r="603" spans="4:23" ht="12.75">
      <c r="D603" s="49"/>
      <c r="E603" s="49"/>
      <c r="F603" s="49"/>
      <c r="G603" s="89"/>
      <c r="W603" s="59"/>
    </row>
    <row r="604" spans="4:23" ht="12.75">
      <c r="D604" s="49"/>
      <c r="E604" s="49"/>
      <c r="F604" s="49"/>
      <c r="G604" s="89"/>
      <c r="W604" s="59"/>
    </row>
    <row r="605" spans="4:23" ht="12.75">
      <c r="D605" s="49"/>
      <c r="E605" s="49"/>
      <c r="F605" s="49"/>
      <c r="G605" s="89"/>
      <c r="W605" s="59"/>
    </row>
    <row r="606" spans="4:23" ht="12.75">
      <c r="D606" s="49"/>
      <c r="E606" s="49"/>
      <c r="F606" s="49"/>
      <c r="G606" s="89"/>
      <c r="W606" s="59"/>
    </row>
    <row r="607" spans="4:23" ht="12.75">
      <c r="D607" s="49"/>
      <c r="E607" s="49"/>
      <c r="F607" s="49"/>
      <c r="G607" s="89"/>
      <c r="W607" s="59"/>
    </row>
    <row r="608" spans="4:23" ht="12.75">
      <c r="D608" s="49"/>
      <c r="E608" s="49"/>
      <c r="F608" s="49"/>
      <c r="G608" s="89"/>
      <c r="W608" s="59"/>
    </row>
    <row r="609" spans="4:23" ht="12.75">
      <c r="D609" s="49"/>
      <c r="E609" s="49"/>
      <c r="F609" s="49"/>
      <c r="G609" s="89"/>
      <c r="W609" s="59"/>
    </row>
    <row r="610" spans="4:23" ht="12.75">
      <c r="D610" s="49"/>
      <c r="E610" s="49"/>
      <c r="F610" s="49"/>
      <c r="G610" s="89"/>
      <c r="W610" s="59"/>
    </row>
    <row r="611" spans="4:23" ht="12.75">
      <c r="D611" s="49"/>
      <c r="E611" s="49"/>
      <c r="F611" s="49"/>
      <c r="G611" s="89"/>
      <c r="W611" s="59"/>
    </row>
    <row r="612" spans="4:23" ht="12.75">
      <c r="D612" s="49"/>
      <c r="E612" s="49"/>
      <c r="F612" s="49"/>
      <c r="G612" s="89"/>
      <c r="W612" s="59"/>
    </row>
    <row r="613" spans="4:23" ht="12.75">
      <c r="D613" s="49"/>
      <c r="E613" s="49"/>
      <c r="F613" s="49"/>
      <c r="G613" s="89"/>
      <c r="W613" s="59"/>
    </row>
    <row r="614" spans="4:23" ht="12.75">
      <c r="D614" s="49"/>
      <c r="E614" s="49"/>
      <c r="F614" s="49"/>
      <c r="G614" s="89"/>
      <c r="W614" s="59"/>
    </row>
    <row r="615" spans="4:23" ht="12.75">
      <c r="D615" s="49"/>
      <c r="E615" s="49"/>
      <c r="F615" s="49"/>
      <c r="G615" s="89"/>
      <c r="W615" s="59"/>
    </row>
    <row r="616" spans="4:23" ht="12.75">
      <c r="D616" s="49"/>
      <c r="E616" s="49"/>
      <c r="F616" s="49"/>
      <c r="G616" s="89"/>
      <c r="W616" s="59"/>
    </row>
    <row r="617" spans="4:23" ht="12.75">
      <c r="D617" s="49"/>
      <c r="E617" s="49"/>
      <c r="F617" s="49"/>
      <c r="G617" s="89"/>
      <c r="W617" s="59"/>
    </row>
    <row r="618" spans="4:23" ht="12.75">
      <c r="D618" s="49"/>
      <c r="E618" s="49"/>
      <c r="F618" s="49"/>
      <c r="G618" s="89"/>
      <c r="W618" s="59"/>
    </row>
    <row r="619" spans="4:23" ht="12.75">
      <c r="D619" s="49"/>
      <c r="E619" s="49"/>
      <c r="F619" s="49"/>
      <c r="G619" s="89"/>
      <c r="W619" s="59"/>
    </row>
    <row r="620" spans="4:23" ht="12.75">
      <c r="D620" s="49"/>
      <c r="E620" s="49"/>
      <c r="F620" s="49"/>
      <c r="G620" s="89"/>
      <c r="W620" s="59"/>
    </row>
    <row r="621" spans="4:23" ht="12.75">
      <c r="D621" s="49"/>
      <c r="E621" s="49"/>
      <c r="F621" s="49"/>
      <c r="G621" s="89"/>
      <c r="W621" s="59"/>
    </row>
    <row r="622" spans="4:23" ht="12.75">
      <c r="D622" s="49"/>
      <c r="E622" s="49"/>
      <c r="F622" s="49"/>
      <c r="G622" s="89"/>
      <c r="W622" s="59"/>
    </row>
    <row r="623" spans="4:23" ht="12.75">
      <c r="D623" s="49"/>
      <c r="E623" s="49"/>
      <c r="F623" s="49"/>
      <c r="G623" s="89"/>
      <c r="W623" s="59"/>
    </row>
    <row r="624" spans="4:23" ht="12.75">
      <c r="D624" s="49"/>
      <c r="E624" s="49"/>
      <c r="F624" s="49"/>
      <c r="G624" s="89"/>
      <c r="W624" s="59"/>
    </row>
    <row r="625" spans="4:23" ht="12.75">
      <c r="D625" s="49"/>
      <c r="E625" s="49"/>
      <c r="F625" s="49"/>
      <c r="G625" s="89"/>
      <c r="W625" s="59"/>
    </row>
    <row r="626" spans="4:23" ht="12.75">
      <c r="D626" s="49"/>
      <c r="E626" s="49"/>
      <c r="F626" s="49"/>
      <c r="G626" s="89"/>
      <c r="W626" s="59"/>
    </row>
    <row r="627" spans="4:23" ht="12.75">
      <c r="D627" s="49"/>
      <c r="E627" s="49"/>
      <c r="F627" s="49"/>
      <c r="G627" s="89"/>
      <c r="W627" s="59"/>
    </row>
    <row r="628" spans="4:23" ht="12.75">
      <c r="D628" s="49"/>
      <c r="E628" s="49"/>
      <c r="F628" s="49"/>
      <c r="G628" s="89"/>
      <c r="W628" s="59"/>
    </row>
    <row r="629" spans="4:23" ht="12.75">
      <c r="D629" s="49"/>
      <c r="E629" s="49"/>
      <c r="F629" s="49"/>
      <c r="G629" s="89"/>
      <c r="W629" s="59"/>
    </row>
    <row r="630" spans="4:23" ht="12.75">
      <c r="D630" s="49"/>
      <c r="E630" s="49"/>
      <c r="F630" s="49"/>
      <c r="G630" s="89"/>
      <c r="W630" s="59"/>
    </row>
    <row r="631" spans="4:23" ht="12.75">
      <c r="D631" s="49"/>
      <c r="E631" s="49"/>
      <c r="F631" s="49"/>
      <c r="G631" s="89"/>
      <c r="W631" s="59"/>
    </row>
    <row r="632" spans="4:23" ht="12.75">
      <c r="D632" s="49"/>
      <c r="E632" s="49"/>
      <c r="F632" s="49"/>
      <c r="G632" s="89"/>
      <c r="W632" s="59"/>
    </row>
    <row r="633" spans="4:23" ht="12.75">
      <c r="D633" s="49"/>
      <c r="E633" s="49"/>
      <c r="F633" s="49"/>
      <c r="G633" s="89"/>
      <c r="W633" s="59"/>
    </row>
    <row r="634" spans="4:23" ht="12.75">
      <c r="D634" s="49"/>
      <c r="E634" s="49"/>
      <c r="F634" s="49"/>
      <c r="G634" s="89"/>
      <c r="W634" s="59"/>
    </row>
    <row r="635" spans="4:23" ht="12.75">
      <c r="D635" s="49"/>
      <c r="E635" s="49"/>
      <c r="F635" s="49"/>
      <c r="G635" s="89"/>
      <c r="W635" s="59"/>
    </row>
    <row r="636" spans="4:23" ht="12.75">
      <c r="D636" s="49"/>
      <c r="E636" s="49"/>
      <c r="F636" s="49"/>
      <c r="G636" s="89"/>
      <c r="W636" s="59"/>
    </row>
    <row r="637" spans="4:23" ht="12.75">
      <c r="D637" s="49"/>
      <c r="E637" s="49"/>
      <c r="F637" s="49"/>
      <c r="G637" s="89"/>
      <c r="W637" s="59"/>
    </row>
    <row r="638" spans="4:23" ht="12.75">
      <c r="D638" s="49"/>
      <c r="E638" s="49"/>
      <c r="F638" s="49"/>
      <c r="G638" s="89"/>
      <c r="W638" s="59"/>
    </row>
    <row r="639" spans="4:23" ht="12.75">
      <c r="D639" s="49"/>
      <c r="E639" s="49"/>
      <c r="F639" s="49"/>
      <c r="G639" s="89"/>
      <c r="W639" s="59"/>
    </row>
    <row r="640" spans="4:23" ht="12.75">
      <c r="D640" s="49"/>
      <c r="E640" s="49"/>
      <c r="F640" s="49"/>
      <c r="G640" s="89"/>
      <c r="W640" s="59"/>
    </row>
    <row r="641" spans="4:23" ht="12.75">
      <c r="D641" s="49"/>
      <c r="E641" s="49"/>
      <c r="F641" s="49"/>
      <c r="G641" s="89"/>
      <c r="W641" s="59"/>
    </row>
    <row r="642" spans="4:23" ht="12.75">
      <c r="D642" s="49"/>
      <c r="E642" s="49"/>
      <c r="F642" s="49"/>
      <c r="G642" s="89"/>
      <c r="W642" s="59"/>
    </row>
    <row r="643" spans="4:23" ht="12.75">
      <c r="D643" s="49"/>
      <c r="E643" s="49"/>
      <c r="F643" s="49"/>
      <c r="G643" s="89"/>
      <c r="W643" s="59"/>
    </row>
    <row r="644" spans="4:23" ht="12.75">
      <c r="D644" s="49"/>
      <c r="E644" s="49"/>
      <c r="F644" s="49"/>
      <c r="G644" s="89"/>
      <c r="W644" s="59"/>
    </row>
    <row r="645" spans="4:23" ht="12.75">
      <c r="D645" s="49"/>
      <c r="E645" s="49"/>
      <c r="F645" s="49"/>
      <c r="G645" s="89"/>
      <c r="W645" s="59"/>
    </row>
    <row r="646" spans="4:23" ht="12.75">
      <c r="D646" s="49"/>
      <c r="E646" s="49"/>
      <c r="F646" s="49"/>
      <c r="G646" s="89"/>
      <c r="W646" s="59"/>
    </row>
    <row r="647" spans="4:23" ht="12.75">
      <c r="D647" s="49"/>
      <c r="E647" s="49"/>
      <c r="F647" s="49"/>
      <c r="G647" s="89"/>
      <c r="W647" s="59"/>
    </row>
    <row r="648" spans="4:23" ht="12.75">
      <c r="D648" s="49"/>
      <c r="E648" s="49"/>
      <c r="F648" s="49"/>
      <c r="G648" s="89"/>
      <c r="W648" s="59"/>
    </row>
    <row r="649" spans="4:23" ht="12.75">
      <c r="D649" s="49"/>
      <c r="E649" s="49"/>
      <c r="F649" s="49"/>
      <c r="G649" s="89"/>
      <c r="W649" s="59"/>
    </row>
    <row r="650" spans="4:23" ht="12.75">
      <c r="D650" s="49"/>
      <c r="E650" s="49"/>
      <c r="F650" s="49"/>
      <c r="G650" s="89"/>
      <c r="W650" s="59"/>
    </row>
    <row r="651" spans="4:23" ht="12.75">
      <c r="D651" s="49"/>
      <c r="E651" s="49"/>
      <c r="F651" s="49"/>
      <c r="G651" s="89"/>
      <c r="W651" s="59"/>
    </row>
    <row r="652" spans="4:23" ht="12.75">
      <c r="D652" s="49"/>
      <c r="E652" s="49"/>
      <c r="F652" s="49"/>
      <c r="G652" s="89"/>
      <c r="W652" s="59"/>
    </row>
    <row r="653" spans="4:23" ht="12.75">
      <c r="D653" s="49"/>
      <c r="E653" s="49"/>
      <c r="F653" s="49"/>
      <c r="G653" s="89"/>
      <c r="W653" s="59"/>
    </row>
    <row r="654" spans="4:23" ht="12.75">
      <c r="D654" s="49"/>
      <c r="E654" s="49"/>
      <c r="F654" s="49"/>
      <c r="G654" s="89"/>
      <c r="W654" s="59"/>
    </row>
    <row r="655" spans="4:23" ht="12.75">
      <c r="D655" s="49"/>
      <c r="E655" s="49"/>
      <c r="F655" s="49"/>
      <c r="G655" s="89"/>
      <c r="W655" s="59"/>
    </row>
    <row r="656" spans="4:23" ht="12.75">
      <c r="D656" s="49"/>
      <c r="E656" s="49"/>
      <c r="F656" s="49"/>
      <c r="G656" s="89"/>
      <c r="W656" s="59"/>
    </row>
    <row r="657" spans="4:23" ht="12.75">
      <c r="D657" s="49"/>
      <c r="E657" s="49"/>
      <c r="F657" s="49"/>
      <c r="G657" s="89"/>
      <c r="W657" s="59"/>
    </row>
    <row r="658" spans="4:23" ht="12.75">
      <c r="D658" s="49"/>
      <c r="E658" s="49"/>
      <c r="F658" s="49"/>
      <c r="G658" s="89"/>
      <c r="W658" s="59"/>
    </row>
    <row r="659" spans="4:23" ht="12.75">
      <c r="D659" s="49"/>
      <c r="E659" s="49"/>
      <c r="F659" s="49"/>
      <c r="G659" s="89"/>
      <c r="W659" s="59"/>
    </row>
    <row r="660" spans="4:23" ht="12.75">
      <c r="D660" s="49"/>
      <c r="E660" s="49"/>
      <c r="F660" s="49"/>
      <c r="G660" s="89"/>
      <c r="W660" s="59"/>
    </row>
    <row r="661" spans="4:23" ht="12.75">
      <c r="D661" s="49"/>
      <c r="E661" s="49"/>
      <c r="F661" s="49"/>
      <c r="G661" s="89"/>
      <c r="W661" s="59"/>
    </row>
    <row r="662" spans="4:23" ht="12.75">
      <c r="D662" s="49"/>
      <c r="E662" s="49"/>
      <c r="F662" s="49"/>
      <c r="G662" s="89"/>
      <c r="W662" s="59"/>
    </row>
    <row r="663" spans="4:23" ht="12.75">
      <c r="D663" s="49"/>
      <c r="E663" s="49"/>
      <c r="F663" s="49"/>
      <c r="G663" s="89"/>
      <c r="W663" s="59"/>
    </row>
    <row r="664" spans="4:23" ht="12.75">
      <c r="D664" s="49"/>
      <c r="E664" s="49"/>
      <c r="F664" s="49"/>
      <c r="G664" s="89"/>
      <c r="W664" s="59"/>
    </row>
    <row r="665" spans="4:23" ht="12.75">
      <c r="D665" s="49"/>
      <c r="E665" s="49"/>
      <c r="F665" s="49"/>
      <c r="G665" s="89"/>
      <c r="W665" s="59"/>
    </row>
    <row r="666" spans="4:23" ht="12.75">
      <c r="D666" s="49"/>
      <c r="E666" s="49"/>
      <c r="F666" s="49"/>
      <c r="G666" s="89"/>
      <c r="W666" s="59"/>
    </row>
    <row r="667" spans="4:23" ht="12.75">
      <c r="D667" s="49"/>
      <c r="E667" s="49"/>
      <c r="F667" s="49"/>
      <c r="G667" s="89"/>
      <c r="W667" s="59"/>
    </row>
    <row r="668" spans="4:23" ht="12.75">
      <c r="D668" s="49"/>
      <c r="E668" s="49"/>
      <c r="F668" s="49"/>
      <c r="G668" s="89"/>
      <c r="W668" s="59"/>
    </row>
    <row r="669" spans="4:23" ht="12.75">
      <c r="D669" s="49"/>
      <c r="E669" s="49"/>
      <c r="F669" s="49"/>
      <c r="G669" s="89"/>
      <c r="W669" s="59"/>
    </row>
    <row r="670" spans="4:23" ht="12.75">
      <c r="D670" s="49"/>
      <c r="E670" s="49"/>
      <c r="F670" s="49"/>
      <c r="G670" s="89"/>
      <c r="W670" s="59"/>
    </row>
    <row r="671" spans="4:23" ht="12.75">
      <c r="D671" s="49"/>
      <c r="E671" s="49"/>
      <c r="F671" s="49"/>
      <c r="G671" s="89"/>
      <c r="W671" s="59"/>
    </row>
    <row r="672" spans="4:23" ht="12.75">
      <c r="D672" s="49"/>
      <c r="E672" s="49"/>
      <c r="F672" s="49"/>
      <c r="G672" s="89"/>
      <c r="W672" s="59"/>
    </row>
    <row r="673" spans="4:23" ht="12.75">
      <c r="D673" s="49"/>
      <c r="E673" s="49"/>
      <c r="F673" s="49"/>
      <c r="G673" s="89"/>
      <c r="W673" s="59"/>
    </row>
    <row r="674" spans="4:23" ht="12.75">
      <c r="D674" s="49"/>
      <c r="E674" s="49"/>
      <c r="F674" s="49"/>
      <c r="G674" s="89"/>
      <c r="W674" s="59"/>
    </row>
    <row r="675" spans="4:23" ht="12.75">
      <c r="D675" s="49"/>
      <c r="E675" s="49"/>
      <c r="F675" s="49"/>
      <c r="G675" s="89"/>
      <c r="W675" s="59"/>
    </row>
    <row r="676" spans="4:23" ht="12.75">
      <c r="D676" s="49"/>
      <c r="E676" s="49"/>
      <c r="F676" s="49"/>
      <c r="G676" s="89"/>
      <c r="W676" s="59"/>
    </row>
    <row r="677" spans="4:23" ht="12.75">
      <c r="D677" s="49"/>
      <c r="E677" s="49"/>
      <c r="F677" s="49"/>
      <c r="G677" s="89"/>
      <c r="W677" s="59"/>
    </row>
    <row r="678" spans="4:23" ht="12.75">
      <c r="D678" s="49"/>
      <c r="E678" s="49"/>
      <c r="F678" s="49"/>
      <c r="G678" s="89"/>
      <c r="W678" s="59"/>
    </row>
    <row r="679" spans="4:23" ht="12.75">
      <c r="D679" s="49"/>
      <c r="E679" s="49"/>
      <c r="F679" s="49"/>
      <c r="G679" s="89"/>
      <c r="W679" s="59"/>
    </row>
    <row r="680" spans="4:23" ht="12.75">
      <c r="D680" s="49"/>
      <c r="E680" s="49"/>
      <c r="F680" s="49"/>
      <c r="G680" s="89"/>
      <c r="W680" s="59"/>
    </row>
    <row r="681" spans="4:23" ht="12.75">
      <c r="D681" s="49"/>
      <c r="E681" s="49"/>
      <c r="F681" s="49"/>
      <c r="G681" s="89"/>
      <c r="W681" s="59"/>
    </row>
    <row r="682" spans="4:23" ht="12.75">
      <c r="D682" s="49"/>
      <c r="E682" s="49"/>
      <c r="F682" s="49"/>
      <c r="G682" s="89"/>
      <c r="W682" s="59"/>
    </row>
    <row r="683" spans="4:23" ht="12.75">
      <c r="D683" s="49"/>
      <c r="E683" s="49"/>
      <c r="F683" s="49"/>
      <c r="G683" s="89"/>
      <c r="W683" s="59"/>
    </row>
    <row r="684" spans="4:23" ht="12.75">
      <c r="D684" s="49"/>
      <c r="E684" s="49"/>
      <c r="F684" s="49"/>
      <c r="G684" s="89"/>
      <c r="W684" s="59"/>
    </row>
    <row r="685" spans="4:23" ht="12.75">
      <c r="D685" s="49"/>
      <c r="E685" s="49"/>
      <c r="F685" s="49"/>
      <c r="G685" s="89"/>
      <c r="W685" s="59"/>
    </row>
    <row r="686" spans="4:23" ht="12.75">
      <c r="D686" s="49"/>
      <c r="E686" s="49"/>
      <c r="F686" s="49"/>
      <c r="G686" s="89"/>
      <c r="W686" s="59"/>
    </row>
    <row r="687" spans="4:23" ht="12.75">
      <c r="D687" s="49"/>
      <c r="E687" s="49"/>
      <c r="F687" s="49"/>
      <c r="G687" s="89"/>
      <c r="W687" s="59"/>
    </row>
    <row r="688" spans="4:23" ht="12.75">
      <c r="D688" s="49"/>
      <c r="E688" s="49"/>
      <c r="F688" s="49"/>
      <c r="G688" s="89"/>
      <c r="W688" s="59"/>
    </row>
    <row r="689" spans="4:23" ht="12.75">
      <c r="D689" s="49"/>
      <c r="E689" s="49"/>
      <c r="F689" s="49"/>
      <c r="G689" s="89"/>
      <c r="W689" s="59"/>
    </row>
    <row r="690" spans="4:23" ht="12.75">
      <c r="D690" s="49"/>
      <c r="E690" s="49"/>
      <c r="F690" s="49"/>
      <c r="G690" s="89"/>
      <c r="W690" s="59"/>
    </row>
    <row r="691" spans="4:23" ht="12.75">
      <c r="D691" s="49"/>
      <c r="E691" s="49"/>
      <c r="F691" s="49"/>
      <c r="G691" s="89"/>
      <c r="W691" s="59"/>
    </row>
    <row r="692" spans="4:23" ht="12.75">
      <c r="D692" s="49"/>
      <c r="E692" s="49"/>
      <c r="F692" s="49"/>
      <c r="G692" s="89"/>
      <c r="W692" s="59"/>
    </row>
    <row r="693" spans="4:23" ht="12.75">
      <c r="D693" s="49"/>
      <c r="E693" s="49"/>
      <c r="F693" s="49"/>
      <c r="G693" s="89"/>
      <c r="W693" s="59"/>
    </row>
    <row r="694" spans="4:23" ht="12.75">
      <c r="D694" s="49"/>
      <c r="E694" s="49"/>
      <c r="F694" s="49"/>
      <c r="G694" s="89"/>
      <c r="W694" s="59"/>
    </row>
    <row r="695" spans="4:23" ht="12.75">
      <c r="D695" s="49"/>
      <c r="E695" s="49"/>
      <c r="F695" s="49"/>
      <c r="G695" s="89"/>
      <c r="W695" s="59"/>
    </row>
    <row r="696" spans="4:23" ht="12.75">
      <c r="D696" s="49"/>
      <c r="E696" s="49"/>
      <c r="F696" s="49"/>
      <c r="G696" s="89"/>
      <c r="W696" s="59"/>
    </row>
    <row r="697" spans="4:23" ht="12.75">
      <c r="D697" s="49"/>
      <c r="E697" s="49"/>
      <c r="F697" s="49"/>
      <c r="G697" s="89"/>
      <c r="W697" s="59"/>
    </row>
    <row r="698" spans="4:23" ht="12.75">
      <c r="D698" s="49"/>
      <c r="E698" s="49"/>
      <c r="F698" s="49"/>
      <c r="G698" s="89"/>
      <c r="W698" s="59"/>
    </row>
    <row r="699" spans="4:23" ht="12.75">
      <c r="D699" s="49"/>
      <c r="E699" s="49"/>
      <c r="F699" s="49"/>
      <c r="G699" s="89"/>
      <c r="W699" s="59"/>
    </row>
    <row r="700" spans="4:23" ht="12.75">
      <c r="D700" s="49"/>
      <c r="E700" s="49"/>
      <c r="F700" s="49"/>
      <c r="G700" s="89"/>
      <c r="W700" s="59"/>
    </row>
    <row r="701" spans="4:23" ht="12.75">
      <c r="D701" s="49"/>
      <c r="E701" s="49"/>
      <c r="F701" s="49"/>
      <c r="G701" s="89"/>
      <c r="W701" s="59"/>
    </row>
    <row r="702" spans="4:23" ht="12.75">
      <c r="D702" s="49"/>
      <c r="E702" s="49"/>
      <c r="F702" s="49"/>
      <c r="G702" s="89"/>
      <c r="W702" s="59"/>
    </row>
    <row r="703" spans="4:23" ht="12.75">
      <c r="D703" s="49"/>
      <c r="E703" s="49"/>
      <c r="F703" s="49"/>
      <c r="G703" s="89"/>
      <c r="W703" s="59"/>
    </row>
    <row r="704" spans="4:23" ht="12.75">
      <c r="D704" s="49"/>
      <c r="E704" s="49"/>
      <c r="F704" s="49"/>
      <c r="G704" s="89"/>
      <c r="W704" s="59"/>
    </row>
    <row r="705" spans="4:23" ht="12.75">
      <c r="D705" s="49"/>
      <c r="E705" s="49"/>
      <c r="F705" s="49"/>
      <c r="G705" s="89"/>
      <c r="W705" s="59"/>
    </row>
    <row r="706" spans="4:23" ht="12.75">
      <c r="D706" s="49"/>
      <c r="E706" s="49"/>
      <c r="F706" s="49"/>
      <c r="G706" s="89"/>
      <c r="W706" s="59"/>
    </row>
    <row r="707" spans="4:23" ht="12.75">
      <c r="D707" s="49"/>
      <c r="E707" s="49"/>
      <c r="F707" s="49"/>
      <c r="G707" s="89"/>
      <c r="W707" s="59"/>
    </row>
    <row r="708" spans="4:23" ht="12.75">
      <c r="D708" s="49"/>
      <c r="E708" s="49"/>
      <c r="F708" s="49"/>
      <c r="G708" s="89"/>
      <c r="W708" s="59"/>
    </row>
    <row r="709" spans="4:23" ht="12.75">
      <c r="D709" s="49"/>
      <c r="E709" s="49"/>
      <c r="F709" s="49"/>
      <c r="G709" s="89"/>
      <c r="W709" s="59"/>
    </row>
    <row r="710" spans="4:23" ht="12.75">
      <c r="D710" s="49"/>
      <c r="E710" s="49"/>
      <c r="F710" s="49"/>
      <c r="G710" s="89"/>
      <c r="W710" s="59"/>
    </row>
    <row r="711" spans="4:23" ht="12.75">
      <c r="D711" s="49"/>
      <c r="E711" s="49"/>
      <c r="F711" s="49"/>
      <c r="G711" s="89"/>
      <c r="W711" s="59"/>
    </row>
    <row r="712" spans="4:23" ht="12.75">
      <c r="D712" s="49"/>
      <c r="E712" s="49"/>
      <c r="F712" s="49"/>
      <c r="G712" s="89"/>
      <c r="W712" s="59"/>
    </row>
    <row r="713" spans="4:23" ht="12.75">
      <c r="D713" s="49"/>
      <c r="E713" s="49"/>
      <c r="F713" s="49"/>
      <c r="G713" s="89"/>
      <c r="W713" s="59"/>
    </row>
    <row r="714" spans="4:23" ht="12.75">
      <c r="D714" s="49"/>
      <c r="E714" s="49"/>
      <c r="F714" s="49"/>
      <c r="G714" s="89"/>
      <c r="W714" s="59"/>
    </row>
    <row r="715" spans="4:23" ht="12.75">
      <c r="D715" s="49"/>
      <c r="E715" s="49"/>
      <c r="F715" s="49"/>
      <c r="G715" s="89"/>
      <c r="W715" s="59"/>
    </row>
    <row r="716" spans="4:23" ht="12.75">
      <c r="D716" s="49"/>
      <c r="E716" s="49"/>
      <c r="F716" s="49"/>
      <c r="G716" s="89"/>
      <c r="W716" s="59"/>
    </row>
    <row r="717" spans="4:23" ht="12.75">
      <c r="D717" s="49"/>
      <c r="E717" s="49"/>
      <c r="F717" s="49"/>
      <c r="G717" s="89"/>
      <c r="W717" s="59"/>
    </row>
    <row r="718" spans="4:23" ht="12.75">
      <c r="D718" s="49"/>
      <c r="E718" s="49"/>
      <c r="F718" s="49"/>
      <c r="G718" s="89"/>
      <c r="W718" s="59"/>
    </row>
    <row r="719" spans="4:23" ht="12.75">
      <c r="D719" s="49"/>
      <c r="E719" s="49"/>
      <c r="F719" s="49"/>
      <c r="G719" s="89"/>
      <c r="W719" s="59"/>
    </row>
    <row r="720" spans="4:23" ht="12.75">
      <c r="D720" s="49"/>
      <c r="E720" s="49"/>
      <c r="F720" s="49"/>
      <c r="G720" s="89"/>
      <c r="W720" s="59"/>
    </row>
    <row r="721" spans="4:23" ht="12.75">
      <c r="D721" s="49"/>
      <c r="E721" s="49"/>
      <c r="F721" s="49"/>
      <c r="G721" s="89"/>
      <c r="W721" s="59"/>
    </row>
    <row r="722" spans="4:23" ht="12.75">
      <c r="D722" s="49"/>
      <c r="E722" s="49"/>
      <c r="F722" s="49"/>
      <c r="G722" s="89"/>
      <c r="W722" s="59"/>
    </row>
    <row r="723" spans="4:23" ht="12.75">
      <c r="D723" s="49"/>
      <c r="E723" s="49"/>
      <c r="F723" s="49"/>
      <c r="G723" s="89"/>
      <c r="W723" s="59"/>
    </row>
    <row r="724" spans="4:23" ht="12.75">
      <c r="D724" s="49"/>
      <c r="E724" s="49"/>
      <c r="F724" s="49"/>
      <c r="G724" s="89"/>
      <c r="W724" s="59"/>
    </row>
    <row r="725" spans="4:23" ht="12.75">
      <c r="D725" s="49"/>
      <c r="E725" s="49"/>
      <c r="F725" s="49"/>
      <c r="G725" s="89"/>
      <c r="W725" s="59"/>
    </row>
    <row r="726" spans="4:23" ht="12.75">
      <c r="D726" s="49"/>
      <c r="E726" s="49"/>
      <c r="F726" s="49"/>
      <c r="G726" s="89"/>
      <c r="W726" s="59"/>
    </row>
    <row r="727" spans="4:23" ht="12.75">
      <c r="D727" s="49"/>
      <c r="E727" s="49"/>
      <c r="F727" s="49"/>
      <c r="G727" s="89"/>
      <c r="W727" s="59"/>
    </row>
    <row r="728" spans="4:23" ht="12.75">
      <c r="D728" s="49"/>
      <c r="E728" s="49"/>
      <c r="F728" s="49"/>
      <c r="G728" s="89"/>
      <c r="W728" s="59"/>
    </row>
    <row r="729" spans="4:23" ht="12.75">
      <c r="D729" s="49"/>
      <c r="E729" s="49"/>
      <c r="F729" s="49"/>
      <c r="G729" s="89"/>
      <c r="W729" s="59"/>
    </row>
    <row r="730" spans="4:23" ht="12.75">
      <c r="D730" s="49"/>
      <c r="E730" s="49"/>
      <c r="F730" s="49"/>
      <c r="G730" s="89"/>
      <c r="W730" s="59"/>
    </row>
    <row r="731" spans="4:23" ht="12.75">
      <c r="D731" s="49"/>
      <c r="E731" s="49"/>
      <c r="F731" s="49"/>
      <c r="G731" s="89"/>
      <c r="W731" s="59"/>
    </row>
    <row r="732" spans="4:23" ht="12.75">
      <c r="D732" s="49"/>
      <c r="E732" s="49"/>
      <c r="F732" s="49"/>
      <c r="G732" s="89"/>
      <c r="W732" s="59"/>
    </row>
    <row r="733" spans="4:23" ht="12.75">
      <c r="D733" s="49"/>
      <c r="E733" s="49"/>
      <c r="F733" s="49"/>
      <c r="G733" s="89"/>
      <c r="W733" s="59"/>
    </row>
    <row r="734" spans="4:23" ht="12.75">
      <c r="D734" s="49"/>
      <c r="E734" s="49"/>
      <c r="F734" s="49"/>
      <c r="G734" s="89"/>
      <c r="W734" s="59"/>
    </row>
    <row r="735" spans="4:23" ht="12.75">
      <c r="D735" s="49"/>
      <c r="E735" s="49"/>
      <c r="F735" s="49"/>
      <c r="G735" s="89"/>
      <c r="W735" s="59"/>
    </row>
    <row r="736" spans="4:23" ht="12.75">
      <c r="D736" s="49"/>
      <c r="E736" s="49"/>
      <c r="F736" s="49"/>
      <c r="G736" s="89"/>
      <c r="W736" s="59"/>
    </row>
    <row r="737" spans="4:23" ht="12.75">
      <c r="D737" s="49"/>
      <c r="E737" s="49"/>
      <c r="F737" s="49"/>
      <c r="G737" s="89"/>
      <c r="W737" s="59"/>
    </row>
    <row r="738" spans="4:23" ht="12.75">
      <c r="D738" s="49"/>
      <c r="E738" s="49"/>
      <c r="F738" s="49"/>
      <c r="G738" s="89"/>
      <c r="W738" s="59"/>
    </row>
    <row r="739" spans="4:23" ht="12.75">
      <c r="D739" s="49"/>
      <c r="E739" s="49"/>
      <c r="F739" s="49"/>
      <c r="G739" s="89"/>
      <c r="W739" s="59"/>
    </row>
    <row r="740" spans="4:23" ht="12.75">
      <c r="D740" s="49"/>
      <c r="E740" s="49"/>
      <c r="F740" s="49"/>
      <c r="G740" s="89"/>
      <c r="W740" s="59"/>
    </row>
    <row r="741" spans="4:23" ht="12.75">
      <c r="D741" s="49"/>
      <c r="E741" s="49"/>
      <c r="F741" s="49"/>
      <c r="G741" s="89"/>
      <c r="W741" s="59"/>
    </row>
    <row r="742" spans="4:23" ht="12.75">
      <c r="D742" s="49"/>
      <c r="E742" s="49"/>
      <c r="F742" s="49"/>
      <c r="G742" s="89"/>
      <c r="W742" s="59"/>
    </row>
    <row r="743" spans="4:23" ht="12.75">
      <c r="D743" s="49"/>
      <c r="E743" s="49"/>
      <c r="F743" s="49"/>
      <c r="G743" s="89"/>
      <c r="W743" s="59"/>
    </row>
    <row r="744" spans="4:23" ht="12.75">
      <c r="D744" s="49"/>
      <c r="E744" s="49"/>
      <c r="F744" s="49"/>
      <c r="G744" s="89"/>
      <c r="W744" s="59"/>
    </row>
    <row r="745" spans="4:23" ht="12.75">
      <c r="D745" s="49"/>
      <c r="E745" s="49"/>
      <c r="F745" s="49"/>
      <c r="G745" s="89"/>
      <c r="W745" s="59"/>
    </row>
    <row r="746" spans="4:23" ht="12.75">
      <c r="D746" s="49"/>
      <c r="E746" s="49"/>
      <c r="F746" s="49"/>
      <c r="G746" s="89"/>
      <c r="W746" s="59"/>
    </row>
    <row r="747" spans="4:23" ht="12.75">
      <c r="D747" s="49"/>
      <c r="E747" s="49"/>
      <c r="F747" s="49"/>
      <c r="G747" s="89"/>
      <c r="W747" s="59"/>
    </row>
    <row r="748" spans="4:23" ht="12.75">
      <c r="D748" s="49"/>
      <c r="E748" s="49"/>
      <c r="F748" s="49"/>
      <c r="G748" s="89"/>
      <c r="W748" s="59"/>
    </row>
    <row r="749" spans="4:23" ht="12.75">
      <c r="D749" s="49"/>
      <c r="E749" s="49"/>
      <c r="F749" s="49"/>
      <c r="G749" s="89"/>
      <c r="W749" s="59"/>
    </row>
    <row r="750" spans="4:23" ht="12.75">
      <c r="D750" s="49"/>
      <c r="E750" s="49"/>
      <c r="F750" s="49"/>
      <c r="G750" s="89"/>
      <c r="W750" s="59"/>
    </row>
    <row r="751" spans="4:23" ht="12.75">
      <c r="D751" s="49"/>
      <c r="E751" s="49"/>
      <c r="F751" s="49"/>
      <c r="G751" s="89"/>
      <c r="W751" s="59"/>
    </row>
    <row r="752" spans="4:23" ht="12.75">
      <c r="D752" s="49"/>
      <c r="E752" s="49"/>
      <c r="F752" s="49"/>
      <c r="G752" s="89"/>
      <c r="W752" s="59"/>
    </row>
    <row r="753" spans="4:23" ht="12.75">
      <c r="D753" s="49"/>
      <c r="E753" s="49"/>
      <c r="F753" s="49"/>
      <c r="G753" s="89"/>
      <c r="W753" s="59"/>
    </row>
    <row r="754" spans="4:23" ht="12.75">
      <c r="D754" s="49"/>
      <c r="E754" s="49"/>
      <c r="F754" s="49"/>
      <c r="G754" s="89"/>
      <c r="W754" s="59"/>
    </row>
    <row r="755" spans="4:23" ht="12.75">
      <c r="D755" s="49"/>
      <c r="E755" s="49"/>
      <c r="F755" s="49"/>
      <c r="G755" s="89"/>
      <c r="W755" s="59"/>
    </row>
    <row r="756" spans="4:23" ht="12.75">
      <c r="D756" s="49"/>
      <c r="E756" s="49"/>
      <c r="F756" s="49"/>
      <c r="G756" s="89"/>
      <c r="W756" s="59"/>
    </row>
    <row r="757" spans="4:23" ht="12.75">
      <c r="D757" s="49"/>
      <c r="E757" s="49"/>
      <c r="F757" s="49"/>
      <c r="G757" s="89"/>
      <c r="W757" s="59"/>
    </row>
    <row r="758" spans="4:23" ht="12.75">
      <c r="D758" s="49"/>
      <c r="E758" s="49"/>
      <c r="F758" s="49"/>
      <c r="G758" s="89"/>
      <c r="W758" s="59"/>
    </row>
    <row r="759" spans="4:23" ht="12.75">
      <c r="D759" s="49"/>
      <c r="E759" s="49"/>
      <c r="F759" s="49"/>
      <c r="G759" s="89"/>
      <c r="W759" s="59"/>
    </row>
    <row r="760" spans="4:23" ht="12.75">
      <c r="D760" s="49"/>
      <c r="E760" s="49"/>
      <c r="F760" s="49"/>
      <c r="G760" s="89"/>
      <c r="W760" s="59"/>
    </row>
    <row r="761" spans="4:23" ht="12.75">
      <c r="D761" s="49"/>
      <c r="E761" s="49"/>
      <c r="F761" s="49"/>
      <c r="G761" s="89"/>
      <c r="W761" s="59"/>
    </row>
    <row r="762" spans="4:23" ht="12.75">
      <c r="D762" s="49"/>
      <c r="E762" s="49"/>
      <c r="F762" s="49"/>
      <c r="G762" s="89"/>
      <c r="W762" s="59"/>
    </row>
    <row r="763" spans="4:23" ht="12.75">
      <c r="D763" s="49"/>
      <c r="E763" s="49"/>
      <c r="F763" s="49"/>
      <c r="G763" s="89"/>
      <c r="W763" s="59"/>
    </row>
    <row r="764" spans="4:23" ht="12.75">
      <c r="D764" s="49"/>
      <c r="E764" s="49"/>
      <c r="F764" s="49"/>
      <c r="G764" s="89"/>
      <c r="W764" s="59"/>
    </row>
    <row r="765" spans="4:23" ht="12.75">
      <c r="D765" s="49"/>
      <c r="E765" s="49"/>
      <c r="F765" s="49"/>
      <c r="G765" s="89"/>
      <c r="W765" s="59"/>
    </row>
    <row r="766" spans="4:23" ht="12.75">
      <c r="D766" s="49"/>
      <c r="E766" s="49"/>
      <c r="F766" s="49"/>
      <c r="G766" s="89"/>
      <c r="W766" s="59"/>
    </row>
    <row r="767" spans="4:23" ht="12.75">
      <c r="D767" s="49"/>
      <c r="E767" s="49"/>
      <c r="F767" s="49"/>
      <c r="G767" s="89"/>
      <c r="W767" s="59"/>
    </row>
    <row r="768" spans="4:23" ht="12.75">
      <c r="D768" s="49"/>
      <c r="E768" s="49"/>
      <c r="F768" s="49"/>
      <c r="G768" s="89"/>
      <c r="W768" s="59"/>
    </row>
    <row r="769" spans="4:23" ht="12.75">
      <c r="D769" s="49"/>
      <c r="E769" s="49"/>
      <c r="F769" s="49"/>
      <c r="G769" s="89"/>
      <c r="W769" s="59"/>
    </row>
    <row r="770" spans="4:23" ht="12.75">
      <c r="D770" s="49"/>
      <c r="E770" s="49"/>
      <c r="F770" s="49"/>
      <c r="G770" s="89"/>
      <c r="W770" s="59"/>
    </row>
    <row r="771" spans="4:23" ht="12.75">
      <c r="D771" s="49"/>
      <c r="E771" s="49"/>
      <c r="F771" s="49"/>
      <c r="G771" s="89"/>
      <c r="W771" s="59"/>
    </row>
    <row r="772" spans="4:23" ht="12.75">
      <c r="D772" s="49"/>
      <c r="E772" s="49"/>
      <c r="F772" s="49"/>
      <c r="G772" s="89"/>
      <c r="W772" s="59"/>
    </row>
    <row r="773" spans="4:23" ht="12.75">
      <c r="D773" s="49"/>
      <c r="E773" s="49"/>
      <c r="F773" s="49"/>
      <c r="G773" s="89"/>
      <c r="W773" s="59"/>
    </row>
    <row r="774" spans="4:23" ht="12.75">
      <c r="D774" s="49"/>
      <c r="E774" s="49"/>
      <c r="F774" s="49"/>
      <c r="G774" s="89"/>
      <c r="W774" s="59"/>
    </row>
    <row r="775" spans="4:23" ht="12.75">
      <c r="D775" s="49"/>
      <c r="E775" s="49"/>
      <c r="F775" s="49"/>
      <c r="G775" s="89"/>
      <c r="W775" s="59"/>
    </row>
    <row r="776" spans="4:23" ht="12.75">
      <c r="D776" s="49"/>
      <c r="E776" s="49"/>
      <c r="F776" s="49"/>
      <c r="G776" s="89"/>
      <c r="W776" s="59"/>
    </row>
    <row r="777" spans="4:23" ht="12.75">
      <c r="D777" s="49"/>
      <c r="E777" s="49"/>
      <c r="F777" s="49"/>
      <c r="G777" s="89"/>
      <c r="W777" s="59"/>
    </row>
    <row r="778" spans="4:23" ht="12.75">
      <c r="D778" s="49"/>
      <c r="E778" s="49"/>
      <c r="F778" s="49"/>
      <c r="G778" s="89"/>
      <c r="W778" s="59"/>
    </row>
    <row r="779" spans="4:23" ht="12.75">
      <c r="D779" s="49"/>
      <c r="E779" s="49"/>
      <c r="F779" s="49"/>
      <c r="G779" s="89"/>
      <c r="W779" s="59"/>
    </row>
    <row r="780" spans="4:23" ht="12.75">
      <c r="D780" s="49"/>
      <c r="E780" s="49"/>
      <c r="F780" s="49"/>
      <c r="G780" s="89"/>
      <c r="W780" s="59"/>
    </row>
    <row r="781" spans="4:23" ht="12.75">
      <c r="D781" s="49"/>
      <c r="E781" s="49"/>
      <c r="F781" s="49"/>
      <c r="G781" s="89"/>
      <c r="W781" s="59"/>
    </row>
    <row r="782" spans="4:23" ht="12.75">
      <c r="D782" s="49"/>
      <c r="E782" s="49"/>
      <c r="F782" s="49"/>
      <c r="G782" s="89"/>
      <c r="W782" s="59"/>
    </row>
    <row r="783" spans="4:23" ht="12.75">
      <c r="D783" s="49"/>
      <c r="E783" s="49"/>
      <c r="F783" s="49"/>
      <c r="G783" s="89"/>
      <c r="W783" s="59"/>
    </row>
    <row r="784" spans="4:23" ht="12.75">
      <c r="D784" s="49"/>
      <c r="E784" s="49"/>
      <c r="F784" s="49"/>
      <c r="G784" s="89"/>
      <c r="W784" s="59"/>
    </row>
    <row r="785" spans="4:23" ht="12.75">
      <c r="D785" s="49"/>
      <c r="E785" s="49"/>
      <c r="F785" s="49"/>
      <c r="G785" s="89"/>
      <c r="W785" s="59"/>
    </row>
    <row r="786" spans="4:23" ht="12.75">
      <c r="D786" s="49"/>
      <c r="E786" s="49"/>
      <c r="F786" s="49"/>
      <c r="G786" s="89"/>
      <c r="W786" s="59"/>
    </row>
    <row r="787" spans="4:23" ht="12.75">
      <c r="D787" s="49"/>
      <c r="E787" s="49"/>
      <c r="F787" s="49"/>
      <c r="G787" s="89"/>
      <c r="W787" s="59"/>
    </row>
    <row r="788" spans="4:23" ht="12.75">
      <c r="D788" s="49"/>
      <c r="E788" s="49"/>
      <c r="F788" s="49"/>
      <c r="G788" s="89"/>
      <c r="W788" s="59"/>
    </row>
    <row r="789" spans="4:23" ht="12.75">
      <c r="D789" s="49"/>
      <c r="E789" s="49"/>
      <c r="F789" s="49"/>
      <c r="G789" s="89"/>
      <c r="W789" s="59"/>
    </row>
    <row r="790" spans="4:23" ht="12.75">
      <c r="D790" s="49"/>
      <c r="E790" s="49"/>
      <c r="F790" s="49"/>
      <c r="G790" s="89"/>
      <c r="W790" s="59"/>
    </row>
    <row r="791" spans="4:23" ht="12.75">
      <c r="D791" s="49"/>
      <c r="E791" s="49"/>
      <c r="F791" s="49"/>
      <c r="G791" s="89"/>
      <c r="W791" s="59"/>
    </row>
    <row r="792" spans="4:23" ht="12.75">
      <c r="D792" s="49"/>
      <c r="E792" s="49"/>
      <c r="F792" s="49"/>
      <c r="G792" s="89"/>
      <c r="W792" s="59"/>
    </row>
    <row r="793" spans="4:23" ht="12.75">
      <c r="D793" s="49"/>
      <c r="E793" s="49"/>
      <c r="F793" s="49"/>
      <c r="G793" s="89"/>
      <c r="W793" s="59"/>
    </row>
    <row r="794" spans="4:23" ht="12.75">
      <c r="D794" s="49"/>
      <c r="E794" s="49"/>
      <c r="F794" s="49"/>
      <c r="G794" s="89"/>
      <c r="W794" s="59"/>
    </row>
    <row r="795" spans="4:23" ht="12.75">
      <c r="D795" s="49"/>
      <c r="E795" s="49"/>
      <c r="F795" s="49"/>
      <c r="G795" s="89"/>
      <c r="W795" s="59"/>
    </row>
    <row r="796" spans="4:23" ht="12.75">
      <c r="D796" s="49"/>
      <c r="E796" s="49"/>
      <c r="F796" s="49"/>
      <c r="G796" s="89"/>
      <c r="W796" s="59"/>
    </row>
    <row r="797" spans="4:23" ht="12.75">
      <c r="D797" s="49"/>
      <c r="E797" s="49"/>
      <c r="F797" s="49"/>
      <c r="G797" s="89"/>
      <c r="W797" s="59"/>
    </row>
    <row r="798" spans="4:23" ht="12.75">
      <c r="D798" s="49"/>
      <c r="E798" s="49"/>
      <c r="F798" s="49"/>
      <c r="G798" s="89"/>
      <c r="W798" s="59"/>
    </row>
    <row r="799" spans="4:23" ht="12.75">
      <c r="D799" s="49"/>
      <c r="E799" s="49"/>
      <c r="F799" s="49"/>
      <c r="G799" s="89"/>
      <c r="W799" s="59"/>
    </row>
    <row r="800" spans="4:23" ht="12.75">
      <c r="D800" s="49"/>
      <c r="E800" s="49"/>
      <c r="F800" s="49"/>
      <c r="G800" s="89"/>
      <c r="W800" s="59"/>
    </row>
    <row r="801" spans="4:23" ht="12.75">
      <c r="D801" s="49"/>
      <c r="E801" s="49"/>
      <c r="F801" s="49"/>
      <c r="G801" s="89"/>
      <c r="W801" s="59"/>
    </row>
    <row r="802" spans="4:23" ht="12.75">
      <c r="D802" s="49"/>
      <c r="E802" s="49"/>
      <c r="F802" s="49"/>
      <c r="G802" s="89"/>
      <c r="W802" s="59"/>
    </row>
    <row r="803" spans="4:23" ht="12.75">
      <c r="D803" s="49"/>
      <c r="E803" s="49"/>
      <c r="F803" s="49"/>
      <c r="G803" s="89"/>
      <c r="W803" s="59"/>
    </row>
    <row r="804" spans="4:23" ht="12.75">
      <c r="D804" s="49"/>
      <c r="E804" s="49"/>
      <c r="F804" s="49"/>
      <c r="G804" s="89"/>
      <c r="W804" s="59"/>
    </row>
    <row r="805" spans="4:23" ht="12.75">
      <c r="D805" s="49"/>
      <c r="E805" s="49"/>
      <c r="F805" s="49"/>
      <c r="G805" s="89"/>
      <c r="W805" s="59"/>
    </row>
    <row r="806" spans="4:23" ht="12.75">
      <c r="D806" s="49"/>
      <c r="E806" s="49"/>
      <c r="F806" s="49"/>
      <c r="G806" s="89"/>
      <c r="W806" s="59"/>
    </row>
    <row r="807" spans="4:23" ht="12.75">
      <c r="D807" s="49"/>
      <c r="E807" s="49"/>
      <c r="F807" s="49"/>
      <c r="G807" s="89"/>
      <c r="W807" s="59"/>
    </row>
    <row r="808" spans="4:23" ht="12.75">
      <c r="D808" s="49"/>
      <c r="E808" s="49"/>
      <c r="F808" s="49"/>
      <c r="G808" s="89"/>
      <c r="W808" s="59"/>
    </row>
    <row r="809" spans="4:23" ht="12.75">
      <c r="D809" s="49"/>
      <c r="E809" s="49"/>
      <c r="F809" s="49"/>
      <c r="G809" s="89"/>
      <c r="W809" s="59"/>
    </row>
    <row r="810" spans="4:23" ht="12.75">
      <c r="D810" s="49"/>
      <c r="E810" s="49"/>
      <c r="F810" s="49"/>
      <c r="G810" s="89"/>
      <c r="W810" s="59"/>
    </row>
    <row r="811" spans="4:23" ht="12.75">
      <c r="D811" s="49"/>
      <c r="E811" s="49"/>
      <c r="F811" s="49"/>
      <c r="G811" s="89"/>
      <c r="W811" s="59"/>
    </row>
    <row r="812" spans="4:23" ht="12.75">
      <c r="D812" s="49"/>
      <c r="E812" s="49"/>
      <c r="F812" s="49"/>
      <c r="G812" s="89"/>
      <c r="W812" s="59"/>
    </row>
    <row r="813" spans="4:23" ht="12.75">
      <c r="D813" s="49"/>
      <c r="E813" s="49"/>
      <c r="F813" s="49"/>
      <c r="G813" s="89"/>
      <c r="W813" s="59"/>
    </row>
    <row r="814" spans="4:23" ht="12.75">
      <c r="D814" s="49"/>
      <c r="E814" s="49"/>
      <c r="F814" s="49"/>
      <c r="G814" s="89"/>
      <c r="W814" s="59"/>
    </row>
    <row r="815" spans="4:23" ht="12.75">
      <c r="D815" s="49"/>
      <c r="E815" s="49"/>
      <c r="F815" s="49"/>
      <c r="G815" s="89"/>
      <c r="W815" s="59"/>
    </row>
    <row r="816" spans="4:23" ht="12.75">
      <c r="D816" s="49"/>
      <c r="E816" s="49"/>
      <c r="F816" s="49"/>
      <c r="G816" s="89"/>
      <c r="W816" s="59"/>
    </row>
    <row r="817" spans="4:23" ht="12.75">
      <c r="D817" s="49"/>
      <c r="E817" s="49"/>
      <c r="F817" s="49"/>
      <c r="G817" s="89"/>
      <c r="W817" s="59"/>
    </row>
    <row r="818" spans="4:23" ht="12.75">
      <c r="D818" s="49"/>
      <c r="E818" s="49"/>
      <c r="F818" s="49"/>
      <c r="G818" s="89"/>
      <c r="W818" s="59"/>
    </row>
    <row r="819" spans="4:23" ht="12.75">
      <c r="D819" s="49"/>
      <c r="E819" s="49"/>
      <c r="F819" s="49"/>
      <c r="G819" s="89"/>
      <c r="W819" s="59"/>
    </row>
    <row r="820" spans="4:23" ht="12.75">
      <c r="D820" s="49"/>
      <c r="E820" s="49"/>
      <c r="F820" s="49"/>
      <c r="G820" s="89"/>
      <c r="W820" s="59"/>
    </row>
    <row r="821" spans="4:23" ht="12.75">
      <c r="D821" s="49"/>
      <c r="E821" s="49"/>
      <c r="F821" s="49"/>
      <c r="G821" s="89"/>
      <c r="W821" s="59"/>
    </row>
    <row r="822" spans="4:23" ht="12.75">
      <c r="D822" s="49"/>
      <c r="E822" s="49"/>
      <c r="F822" s="49"/>
      <c r="G822" s="89"/>
      <c r="W822" s="59"/>
    </row>
    <row r="823" spans="4:23" ht="12.75">
      <c r="D823" s="49"/>
      <c r="E823" s="49"/>
      <c r="F823" s="49"/>
      <c r="G823" s="89"/>
      <c r="W823" s="59"/>
    </row>
    <row r="824" spans="4:23" ht="12.75">
      <c r="D824" s="49"/>
      <c r="E824" s="49"/>
      <c r="F824" s="49"/>
      <c r="G824" s="89"/>
      <c r="W824" s="59"/>
    </row>
    <row r="825" spans="4:23" ht="12.75">
      <c r="D825" s="49"/>
      <c r="E825" s="49"/>
      <c r="F825" s="49"/>
      <c r="G825" s="89"/>
      <c r="W825" s="59"/>
    </row>
    <row r="826" spans="4:23" ht="12.75">
      <c r="D826" s="49"/>
      <c r="E826" s="49"/>
      <c r="F826" s="49"/>
      <c r="G826" s="89"/>
      <c r="W826" s="59"/>
    </row>
    <row r="827" spans="4:23" ht="12.75">
      <c r="D827" s="49"/>
      <c r="E827" s="49"/>
      <c r="F827" s="49"/>
      <c r="G827" s="89"/>
      <c r="W827" s="59"/>
    </row>
    <row r="828" spans="4:23" ht="12.75">
      <c r="D828" s="49"/>
      <c r="E828" s="49"/>
      <c r="F828" s="49"/>
      <c r="G828" s="89"/>
      <c r="W828" s="59"/>
    </row>
    <row r="829" spans="4:23" ht="12.75">
      <c r="D829" s="49"/>
      <c r="E829" s="49"/>
      <c r="F829" s="49"/>
      <c r="G829" s="89"/>
      <c r="W829" s="59"/>
    </row>
    <row r="830" spans="4:23" ht="12.75">
      <c r="D830" s="49"/>
      <c r="E830" s="49"/>
      <c r="F830" s="49"/>
      <c r="G830" s="89"/>
      <c r="W830" s="59"/>
    </row>
    <row r="831" spans="4:23" ht="12.75">
      <c r="D831" s="49"/>
      <c r="E831" s="49"/>
      <c r="F831" s="49"/>
      <c r="G831" s="89"/>
      <c r="W831" s="59"/>
    </row>
    <row r="832" spans="4:23" ht="12.75">
      <c r="D832" s="49"/>
      <c r="E832" s="49"/>
      <c r="F832" s="49"/>
      <c r="G832" s="89"/>
      <c r="W832" s="59"/>
    </row>
    <row r="833" spans="4:23" ht="12.75">
      <c r="D833" s="49"/>
      <c r="E833" s="49"/>
      <c r="F833" s="49"/>
      <c r="G833" s="89"/>
      <c r="W833" s="59"/>
    </row>
    <row r="834" spans="4:23" ht="12.75">
      <c r="D834" s="49"/>
      <c r="E834" s="49"/>
      <c r="F834" s="49"/>
      <c r="G834" s="89"/>
      <c r="W834" s="59"/>
    </row>
    <row r="835" spans="4:23" ht="12.75">
      <c r="D835" s="49"/>
      <c r="E835" s="49"/>
      <c r="F835" s="49"/>
      <c r="G835" s="89"/>
      <c r="W835" s="59"/>
    </row>
    <row r="836" spans="4:23" ht="12.75">
      <c r="D836" s="49"/>
      <c r="E836" s="49"/>
      <c r="F836" s="49"/>
      <c r="G836" s="89"/>
      <c r="W836" s="59"/>
    </row>
    <row r="837" spans="4:23" ht="12.75">
      <c r="D837" s="49"/>
      <c r="E837" s="49"/>
      <c r="F837" s="49"/>
      <c r="G837" s="89"/>
      <c r="W837" s="59"/>
    </row>
    <row r="838" spans="4:23" ht="12.75">
      <c r="D838" s="49"/>
      <c r="E838" s="49"/>
      <c r="F838" s="49"/>
      <c r="G838" s="89"/>
      <c r="W838" s="59"/>
    </row>
    <row r="839" spans="4:23" ht="12.75">
      <c r="D839" s="49"/>
      <c r="E839" s="49"/>
      <c r="F839" s="49"/>
      <c r="G839" s="89"/>
      <c r="W839" s="59"/>
    </row>
    <row r="840" spans="4:23" ht="12.75">
      <c r="D840" s="49"/>
      <c r="E840" s="49"/>
      <c r="F840" s="49"/>
      <c r="G840" s="89"/>
      <c r="W840" s="59"/>
    </row>
    <row r="841" spans="4:23" ht="12.75">
      <c r="D841" s="49"/>
      <c r="E841" s="49"/>
      <c r="F841" s="49"/>
      <c r="G841" s="89"/>
      <c r="W841" s="59"/>
    </row>
    <row r="842" spans="4:23" ht="12.75">
      <c r="D842" s="49"/>
      <c r="E842" s="49"/>
      <c r="F842" s="49"/>
      <c r="G842" s="89"/>
      <c r="W842" s="59"/>
    </row>
    <row r="843" spans="4:23" ht="12.75">
      <c r="D843" s="49"/>
      <c r="E843" s="49"/>
      <c r="F843" s="49"/>
      <c r="G843" s="89"/>
      <c r="W843" s="59"/>
    </row>
    <row r="844" spans="4:23" ht="12.75">
      <c r="D844" s="49"/>
      <c r="E844" s="49"/>
      <c r="F844" s="49"/>
      <c r="G844" s="89"/>
      <c r="W844" s="59"/>
    </row>
    <row r="845" spans="4:23" ht="12.75">
      <c r="D845" s="49"/>
      <c r="E845" s="49"/>
      <c r="F845" s="49"/>
      <c r="G845" s="89"/>
      <c r="W845" s="59"/>
    </row>
    <row r="846" spans="4:23" ht="12.75">
      <c r="D846" s="49"/>
      <c r="E846" s="49"/>
      <c r="F846" s="49"/>
      <c r="G846" s="89"/>
      <c r="W846" s="59"/>
    </row>
    <row r="847" spans="4:23" ht="12.75">
      <c r="D847" s="49"/>
      <c r="E847" s="49"/>
      <c r="F847" s="49"/>
      <c r="G847" s="89"/>
      <c r="W847" s="59"/>
    </row>
    <row r="848" spans="4:23" ht="12.75">
      <c r="D848" s="49"/>
      <c r="E848" s="49"/>
      <c r="F848" s="49"/>
      <c r="G848" s="89"/>
      <c r="W848" s="59"/>
    </row>
    <row r="849" spans="4:23" ht="12.75">
      <c r="D849" s="49"/>
      <c r="E849" s="49"/>
      <c r="F849" s="49"/>
      <c r="G849" s="89"/>
      <c r="W849" s="59"/>
    </row>
    <row r="850" spans="4:23" ht="12.75">
      <c r="D850" s="49"/>
      <c r="E850" s="49"/>
      <c r="F850" s="49"/>
      <c r="G850" s="89"/>
      <c r="W850" s="59"/>
    </row>
    <row r="851" spans="4:23" ht="12.75">
      <c r="D851" s="49"/>
      <c r="E851" s="49"/>
      <c r="F851" s="49"/>
      <c r="G851" s="89"/>
      <c r="W851" s="59"/>
    </row>
    <row r="852" spans="4:23" ht="12.75">
      <c r="D852" s="49"/>
      <c r="E852" s="49"/>
      <c r="F852" s="49"/>
      <c r="G852" s="89"/>
      <c r="W852" s="59"/>
    </row>
    <row r="853" spans="4:23" ht="12.75">
      <c r="D853" s="49"/>
      <c r="E853" s="49"/>
      <c r="F853" s="49"/>
      <c r="G853" s="89"/>
      <c r="W853" s="59"/>
    </row>
    <row r="854" spans="4:23" ht="12.75">
      <c r="D854" s="49"/>
      <c r="E854" s="49"/>
      <c r="F854" s="49"/>
      <c r="G854" s="89"/>
      <c r="W854" s="59"/>
    </row>
    <row r="855" spans="4:23" ht="12.75">
      <c r="D855" s="49"/>
      <c r="E855" s="49"/>
      <c r="F855" s="49"/>
      <c r="G855" s="89"/>
      <c r="W855" s="59"/>
    </row>
    <row r="856" spans="4:23" ht="12.75">
      <c r="D856" s="49"/>
      <c r="E856" s="49"/>
      <c r="F856" s="49"/>
      <c r="G856" s="89"/>
      <c r="W856" s="59"/>
    </row>
    <row r="857" spans="4:23" ht="12.75">
      <c r="D857" s="49"/>
      <c r="E857" s="49"/>
      <c r="F857" s="49"/>
      <c r="G857" s="89"/>
      <c r="W857" s="59"/>
    </row>
    <row r="858" spans="4:23" ht="12.75">
      <c r="D858" s="49"/>
      <c r="E858" s="49"/>
      <c r="F858" s="49"/>
      <c r="G858" s="89"/>
      <c r="W858" s="59"/>
    </row>
    <row r="859" spans="4:23" ht="12.75">
      <c r="D859" s="49"/>
      <c r="E859" s="49"/>
      <c r="F859" s="49"/>
      <c r="G859" s="89"/>
      <c r="W859" s="59"/>
    </row>
    <row r="860" spans="4:23" ht="12.75">
      <c r="D860" s="49"/>
      <c r="E860" s="49"/>
      <c r="F860" s="49"/>
      <c r="G860" s="89"/>
      <c r="W860" s="59"/>
    </row>
    <row r="861" spans="4:23" ht="12.75">
      <c r="D861" s="49"/>
      <c r="E861" s="49"/>
      <c r="F861" s="49"/>
      <c r="G861" s="89"/>
      <c r="W861" s="59"/>
    </row>
    <row r="862" spans="4:23" ht="12.75">
      <c r="D862" s="49"/>
      <c r="E862" s="49"/>
      <c r="F862" s="49"/>
      <c r="G862" s="89"/>
      <c r="W862" s="59"/>
    </row>
    <row r="863" spans="4:23" ht="12.75">
      <c r="D863" s="49"/>
      <c r="E863" s="49"/>
      <c r="F863" s="49"/>
      <c r="G863" s="89"/>
      <c r="W863" s="59"/>
    </row>
    <row r="864" spans="4:23" ht="12.75">
      <c r="D864" s="49"/>
      <c r="E864" s="49"/>
      <c r="F864" s="49"/>
      <c r="G864" s="89"/>
      <c r="W864" s="59"/>
    </row>
    <row r="865" spans="4:23" ht="12.75">
      <c r="D865" s="49"/>
      <c r="E865" s="49"/>
      <c r="F865" s="49"/>
      <c r="G865" s="89"/>
      <c r="W865" s="59"/>
    </row>
    <row r="866" spans="4:23" ht="12.75">
      <c r="D866" s="49"/>
      <c r="E866" s="49"/>
      <c r="F866" s="49"/>
      <c r="G866" s="89"/>
      <c r="W866" s="59"/>
    </row>
    <row r="867" spans="4:23" ht="12.75">
      <c r="D867" s="49"/>
      <c r="E867" s="49"/>
      <c r="F867" s="49"/>
      <c r="G867" s="89"/>
      <c r="W867" s="59"/>
    </row>
    <row r="868" spans="4:23" ht="12.75">
      <c r="D868" s="49"/>
      <c r="E868" s="49"/>
      <c r="F868" s="49"/>
      <c r="G868" s="89"/>
      <c r="W868" s="59"/>
    </row>
    <row r="869" spans="4:23" ht="12.75">
      <c r="D869" s="49"/>
      <c r="E869" s="49"/>
      <c r="F869" s="49"/>
      <c r="G869" s="89"/>
      <c r="W869" s="59"/>
    </row>
    <row r="870" spans="4:23" ht="12.75">
      <c r="D870" s="49"/>
      <c r="E870" s="49"/>
      <c r="F870" s="49"/>
      <c r="G870" s="89"/>
      <c r="W870" s="59"/>
    </row>
    <row r="871" spans="4:23" ht="12.75">
      <c r="D871" s="49"/>
      <c r="E871" s="49"/>
      <c r="F871" s="49"/>
      <c r="G871" s="89"/>
      <c r="W871" s="59"/>
    </row>
    <row r="872" spans="4:23" ht="12.75">
      <c r="D872" s="49"/>
      <c r="E872" s="49"/>
      <c r="F872" s="49"/>
      <c r="G872" s="89"/>
      <c r="W872" s="59"/>
    </row>
    <row r="873" spans="4:23" ht="12.75">
      <c r="D873" s="49"/>
      <c r="E873" s="49"/>
      <c r="F873" s="49"/>
      <c r="G873" s="89"/>
      <c r="W873" s="59"/>
    </row>
    <row r="874" spans="4:23" ht="12.75">
      <c r="D874" s="49"/>
      <c r="E874" s="49"/>
      <c r="F874" s="49"/>
      <c r="G874" s="89"/>
      <c r="W874" s="59"/>
    </row>
    <row r="875" spans="4:23" ht="12.75">
      <c r="D875" s="49"/>
      <c r="E875" s="49"/>
      <c r="F875" s="49"/>
      <c r="G875" s="89"/>
      <c r="W875" s="59"/>
    </row>
    <row r="876" spans="4:23" ht="12.75">
      <c r="D876" s="49"/>
      <c r="E876" s="49"/>
      <c r="F876" s="49"/>
      <c r="G876" s="89"/>
      <c r="W876" s="59"/>
    </row>
    <row r="877" spans="4:23" ht="12.75">
      <c r="D877" s="49"/>
      <c r="E877" s="49"/>
      <c r="F877" s="49"/>
      <c r="G877" s="89"/>
      <c r="W877" s="59"/>
    </row>
    <row r="878" spans="4:23" ht="12.75">
      <c r="D878" s="49"/>
      <c r="E878" s="49"/>
      <c r="F878" s="49"/>
      <c r="G878" s="89"/>
      <c r="W878" s="59"/>
    </row>
    <row r="879" spans="4:23" ht="12.75">
      <c r="D879" s="49"/>
      <c r="E879" s="49"/>
      <c r="F879" s="49"/>
      <c r="G879" s="89"/>
      <c r="W879" s="59"/>
    </row>
    <row r="880" spans="4:23" ht="12.75">
      <c r="D880" s="49"/>
      <c r="E880" s="49"/>
      <c r="F880" s="49"/>
      <c r="G880" s="89"/>
      <c r="W880" s="59"/>
    </row>
    <row r="881" spans="4:23" ht="12.75">
      <c r="D881" s="49"/>
      <c r="E881" s="49"/>
      <c r="F881" s="49"/>
      <c r="G881" s="89"/>
      <c r="W881" s="59"/>
    </row>
    <row r="882" spans="4:23" ht="12.75">
      <c r="D882" s="49"/>
      <c r="E882" s="49"/>
      <c r="F882" s="49"/>
      <c r="G882" s="89"/>
      <c r="W882" s="59"/>
    </row>
    <row r="883" spans="4:23" ht="12.75">
      <c r="D883" s="49"/>
      <c r="E883" s="49"/>
      <c r="F883" s="49"/>
      <c r="G883" s="89"/>
      <c r="W883" s="59"/>
    </row>
    <row r="884" spans="4:23" ht="12.75">
      <c r="D884" s="49"/>
      <c r="E884" s="49"/>
      <c r="F884" s="49"/>
      <c r="G884" s="89"/>
      <c r="W884" s="59"/>
    </row>
    <row r="885" spans="4:23" ht="12.75">
      <c r="D885" s="49"/>
      <c r="E885" s="49"/>
      <c r="F885" s="49"/>
      <c r="G885" s="89"/>
      <c r="W885" s="59"/>
    </row>
    <row r="886" spans="4:23" ht="12.75">
      <c r="D886" s="49"/>
      <c r="E886" s="49"/>
      <c r="F886" s="49"/>
      <c r="G886" s="89"/>
      <c r="W886" s="59"/>
    </row>
    <row r="887" spans="4:23" ht="12.75">
      <c r="D887" s="49"/>
      <c r="E887" s="49"/>
      <c r="F887" s="49"/>
      <c r="G887" s="89"/>
      <c r="W887" s="59"/>
    </row>
    <row r="888" spans="4:23" ht="12.75">
      <c r="D888" s="49"/>
      <c r="E888" s="49"/>
      <c r="F888" s="49"/>
      <c r="G888" s="89"/>
      <c r="W888" s="59"/>
    </row>
    <row r="889" spans="4:23" ht="12.75">
      <c r="D889" s="49"/>
      <c r="E889" s="49"/>
      <c r="F889" s="49"/>
      <c r="G889" s="89"/>
      <c r="W889" s="59"/>
    </row>
    <row r="890" spans="4:23" ht="12.75">
      <c r="D890" s="49"/>
      <c r="E890" s="49"/>
      <c r="F890" s="49"/>
      <c r="G890" s="89"/>
      <c r="W890" s="59"/>
    </row>
    <row r="891" spans="4:23" ht="12.75">
      <c r="D891" s="49"/>
      <c r="E891" s="49"/>
      <c r="F891" s="49"/>
      <c r="G891" s="89"/>
      <c r="W891" s="59"/>
    </row>
    <row r="892" spans="4:23" ht="12.75">
      <c r="D892" s="49"/>
      <c r="E892" s="49"/>
      <c r="F892" s="49"/>
      <c r="G892" s="89"/>
      <c r="W892" s="59"/>
    </row>
    <row r="893" spans="4:23" ht="12.75">
      <c r="D893" s="49"/>
      <c r="E893" s="49"/>
      <c r="F893" s="49"/>
      <c r="G893" s="89"/>
      <c r="W893" s="59"/>
    </row>
    <row r="894" spans="4:23" ht="12.75">
      <c r="D894" s="49"/>
      <c r="E894" s="49"/>
      <c r="F894" s="49"/>
      <c r="G894" s="89"/>
      <c r="W894" s="59"/>
    </row>
    <row r="895" spans="4:23" ht="12.75">
      <c r="D895" s="49"/>
      <c r="E895" s="49"/>
      <c r="F895" s="49"/>
      <c r="G895" s="89"/>
      <c r="W895" s="59"/>
    </row>
    <row r="896" spans="4:23" ht="12.75">
      <c r="D896" s="49"/>
      <c r="E896" s="49"/>
      <c r="F896" s="49"/>
      <c r="G896" s="89"/>
      <c r="W896" s="59"/>
    </row>
    <row r="897" spans="4:23" ht="12.75">
      <c r="D897" s="49"/>
      <c r="E897" s="49"/>
      <c r="F897" s="49"/>
      <c r="G897" s="89"/>
      <c r="W897" s="59"/>
    </row>
    <row r="898" spans="4:23" ht="12.75">
      <c r="D898" s="49"/>
      <c r="E898" s="49"/>
      <c r="F898" s="49"/>
      <c r="G898" s="89"/>
      <c r="W898" s="59"/>
    </row>
    <row r="899" spans="4:23" ht="12.75">
      <c r="D899" s="49"/>
      <c r="E899" s="49"/>
      <c r="F899" s="49"/>
      <c r="G899" s="89"/>
      <c r="W899" s="59"/>
    </row>
    <row r="900" spans="4:23" ht="12.75">
      <c r="D900" s="49"/>
      <c r="E900" s="49"/>
      <c r="F900" s="49"/>
      <c r="G900" s="89"/>
      <c r="W900" s="59"/>
    </row>
    <row r="901" spans="4:23" ht="12.75">
      <c r="D901" s="49"/>
      <c r="E901" s="49"/>
      <c r="F901" s="49"/>
      <c r="G901" s="89"/>
      <c r="W901" s="59"/>
    </row>
    <row r="902" spans="4:23" ht="12.75">
      <c r="D902" s="49"/>
      <c r="E902" s="49"/>
      <c r="F902" s="49"/>
      <c r="G902" s="89"/>
      <c r="W902" s="59"/>
    </row>
    <row r="903" spans="4:23" ht="12.75">
      <c r="D903" s="49"/>
      <c r="E903" s="49"/>
      <c r="F903" s="49"/>
      <c r="G903" s="89"/>
      <c r="W903" s="59"/>
    </row>
    <row r="904" spans="4:23" ht="12.75">
      <c r="D904" s="49"/>
      <c r="E904" s="49"/>
      <c r="F904" s="49"/>
      <c r="G904" s="89"/>
      <c r="W904" s="59"/>
    </row>
    <row r="905" spans="4:23" ht="12.75">
      <c r="D905" s="49"/>
      <c r="E905" s="49"/>
      <c r="F905" s="49"/>
      <c r="G905" s="89"/>
      <c r="W905" s="59"/>
    </row>
    <row r="906" spans="4:23" ht="12.75">
      <c r="D906" s="49"/>
      <c r="E906" s="49"/>
      <c r="F906" s="49"/>
      <c r="G906" s="89"/>
      <c r="W906" s="59"/>
    </row>
    <row r="907" spans="4:23" ht="12.75">
      <c r="D907" s="49"/>
      <c r="E907" s="49"/>
      <c r="F907" s="49"/>
      <c r="G907" s="89"/>
      <c r="W907" s="59"/>
    </row>
    <row r="908" spans="4:23" ht="12.75">
      <c r="D908" s="49"/>
      <c r="E908" s="49"/>
      <c r="F908" s="49"/>
      <c r="G908" s="89"/>
      <c r="W908" s="59"/>
    </row>
    <row r="909" spans="4:23" ht="12.75">
      <c r="D909" s="49"/>
      <c r="E909" s="49"/>
      <c r="F909" s="49"/>
      <c r="G909" s="89"/>
      <c r="W909" s="59"/>
    </row>
    <row r="910" spans="4:23" ht="12.75">
      <c r="D910" s="49"/>
      <c r="E910" s="49"/>
      <c r="F910" s="49"/>
      <c r="G910" s="89"/>
      <c r="W910" s="59"/>
    </row>
    <row r="911" spans="4:23" ht="12.75">
      <c r="D911" s="49"/>
      <c r="E911" s="49"/>
      <c r="F911" s="49"/>
      <c r="G911" s="89"/>
      <c r="W911" s="59"/>
    </row>
    <row r="912" spans="4:23" ht="12.75">
      <c r="D912" s="49"/>
      <c r="E912" s="49"/>
      <c r="F912" s="49"/>
      <c r="G912" s="89"/>
      <c r="W912" s="59"/>
    </row>
    <row r="913" spans="4:23" ht="12.75">
      <c r="D913" s="49"/>
      <c r="E913" s="49"/>
      <c r="F913" s="49"/>
      <c r="G913" s="89"/>
      <c r="W913" s="59"/>
    </row>
    <row r="914" spans="4:23" ht="12.75">
      <c r="D914" s="49"/>
      <c r="E914" s="49"/>
      <c r="F914" s="49"/>
      <c r="G914" s="89"/>
      <c r="W914" s="59"/>
    </row>
    <row r="915" spans="4:23" ht="12.75">
      <c r="D915" s="49"/>
      <c r="E915" s="49"/>
      <c r="F915" s="49"/>
      <c r="G915" s="89"/>
      <c r="W915" s="59"/>
    </row>
    <row r="916" spans="4:23" ht="12.75">
      <c r="D916" s="49"/>
      <c r="E916" s="49"/>
      <c r="F916" s="49"/>
      <c r="G916" s="89"/>
      <c r="W916" s="59"/>
    </row>
    <row r="917" spans="4:23" ht="12.75">
      <c r="D917" s="49"/>
      <c r="E917" s="49"/>
      <c r="F917" s="49"/>
      <c r="G917" s="89"/>
      <c r="W917" s="59"/>
    </row>
    <row r="918" spans="4:23" ht="12.75">
      <c r="D918" s="49"/>
      <c r="E918" s="49"/>
      <c r="F918" s="49"/>
      <c r="G918" s="89"/>
      <c r="W918" s="59"/>
    </row>
    <row r="919" spans="4:23" ht="12.75">
      <c r="D919" s="49"/>
      <c r="E919" s="49"/>
      <c r="F919" s="49"/>
      <c r="G919" s="89"/>
      <c r="W919" s="59"/>
    </row>
    <row r="920" spans="4:23" ht="12.75">
      <c r="D920" s="49"/>
      <c r="E920" s="49"/>
      <c r="F920" s="49"/>
      <c r="G920" s="89"/>
      <c r="W920" s="59"/>
    </row>
    <row r="921" spans="4:23" ht="12.75">
      <c r="D921" s="49"/>
      <c r="E921" s="49"/>
      <c r="F921" s="49"/>
      <c r="G921" s="89"/>
      <c r="W921" s="59"/>
    </row>
    <row r="922" spans="4:23" ht="12.75">
      <c r="D922" s="49"/>
      <c r="E922" s="49"/>
      <c r="F922" s="49"/>
      <c r="G922" s="89"/>
      <c r="W922" s="59"/>
    </row>
    <row r="923" spans="4:23" ht="12.75">
      <c r="D923" s="49"/>
      <c r="E923" s="49"/>
      <c r="F923" s="49"/>
      <c r="G923" s="89"/>
      <c r="W923" s="59"/>
    </row>
    <row r="924" spans="4:23" ht="12.75">
      <c r="D924" s="49"/>
      <c r="E924" s="49"/>
      <c r="F924" s="49"/>
      <c r="G924" s="89"/>
      <c r="W924" s="59"/>
    </row>
    <row r="925" spans="4:23" ht="12.75">
      <c r="D925" s="49"/>
      <c r="E925" s="49"/>
      <c r="F925" s="49"/>
      <c r="G925" s="89"/>
      <c r="W925" s="59"/>
    </row>
    <row r="926" spans="4:23" ht="12.75">
      <c r="D926" s="49"/>
      <c r="E926" s="49"/>
      <c r="F926" s="49"/>
      <c r="G926" s="89"/>
      <c r="W926" s="59"/>
    </row>
    <row r="927" spans="4:23" ht="12.75">
      <c r="D927" s="49"/>
      <c r="E927" s="49"/>
      <c r="F927" s="49"/>
      <c r="G927" s="89"/>
      <c r="W927" s="59"/>
    </row>
    <row r="928" spans="4:23" ht="12.75">
      <c r="D928" s="49"/>
      <c r="E928" s="49"/>
      <c r="F928" s="49"/>
      <c r="G928" s="89"/>
      <c r="W928" s="59"/>
    </row>
    <row r="929" spans="4:23" ht="12.75">
      <c r="D929" s="49"/>
      <c r="E929" s="49"/>
      <c r="F929" s="49"/>
      <c r="G929" s="89"/>
      <c r="W929" s="59"/>
    </row>
    <row r="930" spans="4:23" ht="12.75">
      <c r="D930" s="49"/>
      <c r="E930" s="49"/>
      <c r="F930" s="49"/>
      <c r="G930" s="89"/>
      <c r="W930" s="59"/>
    </row>
    <row r="931" spans="4:23" ht="12.75">
      <c r="D931" s="49"/>
      <c r="E931" s="49"/>
      <c r="F931" s="49"/>
      <c r="G931" s="89"/>
      <c r="W931" s="59"/>
    </row>
    <row r="932" spans="4:23" ht="12.75">
      <c r="D932" s="49"/>
      <c r="E932" s="49"/>
      <c r="F932" s="49"/>
      <c r="G932" s="89"/>
      <c r="W932" s="59"/>
    </row>
    <row r="933" spans="4:23" ht="12.75">
      <c r="D933" s="49"/>
      <c r="E933" s="49"/>
      <c r="F933" s="49"/>
      <c r="G933" s="89"/>
      <c r="W933" s="59"/>
    </row>
    <row r="934" spans="4:23" ht="12.75">
      <c r="D934" s="49"/>
      <c r="E934" s="49"/>
      <c r="F934" s="49"/>
      <c r="G934" s="89"/>
      <c r="W934" s="59"/>
    </row>
    <row r="935" spans="4:23" ht="12.75">
      <c r="D935" s="49"/>
      <c r="E935" s="49"/>
      <c r="F935" s="49"/>
      <c r="G935" s="89"/>
      <c r="W935" s="59"/>
    </row>
    <row r="936" spans="4:23" ht="12.75">
      <c r="D936" s="49"/>
      <c r="E936" s="49"/>
      <c r="F936" s="49"/>
      <c r="G936" s="89"/>
      <c r="W936" s="59"/>
    </row>
    <row r="937" spans="4:23" ht="12.75">
      <c r="D937" s="49"/>
      <c r="E937" s="49"/>
      <c r="F937" s="49"/>
      <c r="G937" s="89"/>
      <c r="W937" s="59"/>
    </row>
    <row r="938" spans="4:23" ht="12.75">
      <c r="D938" s="49"/>
      <c r="E938" s="49"/>
      <c r="F938" s="49"/>
      <c r="G938" s="89"/>
      <c r="W938" s="59"/>
    </row>
    <row r="939" spans="4:23" ht="12.75">
      <c r="D939" s="49"/>
      <c r="E939" s="49"/>
      <c r="F939" s="49"/>
      <c r="G939" s="89"/>
      <c r="W939" s="59"/>
    </row>
    <row r="940" spans="4:23" ht="12.75">
      <c r="D940" s="49"/>
      <c r="E940" s="49"/>
      <c r="F940" s="49"/>
      <c r="G940" s="89"/>
      <c r="W940" s="59"/>
    </row>
    <row r="941" spans="4:23" ht="12.75">
      <c r="D941" s="49"/>
      <c r="E941" s="49"/>
      <c r="F941" s="49"/>
      <c r="G941" s="89"/>
      <c r="W941" s="59"/>
    </row>
    <row r="942" spans="4:23" ht="12.75">
      <c r="D942" s="49"/>
      <c r="E942" s="49"/>
      <c r="F942" s="49"/>
      <c r="G942" s="89"/>
      <c r="W942" s="59"/>
    </row>
    <row r="943" spans="4:23" ht="12.75">
      <c r="D943" s="49"/>
      <c r="E943" s="49"/>
      <c r="F943" s="49"/>
      <c r="G943" s="89"/>
      <c r="W943" s="59"/>
    </row>
    <row r="944" spans="4:23" ht="12.75">
      <c r="D944" s="49"/>
      <c r="E944" s="49"/>
      <c r="F944" s="49"/>
      <c r="G944" s="89"/>
      <c r="W944" s="59"/>
    </row>
    <row r="945" spans="4:23" ht="12.75">
      <c r="D945" s="49"/>
      <c r="E945" s="49"/>
      <c r="F945" s="49"/>
      <c r="G945" s="89"/>
      <c r="W945" s="59"/>
    </row>
    <row r="946" spans="4:23" ht="12.75">
      <c r="D946" s="49"/>
      <c r="E946" s="49"/>
      <c r="F946" s="49"/>
      <c r="G946" s="89"/>
      <c r="W946" s="59"/>
    </row>
    <row r="947" spans="4:23" ht="12.75">
      <c r="D947" s="49"/>
      <c r="E947" s="49"/>
      <c r="F947" s="49"/>
      <c r="G947" s="89"/>
      <c r="W947" s="59"/>
    </row>
    <row r="948" spans="4:23" ht="12.75">
      <c r="D948" s="49"/>
      <c r="E948" s="49"/>
      <c r="F948" s="49"/>
      <c r="G948" s="89"/>
      <c r="W948" s="59"/>
    </row>
    <row r="949" spans="4:23" ht="12.75">
      <c r="D949" s="49"/>
      <c r="E949" s="49"/>
      <c r="F949" s="49"/>
      <c r="G949" s="89"/>
      <c r="W949" s="59"/>
    </row>
    <row r="950" spans="4:23" ht="12.75">
      <c r="D950" s="49"/>
      <c r="E950" s="49"/>
      <c r="F950" s="49"/>
      <c r="G950" s="89"/>
      <c r="W950" s="59"/>
    </row>
    <row r="951" spans="4:23" ht="12.75">
      <c r="D951" s="49"/>
      <c r="E951" s="49"/>
      <c r="F951" s="49"/>
      <c r="G951" s="89"/>
      <c r="W951" s="59"/>
    </row>
    <row r="952" spans="4:23" ht="12.75">
      <c r="D952" s="49"/>
      <c r="E952" s="49"/>
      <c r="F952" s="49"/>
      <c r="G952" s="89"/>
      <c r="W952" s="59"/>
    </row>
    <row r="953" spans="4:23" ht="12.75">
      <c r="D953" s="49"/>
      <c r="E953" s="49"/>
      <c r="F953" s="49"/>
      <c r="G953" s="89"/>
      <c r="W953" s="59"/>
    </row>
    <row r="954" spans="4:23" ht="12.75">
      <c r="D954" s="49"/>
      <c r="E954" s="49"/>
      <c r="F954" s="49"/>
      <c r="G954" s="89"/>
      <c r="W954" s="59"/>
    </row>
    <row r="955" spans="4:23" ht="12.75">
      <c r="D955" s="49"/>
      <c r="E955" s="49"/>
      <c r="F955" s="49"/>
      <c r="G955" s="89"/>
      <c r="W955" s="59"/>
    </row>
    <row r="956" spans="4:23" ht="12.75">
      <c r="D956" s="49"/>
      <c r="E956" s="49"/>
      <c r="F956" s="49"/>
      <c r="G956" s="89"/>
      <c r="W956" s="59"/>
    </row>
    <row r="957" spans="4:23" ht="12.75">
      <c r="D957" s="49"/>
      <c r="E957" s="49"/>
      <c r="F957" s="49"/>
      <c r="G957" s="89"/>
      <c r="W957" s="59"/>
    </row>
    <row r="958" spans="4:23" ht="12.75">
      <c r="D958" s="49"/>
      <c r="E958" s="49"/>
      <c r="F958" s="49"/>
      <c r="G958" s="89"/>
      <c r="W958" s="59"/>
    </row>
    <row r="959" spans="4:23" ht="12.75">
      <c r="D959" s="49"/>
      <c r="E959" s="49"/>
      <c r="F959" s="49"/>
      <c r="G959" s="89"/>
      <c r="W959" s="59"/>
    </row>
    <row r="960" spans="4:23" ht="12.75">
      <c r="D960" s="49"/>
      <c r="E960" s="49"/>
      <c r="F960" s="49"/>
      <c r="G960" s="89"/>
      <c r="W960" s="59"/>
    </row>
    <row r="961" spans="4:23" ht="12.75">
      <c r="D961" s="49"/>
      <c r="E961" s="49"/>
      <c r="F961" s="49"/>
      <c r="G961" s="89"/>
      <c r="W961" s="59"/>
    </row>
    <row r="962" spans="4:23" ht="12.75">
      <c r="D962" s="49"/>
      <c r="E962" s="49"/>
      <c r="F962" s="49"/>
      <c r="G962" s="89"/>
      <c r="W962" s="59"/>
    </row>
    <row r="963" spans="4:23" ht="12.75">
      <c r="D963" s="49"/>
      <c r="E963" s="49"/>
      <c r="F963" s="49"/>
      <c r="G963" s="89"/>
      <c r="W963" s="59"/>
    </row>
    <row r="964" spans="4:23" ht="12.75">
      <c r="D964" s="49"/>
      <c r="E964" s="49"/>
      <c r="F964" s="49"/>
      <c r="G964" s="89"/>
      <c r="W964" s="59"/>
    </row>
    <row r="965" spans="4:23" ht="12.75">
      <c r="D965" s="49"/>
      <c r="E965" s="49"/>
      <c r="F965" s="49"/>
      <c r="G965" s="89"/>
      <c r="W965" s="59"/>
    </row>
    <row r="966" spans="4:23" ht="12.75">
      <c r="D966" s="49"/>
      <c r="E966" s="49"/>
      <c r="F966" s="49"/>
      <c r="G966" s="89"/>
      <c r="W966" s="59"/>
    </row>
    <row r="967" spans="4:23" ht="12.75">
      <c r="D967" s="49"/>
      <c r="E967" s="49"/>
      <c r="F967" s="49"/>
      <c r="G967" s="89"/>
      <c r="W967" s="59"/>
    </row>
    <row r="968" spans="4:23" ht="12.75">
      <c r="D968" s="49"/>
      <c r="E968" s="49"/>
      <c r="F968" s="49"/>
      <c r="G968" s="89"/>
      <c r="W968" s="59"/>
    </row>
    <row r="969" spans="4:23" ht="12.75">
      <c r="D969" s="49"/>
      <c r="E969" s="49"/>
      <c r="F969" s="49"/>
      <c r="G969" s="89"/>
      <c r="W969" s="59"/>
    </row>
    <row r="970" spans="4:23" ht="12.75">
      <c r="D970" s="49"/>
      <c r="E970" s="49"/>
      <c r="F970" s="49"/>
      <c r="G970" s="89"/>
      <c r="W970" s="59"/>
    </row>
    <row r="971" spans="4:23" ht="12.75">
      <c r="D971" s="49"/>
      <c r="E971" s="49"/>
      <c r="F971" s="49"/>
      <c r="G971" s="89"/>
      <c r="W971" s="59"/>
    </row>
    <row r="972" spans="4:23" ht="12.75">
      <c r="D972" s="49"/>
      <c r="E972" s="49"/>
      <c r="F972" s="49"/>
      <c r="G972" s="89"/>
      <c r="W972" s="59"/>
    </row>
    <row r="973" spans="4:23" ht="12.75">
      <c r="D973" s="49"/>
      <c r="E973" s="49"/>
      <c r="F973" s="49"/>
      <c r="G973" s="89"/>
      <c r="W973" s="59"/>
    </row>
    <row r="974" spans="4:23" ht="12.75">
      <c r="D974" s="49"/>
      <c r="E974" s="49"/>
      <c r="F974" s="49"/>
      <c r="G974" s="89"/>
      <c r="W974" s="59"/>
    </row>
    <row r="975" spans="4:23" ht="12.75">
      <c r="D975" s="49"/>
      <c r="E975" s="49"/>
      <c r="F975" s="49"/>
      <c r="G975" s="89"/>
      <c r="W975" s="59"/>
    </row>
    <row r="976" spans="4:23" ht="12.75">
      <c r="D976" s="49"/>
      <c r="E976" s="49"/>
      <c r="F976" s="49"/>
      <c r="G976" s="89"/>
      <c r="W976" s="59"/>
    </row>
    <row r="977" spans="4:23" ht="12.75">
      <c r="D977" s="49"/>
      <c r="E977" s="49"/>
      <c r="F977" s="49"/>
      <c r="G977" s="89"/>
      <c r="W977" s="59"/>
    </row>
    <row r="978" spans="4:23" ht="12.75">
      <c r="D978" s="49"/>
      <c r="E978" s="49"/>
      <c r="F978" s="49"/>
      <c r="G978" s="89"/>
      <c r="W978" s="59"/>
    </row>
    <row r="979" spans="4:23" ht="12.75">
      <c r="D979" s="49"/>
      <c r="E979" s="49"/>
      <c r="F979" s="49"/>
      <c r="G979" s="89"/>
      <c r="W979" s="59"/>
    </row>
    <row r="980" spans="4:23" ht="12.75">
      <c r="D980" s="49"/>
      <c r="E980" s="49"/>
      <c r="F980" s="49"/>
      <c r="G980" s="89"/>
      <c r="W980" s="59"/>
    </row>
    <row r="981" spans="4:23" ht="12.75">
      <c r="D981" s="49"/>
      <c r="E981" s="49"/>
      <c r="F981" s="49"/>
      <c r="G981" s="89"/>
      <c r="W981" s="59"/>
    </row>
    <row r="982" spans="4:23" ht="12.75">
      <c r="D982" s="49"/>
      <c r="E982" s="49"/>
      <c r="F982" s="49"/>
      <c r="G982" s="89"/>
      <c r="W982" s="59"/>
    </row>
    <row r="983" spans="4:23" ht="12.75">
      <c r="D983" s="49"/>
      <c r="E983" s="49"/>
      <c r="F983" s="49"/>
      <c r="G983" s="89"/>
      <c r="W983" s="59"/>
    </row>
    <row r="984" spans="4:23" ht="12.75">
      <c r="D984" s="49"/>
      <c r="E984" s="49"/>
      <c r="F984" s="49"/>
      <c r="G984" s="89"/>
      <c r="W984" s="59"/>
    </row>
    <row r="985" spans="4:23" ht="12.75">
      <c r="D985" s="49"/>
      <c r="E985" s="49"/>
      <c r="F985" s="49"/>
      <c r="G985" s="89"/>
      <c r="W985" s="59"/>
    </row>
    <row r="986" spans="4:23" ht="12.75">
      <c r="D986" s="49"/>
      <c r="E986" s="49"/>
      <c r="F986" s="49"/>
      <c r="G986" s="89"/>
      <c r="W986" s="59"/>
    </row>
    <row r="987" spans="4:23" ht="12.75">
      <c r="D987" s="49"/>
      <c r="E987" s="49"/>
      <c r="F987" s="49"/>
      <c r="G987" s="89"/>
      <c r="W987" s="59"/>
    </row>
    <row r="988" spans="4:23" ht="12.75">
      <c r="D988" s="49"/>
      <c r="E988" s="49"/>
      <c r="F988" s="49"/>
      <c r="G988" s="89"/>
      <c r="W988" s="59"/>
    </row>
    <row r="989" spans="4:23" ht="12.75">
      <c r="D989" s="49"/>
      <c r="E989" s="49"/>
      <c r="F989" s="49"/>
      <c r="G989" s="89"/>
      <c r="W989" s="59"/>
    </row>
    <row r="990" spans="4:23" ht="12.75">
      <c r="D990" s="49"/>
      <c r="E990" s="49"/>
      <c r="F990" s="49"/>
      <c r="G990" s="89"/>
      <c r="W990" s="59"/>
    </row>
    <row r="991" spans="4:23" ht="12.75">
      <c r="D991" s="49"/>
      <c r="E991" s="49"/>
      <c r="F991" s="49"/>
      <c r="G991" s="89"/>
      <c r="W991" s="59"/>
    </row>
    <row r="992" spans="4:23" ht="12.75">
      <c r="D992" s="49"/>
      <c r="E992" s="49"/>
      <c r="F992" s="49"/>
      <c r="G992" s="89"/>
      <c r="W992" s="59"/>
    </row>
    <row r="993" spans="4:23" ht="12.75">
      <c r="D993" s="49"/>
      <c r="E993" s="49"/>
      <c r="F993" s="49"/>
      <c r="G993" s="89"/>
      <c r="W993" s="59"/>
    </row>
    <row r="994" spans="4:23" ht="12.75">
      <c r="D994" s="49"/>
      <c r="E994" s="49"/>
      <c r="F994" s="49"/>
      <c r="G994" s="89"/>
      <c r="W994" s="59"/>
    </row>
    <row r="995" spans="4:23" ht="12.75">
      <c r="D995" s="49"/>
      <c r="E995" s="49"/>
      <c r="F995" s="49"/>
      <c r="G995" s="89"/>
      <c r="W995" s="59"/>
    </row>
    <row r="996" spans="4:23" ht="12.75">
      <c r="D996" s="49"/>
      <c r="E996" s="49"/>
      <c r="F996" s="49"/>
      <c r="G996" s="89"/>
      <c r="W996" s="59"/>
    </row>
    <row r="997" spans="4:23" ht="12.75">
      <c r="D997" s="49"/>
      <c r="E997" s="49"/>
      <c r="F997" s="49"/>
      <c r="G997" s="89"/>
      <c r="W997" s="59"/>
    </row>
    <row r="998" spans="4:23" ht="12.75">
      <c r="D998" s="49"/>
      <c r="E998" s="49"/>
      <c r="F998" s="49"/>
      <c r="G998" s="89"/>
      <c r="W998" s="59"/>
    </row>
  </sheetData>
  <mergeCells count="8">
    <mergeCell ref="V5:Y5"/>
    <mergeCell ref="Z5:AD5"/>
    <mergeCell ref="AE5:AK5"/>
    <mergeCell ref="A5:B5"/>
    <mergeCell ref="D5:F5"/>
    <mergeCell ref="G5:M5"/>
    <mergeCell ref="N5:P5"/>
    <mergeCell ref="Q5:U5"/>
  </mergeCells>
  <phoneticPr fontId="40" type="noConversion"/>
  <conditionalFormatting sqref="A7:A34">
    <cfRule type="notContainsBlanks" dxfId="9" priority="1">
      <formula>LEN(TRIM(A7))&gt;0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K994"/>
  <sheetViews>
    <sheetView workbookViewId="0">
      <pane xSplit="2" topLeftCell="C1" activePane="topRight" state="frozen"/>
      <selection pane="topRight" activeCell="D2" sqref="D2"/>
    </sheetView>
  </sheetViews>
  <sheetFormatPr defaultColWidth="12.5703125" defaultRowHeight="15.75" customHeight="1"/>
  <cols>
    <col min="2" max="2" width="18.7109375" customWidth="1"/>
    <col min="31" max="31" width="33" customWidth="1"/>
  </cols>
  <sheetData>
    <row r="1" spans="1:37" ht="15">
      <c r="A1" s="1"/>
      <c r="B1" s="2"/>
      <c r="C1" s="2"/>
      <c r="D1" s="2"/>
      <c r="E1" s="2"/>
      <c r="F1" s="2"/>
      <c r="G1" s="2"/>
      <c r="H1" s="2"/>
      <c r="I1" s="2"/>
      <c r="J1" s="2"/>
      <c r="K1" s="2"/>
      <c r="L1" s="1" t="s">
        <v>0</v>
      </c>
      <c r="M1" s="2"/>
      <c r="N1" s="2"/>
      <c r="O1" s="2"/>
      <c r="P1" s="2"/>
      <c r="Q1" s="2"/>
      <c r="R1" s="2"/>
      <c r="S1" s="2"/>
      <c r="T1" s="2"/>
      <c r="U1" s="2"/>
      <c r="V1" s="2"/>
      <c r="W1" s="2"/>
      <c r="X1" s="2"/>
      <c r="Y1" s="2"/>
      <c r="Z1" s="2"/>
      <c r="AA1" s="2"/>
      <c r="AB1" s="2"/>
      <c r="AC1" s="2"/>
      <c r="AD1" s="2"/>
      <c r="AE1" s="3"/>
      <c r="AF1" s="3"/>
      <c r="AG1" s="4"/>
      <c r="AH1" s="4"/>
      <c r="AI1" s="4"/>
      <c r="AJ1" s="4"/>
      <c r="AK1" s="4"/>
    </row>
    <row r="2" spans="1:37" ht="15">
      <c r="A2" s="5"/>
      <c r="B2" s="6"/>
      <c r="C2" s="6"/>
      <c r="D2" s="6"/>
      <c r="E2" s="6"/>
      <c r="F2" s="6"/>
      <c r="G2" s="6"/>
      <c r="H2" s="6"/>
      <c r="I2" s="6"/>
      <c r="J2" s="6"/>
      <c r="K2" s="6"/>
      <c r="L2" s="6"/>
      <c r="M2" s="6"/>
      <c r="N2" s="6"/>
      <c r="O2" s="6"/>
      <c r="P2" s="6"/>
      <c r="Q2" s="6"/>
      <c r="R2" s="6"/>
      <c r="S2" s="6"/>
      <c r="T2" s="6"/>
      <c r="U2" s="6"/>
      <c r="V2" s="6"/>
      <c r="W2" s="6"/>
      <c r="X2" s="6"/>
      <c r="Y2" s="6"/>
      <c r="Z2" s="6"/>
      <c r="AA2" s="6"/>
      <c r="AB2" s="6"/>
      <c r="AC2" s="6"/>
      <c r="AD2" s="6"/>
      <c r="AE2" s="3"/>
      <c r="AF2" s="3"/>
      <c r="AG2" s="4"/>
      <c r="AH2" s="4"/>
      <c r="AI2" s="4"/>
      <c r="AJ2" s="4"/>
      <c r="AK2" s="4"/>
    </row>
    <row r="3" spans="1:37" ht="15">
      <c r="A3" s="5"/>
      <c r="B3" s="6"/>
      <c r="C3" s="6"/>
      <c r="D3" s="6"/>
      <c r="E3" s="6"/>
      <c r="F3" s="6"/>
      <c r="G3" s="6"/>
      <c r="H3" s="6"/>
      <c r="I3" s="6"/>
      <c r="J3" s="6"/>
      <c r="K3" s="6"/>
      <c r="L3" s="5" t="s">
        <v>1</v>
      </c>
      <c r="M3" s="6"/>
      <c r="N3" s="6"/>
      <c r="O3" s="6"/>
      <c r="P3" s="6"/>
      <c r="Q3" s="6"/>
      <c r="R3" s="6"/>
      <c r="S3" s="6"/>
      <c r="T3" s="6"/>
      <c r="U3" s="6"/>
      <c r="V3" s="6"/>
      <c r="W3" s="6"/>
      <c r="X3" s="6"/>
      <c r="Y3" s="6"/>
      <c r="Z3" s="6"/>
      <c r="AA3" s="6"/>
      <c r="AB3" s="6"/>
      <c r="AC3" s="6"/>
      <c r="AD3" s="7"/>
      <c r="AE3" s="8" t="s">
        <v>2</v>
      </c>
      <c r="AF3" s="3" t="s">
        <v>3</v>
      </c>
      <c r="AG3" s="4"/>
      <c r="AH3" s="4"/>
      <c r="AI3" s="4"/>
      <c r="AJ3" s="4"/>
      <c r="AK3" s="4"/>
    </row>
    <row r="4" spans="1:37" ht="15">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1"/>
      <c r="AE4" s="8">
        <v>192.41</v>
      </c>
      <c r="AF4" s="3">
        <v>1385</v>
      </c>
      <c r="AG4" s="4"/>
      <c r="AH4" s="4"/>
      <c r="AI4" s="4"/>
      <c r="AJ4" s="4"/>
      <c r="AK4" s="4"/>
    </row>
    <row r="5" spans="1:37" ht="15">
      <c r="A5" s="235" t="s">
        <v>4</v>
      </c>
      <c r="B5" s="236"/>
      <c r="C5" s="12" t="s">
        <v>4</v>
      </c>
      <c r="D5" s="237"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60" t="s">
        <v>7</v>
      </c>
      <c r="B6" s="60" t="s">
        <v>8</v>
      </c>
      <c r="C6" s="61" t="s">
        <v>9</v>
      </c>
      <c r="D6" s="62" t="s">
        <v>10</v>
      </c>
      <c r="E6" s="62" t="s">
        <v>11</v>
      </c>
      <c r="F6" s="90" t="s">
        <v>12</v>
      </c>
      <c r="G6" s="61" t="s">
        <v>13</v>
      </c>
      <c r="H6" s="61" t="s">
        <v>14</v>
      </c>
      <c r="I6" s="61" t="s">
        <v>15</v>
      </c>
      <c r="J6" s="61" t="s">
        <v>16</v>
      </c>
      <c r="K6" s="61" t="s">
        <v>17</v>
      </c>
      <c r="L6" s="61" t="s">
        <v>18</v>
      </c>
      <c r="M6" s="61" t="s">
        <v>19</v>
      </c>
      <c r="N6" s="19" t="s">
        <v>20</v>
      </c>
      <c r="O6" s="64" t="s">
        <v>6</v>
      </c>
      <c r="P6" s="60" t="s">
        <v>21</v>
      </c>
      <c r="Q6" s="61" t="s">
        <v>22</v>
      </c>
      <c r="R6" s="61" t="s">
        <v>23</v>
      </c>
      <c r="S6" s="61" t="s">
        <v>24</v>
      </c>
      <c r="T6" s="61" t="s">
        <v>25</v>
      </c>
      <c r="U6" s="61" t="s">
        <v>26</v>
      </c>
      <c r="V6" s="60" t="s">
        <v>27</v>
      </c>
      <c r="W6" s="65" t="s">
        <v>28</v>
      </c>
      <c r="X6" s="60"/>
      <c r="Y6" s="60" t="s">
        <v>29</v>
      </c>
      <c r="Z6" s="66" t="s">
        <v>30</v>
      </c>
      <c r="AA6" s="66" t="s">
        <v>31</v>
      </c>
      <c r="AB6" s="66" t="s">
        <v>32</v>
      </c>
      <c r="AC6" s="66" t="s">
        <v>33</v>
      </c>
      <c r="AD6" s="67" t="s">
        <v>34</v>
      </c>
      <c r="AE6" s="3" t="s">
        <v>35</v>
      </c>
      <c r="AF6" s="4" t="s">
        <v>36</v>
      </c>
      <c r="AG6" s="3" t="s">
        <v>37</v>
      </c>
      <c r="AH6" s="3"/>
      <c r="AI6" s="3"/>
      <c r="AJ6" s="3"/>
      <c r="AK6" s="3"/>
    </row>
    <row r="7" spans="1:37" ht="37.5" customHeight="1">
      <c r="A7" s="25"/>
      <c r="B7" s="25" t="s">
        <v>91</v>
      </c>
      <c r="C7" s="26" t="s">
        <v>39</v>
      </c>
      <c r="D7" s="27">
        <v>15</v>
      </c>
      <c r="E7" s="27">
        <v>5</v>
      </c>
      <c r="F7" s="72">
        <v>3</v>
      </c>
      <c r="G7" s="72">
        <f t="shared" ref="G7:G8" si="0">PRODUCT(D7*E7*F7)</f>
        <v>225</v>
      </c>
      <c r="H7" s="70">
        <f t="shared" ref="H7:H8" si="1">G7/1000000</f>
        <v>2.2499999999999999E-4</v>
      </c>
      <c r="I7" s="29">
        <f t="shared" ref="I7:I8" si="2">1/H7</f>
        <v>4444.4444444444443</v>
      </c>
      <c r="J7" s="30">
        <f t="shared" ref="J7:J8" si="3">80/I7</f>
        <v>1.8000000000000002E-2</v>
      </c>
      <c r="K7" s="31">
        <f t="shared" ref="K7:K8" si="4">27000/I7</f>
        <v>6.0750000000000002</v>
      </c>
      <c r="L7" s="31">
        <f>(J7*$AF$4)+K7</f>
        <v>31.005000000000003</v>
      </c>
      <c r="M7" s="32">
        <f t="shared" ref="M7:M8" si="5">T7/R7</f>
        <v>7.2231437942480888E-3</v>
      </c>
      <c r="N7" s="33">
        <v>176</v>
      </c>
      <c r="O7" s="32">
        <f t="shared" ref="O7:O8" ca="1" si="6">SUMIF($AE$6:$AG$30,$A7,$AG$6:$AG$30)</f>
        <v>0</v>
      </c>
      <c r="P7" s="34">
        <v>23.2</v>
      </c>
      <c r="Q7" s="34">
        <f t="shared" ref="Q7:Q13" si="7">P7*1.15</f>
        <v>26.679999999999996</v>
      </c>
      <c r="R7" s="35">
        <f t="shared" ref="R7:R8" si="8">Q7*$AE$4</f>
        <v>5133.4987999999994</v>
      </c>
      <c r="S7" s="35">
        <f t="shared" ref="S7:S8" ca="1" si="9">R7*O7</f>
        <v>0</v>
      </c>
      <c r="T7" s="35">
        <f t="shared" ref="T7:T8" si="10">L7+K7</f>
        <v>37.080000000000005</v>
      </c>
      <c r="U7" s="35">
        <f t="shared" ref="U7:U8" ca="1" si="11">R7+S7+T7</f>
        <v>5170.5787999999993</v>
      </c>
      <c r="V7" s="35">
        <v>19900</v>
      </c>
      <c r="W7" s="36">
        <v>8.1299999999999997E-2</v>
      </c>
      <c r="X7" s="71"/>
      <c r="Y7" s="35">
        <f t="shared" ref="Y7:Y9" si="12">2827+N7</f>
        <v>3003</v>
      </c>
      <c r="Z7" s="38">
        <f t="shared" ref="Z7:Z13" si="13">W7+(Y7/V7)</f>
        <v>0.23220452261306535</v>
      </c>
      <c r="AA7" s="39">
        <f t="shared" ref="AA7:AA13" si="14">V7*Z7</f>
        <v>4620.8700000000008</v>
      </c>
      <c r="AB7" s="39">
        <f t="shared" ref="AB7:AB13" ca="1" si="15">(V7)/1.1*10%-(AA7+K7+N7+U7)*10%</f>
        <v>811.73852909090908</v>
      </c>
      <c r="AC7" s="39">
        <f t="shared" ref="AC7:AC12" ca="1" si="16">V7-(U7+AA7+AB7+N7)</f>
        <v>9120.8126709090902</v>
      </c>
      <c r="AD7" s="40">
        <f t="shared" ref="AD7:AD13" ca="1" si="17">AC7/V7</f>
        <v>0.45833229502055728</v>
      </c>
      <c r="AE7" s="41" t="s">
        <v>40</v>
      </c>
      <c r="AF7" s="41"/>
      <c r="AG7" s="42">
        <v>0.08</v>
      </c>
      <c r="AH7" s="43"/>
      <c r="AI7" s="43"/>
      <c r="AJ7" s="44"/>
      <c r="AK7" s="44"/>
    </row>
    <row r="8" spans="1:37" ht="37.5" customHeight="1">
      <c r="A8" s="25"/>
      <c r="B8" s="25" t="s">
        <v>92</v>
      </c>
      <c r="C8" s="26" t="s">
        <v>39</v>
      </c>
      <c r="D8" s="27">
        <v>19</v>
      </c>
      <c r="E8" s="27">
        <v>21</v>
      </c>
      <c r="F8" s="72">
        <v>6</v>
      </c>
      <c r="G8" s="72">
        <f t="shared" si="0"/>
        <v>2394</v>
      </c>
      <c r="H8" s="70">
        <f t="shared" si="1"/>
        <v>2.3939999999999999E-3</v>
      </c>
      <c r="I8" s="29">
        <f t="shared" si="2"/>
        <v>417.7109440267335</v>
      </c>
      <c r="J8" s="30">
        <f t="shared" si="3"/>
        <v>0.19152</v>
      </c>
      <c r="K8" s="31">
        <f t="shared" si="4"/>
        <v>64.638000000000005</v>
      </c>
      <c r="L8" s="31">
        <v>231</v>
      </c>
      <c r="M8" s="32">
        <f t="shared" si="5"/>
        <v>3.817391756281311E-2</v>
      </c>
      <c r="N8" s="33">
        <f t="shared" ref="N8:N9" si="18">176+198+350</f>
        <v>724</v>
      </c>
      <c r="O8" s="32">
        <f t="shared" ca="1" si="6"/>
        <v>0</v>
      </c>
      <c r="P8" s="34">
        <v>35</v>
      </c>
      <c r="Q8" s="34">
        <f t="shared" si="7"/>
        <v>40.25</v>
      </c>
      <c r="R8" s="35">
        <f t="shared" si="8"/>
        <v>7744.5024999999996</v>
      </c>
      <c r="S8" s="35">
        <f t="shared" ca="1" si="9"/>
        <v>0</v>
      </c>
      <c r="T8" s="35">
        <f t="shared" si="10"/>
        <v>295.63800000000003</v>
      </c>
      <c r="U8" s="35">
        <f t="shared" ca="1" si="11"/>
        <v>8040.1404999999995</v>
      </c>
      <c r="V8" s="35">
        <v>24900</v>
      </c>
      <c r="W8" s="36">
        <v>8.1299999999999997E-2</v>
      </c>
      <c r="X8" s="71"/>
      <c r="Y8" s="35">
        <f t="shared" si="12"/>
        <v>3551</v>
      </c>
      <c r="Z8" s="38">
        <f t="shared" si="13"/>
        <v>0.22391044176706826</v>
      </c>
      <c r="AA8" s="39">
        <f t="shared" si="14"/>
        <v>5575.37</v>
      </c>
      <c r="AB8" s="39">
        <f t="shared" ca="1" si="15"/>
        <v>823.2215136363634</v>
      </c>
      <c r="AC8" s="39">
        <f t="shared" ca="1" si="16"/>
        <v>9737.2679863636367</v>
      </c>
      <c r="AD8" s="40">
        <f t="shared" ca="1" si="17"/>
        <v>0.39105493921139101</v>
      </c>
      <c r="AE8" s="41"/>
      <c r="AF8" s="41"/>
      <c r="AG8" s="42"/>
      <c r="AH8" s="43"/>
      <c r="AI8" s="43"/>
      <c r="AJ8" s="44"/>
      <c r="AK8" s="44"/>
    </row>
    <row r="9" spans="1:37" ht="37.5" customHeight="1">
      <c r="A9" s="25"/>
      <c r="B9" s="25" t="s">
        <v>93</v>
      </c>
      <c r="C9" s="26"/>
      <c r="D9" s="27"/>
      <c r="E9" s="27"/>
      <c r="F9" s="72"/>
      <c r="G9" s="72"/>
      <c r="H9" s="70"/>
      <c r="I9" s="29"/>
      <c r="J9" s="30"/>
      <c r="K9" s="31"/>
      <c r="L9" s="31"/>
      <c r="M9" s="32"/>
      <c r="N9" s="33">
        <f t="shared" si="18"/>
        <v>724</v>
      </c>
      <c r="O9" s="32"/>
      <c r="P9" s="34">
        <v>70</v>
      </c>
      <c r="Q9" s="34">
        <f t="shared" si="7"/>
        <v>80.5</v>
      </c>
      <c r="R9" s="35"/>
      <c r="S9" s="25"/>
      <c r="T9" s="35"/>
      <c r="U9" s="35">
        <f ca="1">U8*2</f>
        <v>16080.280999999999</v>
      </c>
      <c r="V9" s="35">
        <v>44000</v>
      </c>
      <c r="W9" s="36">
        <v>8.1299999999999997E-2</v>
      </c>
      <c r="X9" s="71"/>
      <c r="Y9" s="35">
        <f t="shared" si="12"/>
        <v>3551</v>
      </c>
      <c r="Z9" s="38">
        <f t="shared" si="13"/>
        <v>0.16200454545454546</v>
      </c>
      <c r="AA9" s="39">
        <f t="shared" si="14"/>
        <v>7128.2</v>
      </c>
      <c r="AB9" s="39">
        <f t="shared" ca="1" si="15"/>
        <v>1606.7518999999998</v>
      </c>
      <c r="AC9" s="39">
        <f t="shared" ca="1" si="16"/>
        <v>18460.767100000001</v>
      </c>
      <c r="AD9" s="40">
        <f t="shared" ca="1" si="17"/>
        <v>0.41956288863636365</v>
      </c>
      <c r="AE9" s="41"/>
      <c r="AF9" s="41"/>
      <c r="AG9" s="42"/>
      <c r="AH9" s="43"/>
      <c r="AI9" s="43"/>
      <c r="AJ9" s="44"/>
      <c r="AK9" s="44"/>
    </row>
    <row r="10" spans="1:37" ht="37.5" customHeight="1">
      <c r="A10" s="25"/>
      <c r="B10" s="25" t="s">
        <v>94</v>
      </c>
      <c r="C10" s="26" t="s">
        <v>39</v>
      </c>
      <c r="D10" s="27">
        <v>5</v>
      </c>
      <c r="E10" s="27">
        <v>5</v>
      </c>
      <c r="F10" s="72">
        <v>3</v>
      </c>
      <c r="G10" s="72">
        <f t="shared" ref="G10:G13" si="19">PRODUCT(D10*E10*F10)</f>
        <v>75</v>
      </c>
      <c r="H10" s="70">
        <f t="shared" ref="H10:H13" si="20">G10/1000000</f>
        <v>7.4999999999999993E-5</v>
      </c>
      <c r="I10" s="29">
        <f t="shared" ref="I10:I13" si="21">1/H10</f>
        <v>13333.333333333334</v>
      </c>
      <c r="J10" s="30">
        <f t="shared" ref="J10:J13" si="22">80/I10</f>
        <v>6.0000000000000001E-3</v>
      </c>
      <c r="K10" s="31">
        <f t="shared" ref="K10:K13" si="23">27000/I10</f>
        <v>2.0249999999999999</v>
      </c>
      <c r="L10" s="31">
        <v>231</v>
      </c>
      <c r="M10" s="32">
        <f t="shared" ref="M10:M13" si="24">T10/R10</f>
        <v>0.52655900104622611</v>
      </c>
      <c r="N10" s="33"/>
      <c r="O10" s="32"/>
      <c r="P10" s="34">
        <v>2</v>
      </c>
      <c r="Q10" s="34">
        <f t="shared" si="7"/>
        <v>2.2999999999999998</v>
      </c>
      <c r="R10" s="35">
        <f t="shared" ref="R10:R13" si="25">Q10*$AE$4</f>
        <v>442.54299999999995</v>
      </c>
      <c r="S10" s="35">
        <f t="shared" ref="S10:S13" si="26">R10*O10</f>
        <v>0</v>
      </c>
      <c r="T10" s="35">
        <f t="shared" ref="T10:T13" si="27">L10+K10</f>
        <v>233.02500000000001</v>
      </c>
      <c r="U10" s="35">
        <f t="shared" ref="U10:U13" si="28">R10+S10+T10</f>
        <v>675.56799999999998</v>
      </c>
      <c r="V10" s="35">
        <v>5000</v>
      </c>
      <c r="W10" s="36">
        <v>8.1299999999999997E-2</v>
      </c>
      <c r="X10" s="71"/>
      <c r="Y10" s="35"/>
      <c r="Z10" s="38">
        <f t="shared" si="13"/>
        <v>8.1299999999999997E-2</v>
      </c>
      <c r="AA10" s="39">
        <f t="shared" si="14"/>
        <v>406.5</v>
      </c>
      <c r="AB10" s="39">
        <f t="shared" si="15"/>
        <v>346.13615454545453</v>
      </c>
      <c r="AC10" s="39">
        <f t="shared" si="16"/>
        <v>3571.7958454545455</v>
      </c>
      <c r="AD10" s="40">
        <f t="shared" si="17"/>
        <v>0.71435916909090913</v>
      </c>
      <c r="AE10" s="41"/>
      <c r="AF10" s="41"/>
      <c r="AG10" s="42"/>
      <c r="AH10" s="43"/>
      <c r="AI10" s="43"/>
      <c r="AJ10" s="44"/>
      <c r="AK10" s="44"/>
    </row>
    <row r="11" spans="1:37" ht="37.5" customHeight="1">
      <c r="A11" s="25"/>
      <c r="B11" s="25" t="s">
        <v>95</v>
      </c>
      <c r="C11" s="26" t="s">
        <v>39</v>
      </c>
      <c r="D11" s="27">
        <v>5</v>
      </c>
      <c r="E11" s="27">
        <v>5</v>
      </c>
      <c r="F11" s="72">
        <v>3</v>
      </c>
      <c r="G11" s="72">
        <f t="shared" si="19"/>
        <v>75</v>
      </c>
      <c r="H11" s="70">
        <f t="shared" si="20"/>
        <v>7.4999999999999993E-5</v>
      </c>
      <c r="I11" s="29">
        <f t="shared" si="21"/>
        <v>13333.333333333334</v>
      </c>
      <c r="J11" s="30">
        <f t="shared" si="22"/>
        <v>6.0000000000000001E-3</v>
      </c>
      <c r="K11" s="31">
        <f t="shared" si="23"/>
        <v>2.0249999999999999</v>
      </c>
      <c r="L11" s="31">
        <v>231</v>
      </c>
      <c r="M11" s="32">
        <f t="shared" si="24"/>
        <v>0.26327950052311305</v>
      </c>
      <c r="N11" s="33"/>
      <c r="O11" s="32"/>
      <c r="P11" s="34">
        <v>4</v>
      </c>
      <c r="Q11" s="34">
        <f t="shared" si="7"/>
        <v>4.5999999999999996</v>
      </c>
      <c r="R11" s="35">
        <f t="shared" si="25"/>
        <v>885.0859999999999</v>
      </c>
      <c r="S11" s="35">
        <f t="shared" si="26"/>
        <v>0</v>
      </c>
      <c r="T11" s="35">
        <f t="shared" si="27"/>
        <v>233.02500000000001</v>
      </c>
      <c r="U11" s="35">
        <f t="shared" si="28"/>
        <v>1118.1109999999999</v>
      </c>
      <c r="V11" s="35">
        <v>9000</v>
      </c>
      <c r="W11" s="36">
        <v>8.1299999999999997E-2</v>
      </c>
      <c r="X11" s="71"/>
      <c r="Y11" s="35"/>
      <c r="Z11" s="38">
        <f t="shared" si="13"/>
        <v>8.1299999999999997E-2</v>
      </c>
      <c r="AA11" s="39">
        <f t="shared" si="14"/>
        <v>731.69999999999993</v>
      </c>
      <c r="AB11" s="39">
        <f t="shared" si="15"/>
        <v>632.99821818181817</v>
      </c>
      <c r="AC11" s="39">
        <f t="shared" si="16"/>
        <v>6517.1907818181826</v>
      </c>
      <c r="AD11" s="40">
        <f t="shared" si="17"/>
        <v>0.7241323090909092</v>
      </c>
      <c r="AE11" s="41"/>
      <c r="AF11" s="41"/>
      <c r="AG11" s="42"/>
      <c r="AH11" s="43"/>
      <c r="AI11" s="43"/>
      <c r="AJ11" s="44"/>
      <c r="AK11" s="44"/>
    </row>
    <row r="12" spans="1:37" ht="37.5" customHeight="1">
      <c r="A12" s="25"/>
      <c r="B12" s="25" t="s">
        <v>96</v>
      </c>
      <c r="C12" s="26" t="s">
        <v>39</v>
      </c>
      <c r="D12" s="27">
        <v>5</v>
      </c>
      <c r="E12" s="27">
        <v>5</v>
      </c>
      <c r="F12" s="72">
        <v>3</v>
      </c>
      <c r="G12" s="72">
        <f t="shared" si="19"/>
        <v>75</v>
      </c>
      <c r="H12" s="70">
        <f t="shared" si="20"/>
        <v>7.4999999999999993E-5</v>
      </c>
      <c r="I12" s="29">
        <f t="shared" si="21"/>
        <v>13333.333333333334</v>
      </c>
      <c r="J12" s="30">
        <f t="shared" si="22"/>
        <v>6.0000000000000001E-3</v>
      </c>
      <c r="K12" s="31">
        <f t="shared" si="23"/>
        <v>2.0249999999999999</v>
      </c>
      <c r="L12" s="31">
        <v>231</v>
      </c>
      <c r="M12" s="32">
        <f t="shared" si="24"/>
        <v>0.17551966701540869</v>
      </c>
      <c r="N12" s="33"/>
      <c r="O12" s="32"/>
      <c r="P12" s="34">
        <v>6</v>
      </c>
      <c r="Q12" s="34">
        <f t="shared" si="7"/>
        <v>6.8999999999999995</v>
      </c>
      <c r="R12" s="35">
        <f t="shared" si="25"/>
        <v>1327.6289999999999</v>
      </c>
      <c r="S12" s="35">
        <f t="shared" si="26"/>
        <v>0</v>
      </c>
      <c r="T12" s="35">
        <f t="shared" si="27"/>
        <v>233.02500000000001</v>
      </c>
      <c r="U12" s="35">
        <f t="shared" si="28"/>
        <v>1560.654</v>
      </c>
      <c r="V12" s="35">
        <v>13000</v>
      </c>
      <c r="W12" s="36">
        <v>8.1299999999999997E-2</v>
      </c>
      <c r="X12" s="71"/>
      <c r="Y12" s="35"/>
      <c r="Z12" s="38">
        <f t="shared" si="13"/>
        <v>8.1299999999999997E-2</v>
      </c>
      <c r="AA12" s="39">
        <f t="shared" si="14"/>
        <v>1056.8999999999999</v>
      </c>
      <c r="AB12" s="39">
        <f t="shared" si="15"/>
        <v>919.86028181818176</v>
      </c>
      <c r="AC12" s="39">
        <f t="shared" si="16"/>
        <v>9462.5857181818174</v>
      </c>
      <c r="AD12" s="40">
        <f t="shared" si="17"/>
        <v>0.72789120909090899</v>
      </c>
      <c r="AE12" s="41"/>
      <c r="AF12" s="41"/>
      <c r="AG12" s="42"/>
      <c r="AH12" s="43"/>
      <c r="AI12" s="43"/>
      <c r="AJ12" s="44"/>
      <c r="AK12" s="44"/>
    </row>
    <row r="13" spans="1:37" ht="37.5" customHeight="1">
      <c r="A13" s="25"/>
      <c r="B13" s="25" t="s">
        <v>97</v>
      </c>
      <c r="C13" s="26" t="s">
        <v>39</v>
      </c>
      <c r="D13" s="27">
        <v>26</v>
      </c>
      <c r="E13" s="27">
        <v>10</v>
      </c>
      <c r="F13" s="72">
        <v>6</v>
      </c>
      <c r="G13" s="72">
        <f t="shared" si="19"/>
        <v>1560</v>
      </c>
      <c r="H13" s="70">
        <f t="shared" si="20"/>
        <v>1.56E-3</v>
      </c>
      <c r="I13" s="29">
        <f t="shared" si="21"/>
        <v>641.02564102564099</v>
      </c>
      <c r="J13" s="30">
        <f t="shared" si="22"/>
        <v>0.12480000000000001</v>
      </c>
      <c r="K13" s="31">
        <f t="shared" si="23"/>
        <v>42.120000000000005</v>
      </c>
      <c r="L13" s="31">
        <f>(J13*$AF$4)+K13</f>
        <v>214.96800000000002</v>
      </c>
      <c r="M13" s="32">
        <f t="shared" si="24"/>
        <v>3.3196193041451022E-2</v>
      </c>
      <c r="N13" s="33">
        <v>198</v>
      </c>
      <c r="O13" s="32">
        <f ca="1">SUMIF($AE$6:$AG$30,$A13,$AG$6:$AG$30)</f>
        <v>0</v>
      </c>
      <c r="P13" s="34">
        <v>35</v>
      </c>
      <c r="Q13" s="34">
        <f t="shared" si="7"/>
        <v>40.25</v>
      </c>
      <c r="R13" s="35">
        <f t="shared" si="25"/>
        <v>7744.5024999999996</v>
      </c>
      <c r="S13" s="35">
        <f t="shared" ca="1" si="26"/>
        <v>0</v>
      </c>
      <c r="T13" s="35">
        <f t="shared" si="27"/>
        <v>257.08800000000002</v>
      </c>
      <c r="U13" s="35">
        <f t="shared" ca="1" si="28"/>
        <v>8001.5904999999993</v>
      </c>
      <c r="V13" s="35">
        <v>27900</v>
      </c>
      <c r="W13" s="36">
        <v>8.1299999999999997E-2</v>
      </c>
      <c r="X13" s="71"/>
      <c r="Y13" s="35">
        <f>2827+N13</f>
        <v>3025</v>
      </c>
      <c r="Z13" s="38">
        <f t="shared" si="13"/>
        <v>0.18972293906810034</v>
      </c>
      <c r="AA13" s="39">
        <f t="shared" si="14"/>
        <v>5293.2699999999995</v>
      </c>
      <c r="AB13" s="39">
        <f t="shared" ca="1" si="15"/>
        <v>1182.8655863636361</v>
      </c>
      <c r="AC13" s="39">
        <f ca="1">V13-(U13+AA13+AB13+N13+X13)</f>
        <v>13224.273913636365</v>
      </c>
      <c r="AD13" s="40">
        <f t="shared" ca="1" si="17"/>
        <v>0.47398831231671562</v>
      </c>
      <c r="AE13" s="41"/>
      <c r="AF13" s="41"/>
      <c r="AG13" s="42"/>
      <c r="AH13" s="43"/>
      <c r="AI13" s="43"/>
      <c r="AJ13" s="44"/>
      <c r="AK13" s="44"/>
    </row>
    <row r="14" spans="1:37" ht="37.5" customHeight="1">
      <c r="A14" s="25"/>
      <c r="B14" s="25"/>
      <c r="C14" s="26"/>
      <c r="D14" s="27"/>
      <c r="E14" s="27"/>
      <c r="F14" s="72"/>
      <c r="G14" s="72"/>
      <c r="H14" s="70"/>
      <c r="I14" s="29"/>
      <c r="J14" s="30"/>
      <c r="K14" s="31"/>
      <c r="L14" s="31"/>
      <c r="M14" s="32"/>
      <c r="N14" s="33"/>
      <c r="O14" s="32"/>
      <c r="P14" s="34"/>
      <c r="Q14" s="34"/>
      <c r="R14" s="35"/>
      <c r="S14" s="25"/>
      <c r="T14" s="35"/>
      <c r="U14" s="35"/>
      <c r="V14" s="35"/>
      <c r="W14" s="36"/>
      <c r="X14" s="71"/>
      <c r="Y14" s="35"/>
      <c r="Z14" s="38"/>
      <c r="AA14" s="39"/>
      <c r="AB14" s="39"/>
      <c r="AC14" s="39"/>
      <c r="AD14" s="40"/>
      <c r="AE14" s="41"/>
      <c r="AF14" s="41"/>
      <c r="AG14" s="45"/>
      <c r="AH14" s="43"/>
      <c r="AI14" s="43"/>
      <c r="AJ14" s="44"/>
      <c r="AK14" s="44"/>
    </row>
    <row r="15" spans="1:37" ht="37.5" customHeight="1">
      <c r="A15" s="25"/>
      <c r="B15" s="25" t="s">
        <v>98</v>
      </c>
      <c r="C15" s="26" t="s">
        <v>39</v>
      </c>
      <c r="D15" s="27">
        <v>22</v>
      </c>
      <c r="E15" s="27">
        <v>27</v>
      </c>
      <c r="F15" s="72">
        <v>11</v>
      </c>
      <c r="G15" s="72">
        <f>PRODUCT(D15*E15*F15)</f>
        <v>6534</v>
      </c>
      <c r="H15" s="70">
        <f>G15/1000000</f>
        <v>6.5339999999999999E-3</v>
      </c>
      <c r="I15" s="29">
        <f>1/H15</f>
        <v>153.04560759106215</v>
      </c>
      <c r="J15" s="30">
        <f>80/I15</f>
        <v>0.52271999999999996</v>
      </c>
      <c r="K15" s="31">
        <f>27000/I15</f>
        <v>176.41799999999998</v>
      </c>
      <c r="L15" s="31">
        <f>(J15*$AF$4)+K15</f>
        <v>900.38519999999994</v>
      </c>
      <c r="M15" s="32">
        <f>T15/R15</f>
        <v>7.4868218803248843E-2</v>
      </c>
      <c r="N15" s="33">
        <v>286</v>
      </c>
      <c r="O15" s="32">
        <f ca="1">SUMIF($AE$6:$AG$30,$A15,$AG$6:$AG$30)</f>
        <v>0</v>
      </c>
      <c r="P15" s="34">
        <v>65</v>
      </c>
      <c r="Q15" s="34">
        <f>P15*1.15</f>
        <v>74.75</v>
      </c>
      <c r="R15" s="35">
        <f>Q15*$AE$4</f>
        <v>14382.647499999999</v>
      </c>
      <c r="S15" s="35">
        <f ca="1">R15*O15</f>
        <v>0</v>
      </c>
      <c r="T15" s="35">
        <f>L15+K15</f>
        <v>1076.8031999999998</v>
      </c>
      <c r="U15" s="35">
        <f ca="1">R15+S15+T15+(공용!V7*2)</f>
        <v>24060.542356999998</v>
      </c>
      <c r="V15" s="35">
        <v>64800</v>
      </c>
      <c r="W15" s="36">
        <v>8.1299999999999997E-2</v>
      </c>
      <c r="X15" s="71"/>
      <c r="Y15" s="35">
        <f>2827+N15</f>
        <v>3113</v>
      </c>
      <c r="Z15" s="38">
        <f>W15+(Y15/V15)</f>
        <v>0.12934012345679013</v>
      </c>
      <c r="AA15" s="39">
        <f>V15*Z15</f>
        <v>8381.2400000000016</v>
      </c>
      <c r="AB15" s="39">
        <f ca="1">(V15)/1.1*10%-(AA15+K15+N15+U15)*10%</f>
        <v>2600.4890552090906</v>
      </c>
      <c r="AC15" s="39">
        <f ca="1">V15-(U15+AA15+AB15+N15)</f>
        <v>29471.728587790909</v>
      </c>
      <c r="AD15" s="40">
        <f ca="1">AC15/V15</f>
        <v>0.45481062635479796</v>
      </c>
      <c r="AE15" s="41"/>
      <c r="AF15" s="41"/>
      <c r="AG15" s="45"/>
      <c r="AH15" s="43"/>
      <c r="AI15" s="43"/>
      <c r="AJ15" s="44"/>
      <c r="AK15" s="44"/>
    </row>
    <row r="16" spans="1:37" ht="37.5" customHeight="1">
      <c r="A16" s="25"/>
      <c r="B16" s="25"/>
      <c r="C16" s="26"/>
      <c r="D16" s="27"/>
      <c r="E16" s="27"/>
      <c r="F16" s="72"/>
      <c r="G16" s="72"/>
      <c r="H16" s="70"/>
      <c r="I16" s="29"/>
      <c r="J16" s="30"/>
      <c r="K16" s="31"/>
      <c r="L16" s="31"/>
      <c r="M16" s="32"/>
      <c r="N16" s="33"/>
      <c r="O16" s="32"/>
      <c r="P16" s="34"/>
      <c r="Q16" s="34"/>
      <c r="R16" s="35"/>
      <c r="S16" s="25"/>
      <c r="T16" s="35"/>
      <c r="U16" s="35"/>
      <c r="V16" s="35"/>
      <c r="W16" s="36"/>
      <c r="X16" s="71"/>
      <c r="Y16" s="35"/>
      <c r="Z16" s="38"/>
      <c r="AA16" s="39"/>
      <c r="AB16" s="39"/>
      <c r="AC16" s="39"/>
      <c r="AD16" s="40"/>
      <c r="AE16" s="41"/>
      <c r="AF16" s="41"/>
      <c r="AG16" s="45"/>
      <c r="AH16" s="43"/>
      <c r="AI16" s="43"/>
      <c r="AJ16" s="44"/>
      <c r="AK16" s="44"/>
    </row>
    <row r="17" spans="1:37" ht="37.5" customHeight="1">
      <c r="A17" s="25"/>
      <c r="B17" s="25" t="s">
        <v>99</v>
      </c>
      <c r="C17" s="26" t="s">
        <v>39</v>
      </c>
      <c r="D17" s="27">
        <v>17</v>
      </c>
      <c r="E17" s="27">
        <v>30</v>
      </c>
      <c r="F17" s="72">
        <v>19</v>
      </c>
      <c r="G17" s="72">
        <f>PRODUCT(D17*E17*F17)</f>
        <v>9690</v>
      </c>
      <c r="H17" s="70">
        <f>G17/1000000</f>
        <v>9.6900000000000007E-3</v>
      </c>
      <c r="I17" s="29">
        <f>1/H17</f>
        <v>103.19917440660474</v>
      </c>
      <c r="J17" s="30">
        <f>80/I17</f>
        <v>0.7752</v>
      </c>
      <c r="K17" s="31">
        <f>27000/I17</f>
        <v>261.63</v>
      </c>
      <c r="L17" s="31">
        <f>(J17*$AF$4)+K17</f>
        <v>1335.2820000000002</v>
      </c>
      <c r="M17" s="32">
        <f>T17/R17</f>
        <v>9.6226400598359949E-2</v>
      </c>
      <c r="N17" s="33">
        <v>242</v>
      </c>
      <c r="O17" s="32">
        <f ca="1">SUMIF($AE$6:$AG$30,$A17,$AG$6:$AG$30)</f>
        <v>0</v>
      </c>
      <c r="P17" s="34">
        <v>75</v>
      </c>
      <c r="Q17" s="34">
        <f>P17*1.15</f>
        <v>86.25</v>
      </c>
      <c r="R17" s="35">
        <f>Q17*$AE$4</f>
        <v>16595.362499999999</v>
      </c>
      <c r="S17" s="35">
        <f ca="1">R17*O17</f>
        <v>0</v>
      </c>
      <c r="T17" s="35">
        <f>L17+K17</f>
        <v>1596.9120000000003</v>
      </c>
      <c r="U17" s="35">
        <f ca="1">R17+S17+T17+(공용!V7*2)</f>
        <v>26793.366156999997</v>
      </c>
      <c r="V17" s="35">
        <v>65800</v>
      </c>
      <c r="W17" s="36">
        <v>8.1299999999999997E-2</v>
      </c>
      <c r="X17" s="71"/>
      <c r="Y17" s="35">
        <f>2827+N17</f>
        <v>3069</v>
      </c>
      <c r="Z17" s="38">
        <f>W17+(Y17/V17)</f>
        <v>0.12794133738601823</v>
      </c>
      <c r="AA17" s="39">
        <f>V17*Z17</f>
        <v>8418.5399999999991</v>
      </c>
      <c r="AB17" s="39">
        <f ca="1">(V17)/1.1*10%-(AA17+K17+N17+U17)*10%</f>
        <v>2410.2645661181823</v>
      </c>
      <c r="AC17" s="39">
        <f ca="1">V17-(U17+AA17+AB17+N17)</f>
        <v>27935.829276881821</v>
      </c>
      <c r="AD17" s="40">
        <f ca="1">AC17/V17</f>
        <v>0.42455667594045321</v>
      </c>
      <c r="AE17" s="41"/>
      <c r="AF17" s="41"/>
      <c r="AG17" s="45"/>
      <c r="AH17" s="43"/>
      <c r="AI17" s="43"/>
      <c r="AJ17" s="44"/>
      <c r="AK17" s="44"/>
    </row>
    <row r="18" spans="1:37" ht="37.5" customHeight="1">
      <c r="A18" s="25"/>
      <c r="B18" s="25"/>
      <c r="C18" s="26"/>
      <c r="D18" s="27"/>
      <c r="E18" s="27"/>
      <c r="F18" s="72"/>
      <c r="G18" s="72"/>
      <c r="H18" s="70"/>
      <c r="I18" s="29"/>
      <c r="J18" s="30"/>
      <c r="K18" s="31"/>
      <c r="L18" s="31"/>
      <c r="M18" s="32"/>
      <c r="N18" s="33"/>
      <c r="O18" s="32"/>
      <c r="P18" s="34"/>
      <c r="Q18" s="34"/>
      <c r="R18" s="35"/>
      <c r="S18" s="25"/>
      <c r="T18" s="35"/>
      <c r="U18" s="35"/>
      <c r="V18" s="35"/>
      <c r="W18" s="36"/>
      <c r="X18" s="71"/>
      <c r="Y18" s="35"/>
      <c r="Z18" s="38"/>
      <c r="AA18" s="39"/>
      <c r="AB18" s="39"/>
      <c r="AC18" s="39"/>
      <c r="AD18" s="40"/>
      <c r="AE18" s="41"/>
      <c r="AF18" s="41"/>
      <c r="AG18" s="45"/>
      <c r="AH18" s="43"/>
      <c r="AI18" s="43"/>
      <c r="AJ18" s="44"/>
      <c r="AK18" s="44"/>
    </row>
    <row r="19" spans="1:37" ht="37.5" customHeight="1">
      <c r="A19" s="25"/>
      <c r="B19" s="25" t="s">
        <v>100</v>
      </c>
      <c r="C19" s="27" t="s">
        <v>39</v>
      </c>
      <c r="D19" s="27">
        <v>12</v>
      </c>
      <c r="E19" s="72">
        <v>21</v>
      </c>
      <c r="F19" s="72">
        <v>8</v>
      </c>
      <c r="G19" s="72">
        <f>PRODUCT(D19*E19*F19)</f>
        <v>2016</v>
      </c>
      <c r="H19" s="70">
        <f>G19/1000000</f>
        <v>2.016E-3</v>
      </c>
      <c r="I19" s="29">
        <f>1/H19</f>
        <v>496.03174603174602</v>
      </c>
      <c r="J19" s="30">
        <f>80/I19</f>
        <v>0.16128000000000001</v>
      </c>
      <c r="K19" s="31">
        <f>27000/I19</f>
        <v>54.432000000000002</v>
      </c>
      <c r="L19" s="31">
        <f>(J19*$AF$4)+K19</f>
        <v>277.8048</v>
      </c>
      <c r="M19" s="32">
        <f>T19/R19</f>
        <v>5.5610716548071801E-2</v>
      </c>
      <c r="N19" s="33">
        <v>176</v>
      </c>
      <c r="O19" s="32">
        <v>0</v>
      </c>
      <c r="P19" s="34">
        <v>27</v>
      </c>
      <c r="Q19" s="34">
        <f>P19*1.15</f>
        <v>31.049999999999997</v>
      </c>
      <c r="R19" s="35">
        <f>Q19*$AE$4</f>
        <v>5974.3304999999991</v>
      </c>
      <c r="S19" s="35">
        <f>R19*O19</f>
        <v>0</v>
      </c>
      <c r="T19" s="35">
        <f>L19+K19</f>
        <v>332.23680000000002</v>
      </c>
      <c r="U19" s="35">
        <f>R19+S19+T19</f>
        <v>6306.5672999999988</v>
      </c>
      <c r="V19" s="35">
        <v>20900</v>
      </c>
      <c r="W19" s="36">
        <v>8.1299999999999997E-2</v>
      </c>
      <c r="X19" s="71"/>
      <c r="Y19" s="35">
        <f>2827+N19</f>
        <v>3003</v>
      </c>
      <c r="Z19" s="38">
        <f>W19+(Y19/V19)</f>
        <v>0.22498421052631579</v>
      </c>
      <c r="AA19" s="39">
        <f>V19*Z19</f>
        <v>4702.17</v>
      </c>
      <c r="AB19" s="39">
        <f>(V19)/1.1*10%-(AA19+K19+N19+U19)*10%</f>
        <v>776.08307000000013</v>
      </c>
      <c r="AC19" s="39">
        <f>V19-(U19+AA19+AB19+N19)</f>
        <v>8939.1796300000005</v>
      </c>
      <c r="AD19" s="40">
        <f>AC19/V19</f>
        <v>0.42771194401913876</v>
      </c>
      <c r="AE19" s="41"/>
      <c r="AF19" s="41"/>
      <c r="AG19" s="45"/>
      <c r="AH19" s="43"/>
      <c r="AI19" s="43"/>
      <c r="AJ19" s="44"/>
      <c r="AK19" s="44"/>
    </row>
    <row r="20" spans="1:37" ht="37.5" customHeight="1">
      <c r="A20" s="25"/>
      <c r="B20" s="25"/>
      <c r="C20" s="27"/>
      <c r="D20" s="27"/>
      <c r="E20" s="72"/>
      <c r="F20" s="72"/>
      <c r="G20" s="72"/>
      <c r="H20" s="70"/>
      <c r="I20" s="29"/>
      <c r="J20" s="30"/>
      <c r="K20" s="31"/>
      <c r="L20" s="31"/>
      <c r="M20" s="32"/>
      <c r="N20" s="33"/>
      <c r="O20" s="32"/>
      <c r="P20" s="34"/>
      <c r="Q20" s="34"/>
      <c r="R20" s="35"/>
      <c r="S20" s="25"/>
      <c r="T20" s="35"/>
      <c r="U20" s="35">
        <f>U19*2</f>
        <v>12613.134599999998</v>
      </c>
      <c r="V20" s="35">
        <v>40400</v>
      </c>
      <c r="W20" s="36"/>
      <c r="X20" s="71"/>
      <c r="Y20" s="35"/>
      <c r="Z20" s="38"/>
      <c r="AA20" s="39"/>
      <c r="AB20" s="39"/>
      <c r="AC20" s="39"/>
      <c r="AD20" s="40"/>
      <c r="AE20" s="41"/>
      <c r="AF20" s="41"/>
      <c r="AG20" s="45"/>
      <c r="AH20" s="43"/>
      <c r="AI20" s="43"/>
      <c r="AJ20" s="44"/>
      <c r="AK20" s="44"/>
    </row>
    <row r="21" spans="1:37" ht="37.5" customHeight="1">
      <c r="A21" s="25"/>
      <c r="B21" s="25" t="s">
        <v>101</v>
      </c>
      <c r="C21" s="27" t="s">
        <v>39</v>
      </c>
      <c r="D21" s="27">
        <v>36.799999999999997</v>
      </c>
      <c r="E21" s="27">
        <v>13.6</v>
      </c>
      <c r="F21" s="72">
        <v>13.4</v>
      </c>
      <c r="G21" s="72">
        <f t="shared" ref="G21:G22" si="29">PRODUCT(D21*E21*F21)</f>
        <v>6706.4319999999998</v>
      </c>
      <c r="H21" s="70">
        <f t="shared" ref="H21:H22" si="30">G21/1000000</f>
        <v>6.706432E-3</v>
      </c>
      <c r="I21" s="29">
        <f t="shared" ref="I21:I22" si="31">1/H21</f>
        <v>149.11058518150932</v>
      </c>
      <c r="J21" s="30">
        <f t="shared" ref="J21:J22" si="32">80/I21</f>
        <v>0.53651456000000008</v>
      </c>
      <c r="K21" s="31">
        <f t="shared" ref="K21:K22" si="33">27000/I21</f>
        <v>181.07366400000001</v>
      </c>
      <c r="L21" s="31">
        <f t="shared" ref="L21:L22" si="34">(J21*$AF$4)+K21</f>
        <v>924.14632960000017</v>
      </c>
      <c r="M21" s="32">
        <f t="shared" ref="M21:M22" si="35">T21/R21</f>
        <v>0.10193590260593613</v>
      </c>
      <c r="N21" s="33">
        <v>176</v>
      </c>
      <c r="O21" s="32">
        <v>0</v>
      </c>
      <c r="P21" s="34">
        <v>49</v>
      </c>
      <c r="Q21" s="34">
        <f t="shared" ref="Q21:Q22" si="36">P21*1.15</f>
        <v>56.349999999999994</v>
      </c>
      <c r="R21" s="35">
        <f t="shared" ref="R21:R22" si="37">Q21*$AE$4</f>
        <v>10842.303499999998</v>
      </c>
      <c r="S21" s="35">
        <f t="shared" ref="S21:S22" si="38">R21*O21</f>
        <v>0</v>
      </c>
      <c r="T21" s="35">
        <f t="shared" ref="T21:T22" si="39">L21+K21</f>
        <v>1105.2199936000002</v>
      </c>
      <c r="U21" s="35">
        <f>R21+S21+T21+헤몬라이프!U11</f>
        <v>12172.090993599997</v>
      </c>
      <c r="V21" s="35">
        <v>36900</v>
      </c>
      <c r="W21" s="36">
        <v>8.1299999999999997E-2</v>
      </c>
      <c r="X21" s="71"/>
      <c r="Y21" s="35">
        <f t="shared" ref="Y21:Y22" si="40">2827+N21</f>
        <v>3003</v>
      </c>
      <c r="Z21" s="38">
        <f t="shared" ref="Z21:Z22" si="41">W21+(Y21/V21)</f>
        <v>0.1626821138211382</v>
      </c>
      <c r="AA21" s="39">
        <f t="shared" ref="AA21:AA22" si="42">V21*Z21</f>
        <v>6002.9699999999993</v>
      </c>
      <c r="AB21" s="39">
        <f t="shared" ref="AB21:AB22" si="43">(V21)/1.1*10%-(AA21+K21+N21+U21)*10%</f>
        <v>1501.3319887854548</v>
      </c>
      <c r="AC21" s="39">
        <f t="shared" ref="AC21:AC22" si="44">V21-(U21+AA21+AB21+N21)</f>
        <v>17047.607017614548</v>
      </c>
      <c r="AD21" s="40">
        <f t="shared" ref="AD21:AD22" si="45">AC21/V21</f>
        <v>0.46199477012505547</v>
      </c>
      <c r="AE21" s="41"/>
      <c r="AF21" s="41"/>
      <c r="AG21" s="45"/>
      <c r="AH21" s="43"/>
      <c r="AI21" s="43"/>
      <c r="AJ21" s="44"/>
      <c r="AK21" s="44"/>
    </row>
    <row r="22" spans="1:37" ht="37.5" customHeight="1">
      <c r="A22" s="25">
        <v>9644727520</v>
      </c>
      <c r="B22" s="25" t="s">
        <v>102</v>
      </c>
      <c r="C22" s="27" t="s">
        <v>39</v>
      </c>
      <c r="D22" s="27">
        <v>8</v>
      </c>
      <c r="E22" s="27">
        <v>7</v>
      </c>
      <c r="F22" s="72">
        <v>7</v>
      </c>
      <c r="G22" s="72">
        <f t="shared" si="29"/>
        <v>392</v>
      </c>
      <c r="H22" s="70">
        <f t="shared" si="30"/>
        <v>3.9199999999999999E-4</v>
      </c>
      <c r="I22" s="29">
        <f t="shared" si="31"/>
        <v>2551.0204081632655</v>
      </c>
      <c r="J22" s="30">
        <f t="shared" si="32"/>
        <v>3.1359999999999999E-2</v>
      </c>
      <c r="K22" s="31">
        <f t="shared" si="33"/>
        <v>10.584</v>
      </c>
      <c r="L22" s="31">
        <f t="shared" si="34"/>
        <v>54.017600000000002</v>
      </c>
      <c r="M22" s="32">
        <f t="shared" si="35"/>
        <v>1.4241768872067167E-2</v>
      </c>
      <c r="N22" s="33">
        <v>176</v>
      </c>
      <c r="O22" s="32">
        <v>0</v>
      </c>
      <c r="P22" s="34">
        <v>20.5</v>
      </c>
      <c r="Q22" s="34">
        <f t="shared" si="36"/>
        <v>23.574999999999999</v>
      </c>
      <c r="R22" s="35">
        <f t="shared" si="37"/>
        <v>4536.0657499999998</v>
      </c>
      <c r="S22" s="35">
        <f t="shared" si="38"/>
        <v>0</v>
      </c>
      <c r="T22" s="35">
        <f t="shared" si="39"/>
        <v>64.601600000000005</v>
      </c>
      <c r="U22" s="35">
        <f>R22+S22+T22</f>
        <v>4600.6673499999997</v>
      </c>
      <c r="V22" s="35">
        <v>22900</v>
      </c>
      <c r="W22" s="36">
        <v>8.1299999999999997E-2</v>
      </c>
      <c r="X22" s="71"/>
      <c r="Y22" s="35">
        <f t="shared" si="40"/>
        <v>3003</v>
      </c>
      <c r="Z22" s="38">
        <f t="shared" si="41"/>
        <v>0.21243537117903932</v>
      </c>
      <c r="AA22" s="39">
        <f t="shared" si="42"/>
        <v>4864.7700000000004</v>
      </c>
      <c r="AB22" s="39">
        <f t="shared" si="43"/>
        <v>1116.6160468181815</v>
      </c>
      <c r="AC22" s="39">
        <f t="shared" si="44"/>
        <v>12141.946603181819</v>
      </c>
      <c r="AD22" s="40">
        <f t="shared" si="45"/>
        <v>0.53021600887256848</v>
      </c>
      <c r="AE22" s="41"/>
      <c r="AF22" s="41"/>
      <c r="AG22" s="45"/>
      <c r="AH22" s="43"/>
      <c r="AI22" s="43"/>
      <c r="AJ22" s="44"/>
      <c r="AK22" s="44"/>
    </row>
    <row r="23" spans="1:37" ht="37.5" customHeight="1">
      <c r="A23" s="25"/>
      <c r="B23" s="25"/>
      <c r="C23" s="26"/>
      <c r="D23" s="27"/>
      <c r="E23" s="27"/>
      <c r="F23" s="72"/>
      <c r="G23" s="72"/>
      <c r="H23" s="70"/>
      <c r="I23" s="29"/>
      <c r="J23" s="30"/>
      <c r="K23" s="31"/>
      <c r="L23" s="31"/>
      <c r="M23" s="32"/>
      <c r="N23" s="33"/>
      <c r="O23" s="32"/>
      <c r="P23" s="34"/>
      <c r="Q23" s="34"/>
      <c r="R23" s="35"/>
      <c r="S23" s="25"/>
      <c r="T23" s="35"/>
      <c r="U23" s="35"/>
      <c r="V23" s="35"/>
      <c r="W23" s="36"/>
      <c r="X23" s="71"/>
      <c r="Y23" s="35"/>
      <c r="Z23" s="38"/>
      <c r="AA23" s="39"/>
      <c r="AB23" s="39"/>
      <c r="AC23" s="39"/>
      <c r="AD23" s="40"/>
      <c r="AE23" s="41"/>
      <c r="AF23" s="41"/>
      <c r="AG23" s="45"/>
      <c r="AH23" s="43"/>
      <c r="AI23" s="43"/>
      <c r="AJ23" s="44"/>
      <c r="AK23" s="44"/>
    </row>
    <row r="24" spans="1:37" ht="37.5" customHeight="1">
      <c r="A24" s="25"/>
      <c r="B24" s="25" t="s">
        <v>103</v>
      </c>
      <c r="C24" s="26" t="s">
        <v>39</v>
      </c>
      <c r="D24" s="27">
        <v>25</v>
      </c>
      <c r="E24" s="27">
        <v>10</v>
      </c>
      <c r="F24" s="72">
        <v>25</v>
      </c>
      <c r="G24" s="72">
        <f>PRODUCT(D24*E24*F24)</f>
        <v>6250</v>
      </c>
      <c r="H24" s="70">
        <f>G24/1000000</f>
        <v>6.2500000000000003E-3</v>
      </c>
      <c r="I24" s="29">
        <f>1/H24</f>
        <v>160</v>
      </c>
      <c r="J24" s="30">
        <f>80/I24</f>
        <v>0.5</v>
      </c>
      <c r="K24" s="31">
        <f>27000/I24</f>
        <v>168.75</v>
      </c>
      <c r="L24" s="31">
        <f>(J24*$AF$4)+K24</f>
        <v>861.25</v>
      </c>
      <c r="M24" s="32">
        <f>T24/R24</f>
        <v>0.24499552050666026</v>
      </c>
      <c r="N24" s="33">
        <v>176</v>
      </c>
      <c r="O24" s="32">
        <v>0</v>
      </c>
      <c r="P24" s="34">
        <v>19</v>
      </c>
      <c r="Q24" s="34">
        <f>P24*1.15</f>
        <v>21.849999999999998</v>
      </c>
      <c r="R24" s="35">
        <f>Q24*$AE$4</f>
        <v>4204.1584999999995</v>
      </c>
      <c r="S24" s="35">
        <f>R24*O24</f>
        <v>0</v>
      </c>
      <c r="T24" s="35">
        <f>L24+K24</f>
        <v>1030</v>
      </c>
      <c r="U24" s="35">
        <f>R24+S24+T24+공용!V12+(공용!V7*2)</f>
        <v>14832.915906999999</v>
      </c>
      <c r="V24" s="35">
        <v>49800</v>
      </c>
      <c r="W24" s="36">
        <v>8.1299999999999997E-2</v>
      </c>
      <c r="X24" s="71"/>
      <c r="Y24" s="35">
        <f>2827+N24</f>
        <v>3003</v>
      </c>
      <c r="Z24" s="38">
        <f>W24+(Y24/V24)</f>
        <v>0.1416012048192771</v>
      </c>
      <c r="AA24" s="39">
        <f>V24*Z24</f>
        <v>7051.74</v>
      </c>
      <c r="AB24" s="39">
        <f>(V24)/1.1*10%-(AA24+K24+N24+U24)*10%</f>
        <v>2304.332136572727</v>
      </c>
      <c r="AC24" s="39">
        <f>V24-(U24+AA24+AB24+N24)</f>
        <v>25435.011956427272</v>
      </c>
      <c r="AD24" s="40">
        <f>AC24/V24</f>
        <v>0.51074321197645123</v>
      </c>
      <c r="AE24" s="41"/>
      <c r="AF24" s="41"/>
      <c r="AG24" s="45"/>
      <c r="AH24" s="43"/>
      <c r="AI24" s="43"/>
      <c r="AJ24" s="44"/>
      <c r="AK24" s="44"/>
    </row>
    <row r="25" spans="1:37" ht="37.5" customHeight="1">
      <c r="A25" s="25"/>
      <c r="B25" s="25"/>
      <c r="C25" s="26"/>
      <c r="D25" s="27"/>
      <c r="E25" s="27"/>
      <c r="F25" s="72"/>
      <c r="G25" s="72"/>
      <c r="H25" s="70"/>
      <c r="I25" s="29"/>
      <c r="J25" s="30"/>
      <c r="K25" s="31"/>
      <c r="L25" s="31"/>
      <c r="M25" s="32"/>
      <c r="N25" s="34"/>
      <c r="O25" s="32"/>
      <c r="P25" s="34"/>
      <c r="Q25" s="34"/>
      <c r="R25" s="35"/>
      <c r="S25" s="25"/>
      <c r="T25" s="35"/>
      <c r="U25" s="35"/>
      <c r="V25" s="35"/>
      <c r="W25" s="36"/>
      <c r="X25" s="71"/>
      <c r="Y25" s="35"/>
      <c r="Z25" s="38"/>
      <c r="AA25" s="39"/>
      <c r="AB25" s="39"/>
      <c r="AC25" s="39"/>
      <c r="AD25" s="40"/>
      <c r="AE25" s="41"/>
      <c r="AF25" s="41"/>
      <c r="AG25" s="45"/>
      <c r="AH25" s="43"/>
      <c r="AI25" s="43"/>
      <c r="AJ25" s="44"/>
      <c r="AK25" s="44"/>
    </row>
    <row r="26" spans="1:37" ht="37.5" customHeight="1">
      <c r="A26" s="25"/>
      <c r="B26" s="25"/>
      <c r="C26" s="26"/>
      <c r="D26" s="27"/>
      <c r="E26" s="27"/>
      <c r="F26" s="72"/>
      <c r="G26" s="72"/>
      <c r="H26" s="70"/>
      <c r="I26" s="29"/>
      <c r="J26" s="30"/>
      <c r="K26" s="31"/>
      <c r="L26" s="31"/>
      <c r="M26" s="32"/>
      <c r="N26" s="34"/>
      <c r="O26" s="32"/>
      <c r="P26" s="34"/>
      <c r="Q26" s="34"/>
      <c r="R26" s="35"/>
      <c r="S26" s="25"/>
      <c r="T26" s="35"/>
      <c r="U26" s="35"/>
      <c r="V26" s="35"/>
      <c r="W26" s="36"/>
      <c r="X26" s="71"/>
      <c r="Y26" s="35"/>
      <c r="Z26" s="38"/>
      <c r="AA26" s="39"/>
      <c r="AB26" s="39"/>
      <c r="AC26" s="39"/>
      <c r="AD26" s="40"/>
      <c r="AE26" s="41"/>
      <c r="AF26" s="41"/>
      <c r="AG26" s="45"/>
      <c r="AH26" s="43"/>
      <c r="AI26" s="43"/>
      <c r="AJ26" s="44"/>
      <c r="AK26" s="44"/>
    </row>
    <row r="27" spans="1:37" ht="37.5" customHeight="1">
      <c r="A27" s="25"/>
      <c r="B27" s="25"/>
      <c r="C27" s="26"/>
      <c r="D27" s="27"/>
      <c r="E27" s="27"/>
      <c r="F27" s="72"/>
      <c r="G27" s="72"/>
      <c r="H27" s="70"/>
      <c r="I27" s="29"/>
      <c r="J27" s="30"/>
      <c r="K27" s="31"/>
      <c r="L27" s="31"/>
      <c r="M27" s="32"/>
      <c r="N27" s="34"/>
      <c r="O27" s="32"/>
      <c r="P27" s="34"/>
      <c r="Q27" s="34"/>
      <c r="R27" s="35"/>
      <c r="S27" s="25"/>
      <c r="T27" s="35"/>
      <c r="U27" s="35"/>
      <c r="V27" s="35"/>
      <c r="W27" s="36"/>
      <c r="X27" s="71"/>
      <c r="Y27" s="35"/>
      <c r="Z27" s="38"/>
      <c r="AA27" s="39"/>
      <c r="AB27" s="39"/>
      <c r="AC27" s="39"/>
      <c r="AD27" s="40"/>
      <c r="AE27" s="41"/>
      <c r="AF27" s="41"/>
      <c r="AG27" s="45"/>
      <c r="AH27" s="43"/>
      <c r="AI27" s="43"/>
      <c r="AJ27" s="44"/>
      <c r="AK27" s="44"/>
    </row>
    <row r="28" spans="1:37" ht="37.5" customHeight="1">
      <c r="A28" s="25"/>
      <c r="B28" s="25"/>
      <c r="C28" s="26"/>
      <c r="D28" s="27"/>
      <c r="E28" s="27"/>
      <c r="F28" s="72"/>
      <c r="G28" s="72"/>
      <c r="H28" s="70"/>
      <c r="I28" s="29"/>
      <c r="J28" s="30"/>
      <c r="K28" s="31"/>
      <c r="L28" s="31"/>
      <c r="M28" s="32"/>
      <c r="N28" s="34"/>
      <c r="O28" s="32"/>
      <c r="P28" s="34"/>
      <c r="Q28" s="34"/>
      <c r="R28" s="35"/>
      <c r="S28" s="25"/>
      <c r="T28" s="35"/>
      <c r="U28" s="35"/>
      <c r="V28" s="35"/>
      <c r="W28" s="36"/>
      <c r="X28" s="71"/>
      <c r="Y28" s="35"/>
      <c r="Z28" s="38"/>
      <c r="AA28" s="39"/>
      <c r="AB28" s="39"/>
      <c r="AC28" s="39"/>
      <c r="AD28" s="40"/>
      <c r="AE28" s="41"/>
      <c r="AF28" s="41"/>
      <c r="AG28" s="45"/>
      <c r="AH28" s="43"/>
      <c r="AI28" s="43"/>
      <c r="AJ28" s="44"/>
      <c r="AK28" s="44"/>
    </row>
    <row r="29" spans="1:37" ht="37.5" customHeight="1">
      <c r="A29" s="25"/>
      <c r="B29" s="25"/>
      <c r="C29" s="26"/>
      <c r="D29" s="27"/>
      <c r="E29" s="27"/>
      <c r="F29" s="72"/>
      <c r="G29" s="72"/>
      <c r="H29" s="70"/>
      <c r="I29" s="29"/>
      <c r="J29" s="30"/>
      <c r="K29" s="31"/>
      <c r="L29" s="31"/>
      <c r="M29" s="32"/>
      <c r="N29" s="34"/>
      <c r="O29" s="32"/>
      <c r="P29" s="34"/>
      <c r="Q29" s="34"/>
      <c r="R29" s="35"/>
      <c r="S29" s="25"/>
      <c r="T29" s="35"/>
      <c r="U29" s="35"/>
      <c r="V29" s="35"/>
      <c r="W29" s="36"/>
      <c r="X29" s="71"/>
      <c r="Y29" s="35"/>
      <c r="Z29" s="38"/>
      <c r="AA29" s="39"/>
      <c r="AB29" s="39"/>
      <c r="AC29" s="39"/>
      <c r="AD29" s="40"/>
      <c r="AE29" s="41"/>
      <c r="AF29" s="41"/>
      <c r="AG29" s="45"/>
      <c r="AH29" s="43"/>
      <c r="AI29" s="43"/>
      <c r="AJ29" s="44"/>
      <c r="AK29" s="44"/>
    </row>
    <row r="30" spans="1:37" ht="37.5" customHeight="1">
      <c r="A30" s="25"/>
      <c r="B30" s="25"/>
      <c r="C30" s="26"/>
      <c r="D30" s="27"/>
      <c r="E30" s="27"/>
      <c r="F30" s="72"/>
      <c r="G30" s="72"/>
      <c r="H30" s="70"/>
      <c r="I30" s="29"/>
      <c r="J30" s="30"/>
      <c r="K30" s="31"/>
      <c r="L30" s="31"/>
      <c r="M30" s="32"/>
      <c r="N30" s="34"/>
      <c r="O30" s="32"/>
      <c r="P30" s="34"/>
      <c r="Q30" s="34"/>
      <c r="R30" s="35"/>
      <c r="S30" s="25"/>
      <c r="T30" s="35"/>
      <c r="U30" s="35"/>
      <c r="V30" s="35"/>
      <c r="W30" s="36"/>
      <c r="X30" s="71"/>
      <c r="Y30" s="35"/>
      <c r="Z30" s="38"/>
      <c r="AA30" s="39"/>
      <c r="AB30" s="39"/>
      <c r="AC30" s="39"/>
      <c r="AD30" s="40"/>
      <c r="AE30" s="41"/>
      <c r="AF30" s="41"/>
      <c r="AG30" s="45"/>
      <c r="AH30" s="43"/>
      <c r="AI30" s="43"/>
      <c r="AJ30" s="44"/>
      <c r="AK30" s="44"/>
    </row>
    <row r="31" spans="1:37" ht="37.5" customHeight="1">
      <c r="A31" s="52"/>
      <c r="B31" s="52"/>
      <c r="C31" s="52"/>
      <c r="D31" s="53"/>
      <c r="E31" s="53"/>
      <c r="F31" s="52"/>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row>
    <row r="32" spans="1:37" ht="37.5" customHeight="1">
      <c r="A32" s="52"/>
      <c r="B32" s="52"/>
      <c r="C32" s="52"/>
      <c r="D32" s="53"/>
      <c r="E32" s="53"/>
      <c r="F32" s="52"/>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row>
    <row r="33" spans="1:37" ht="37.5" customHeight="1">
      <c r="A33" s="52"/>
      <c r="B33" s="52"/>
      <c r="C33" s="52"/>
      <c r="D33" s="53"/>
      <c r="E33" s="53"/>
      <c r="F33" s="52"/>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37.5" customHeight="1">
      <c r="A34" s="52"/>
      <c r="B34" s="52"/>
      <c r="C34" s="52"/>
      <c r="D34" s="53"/>
      <c r="E34" s="53"/>
      <c r="F34" s="52"/>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37.5" customHeight="1">
      <c r="A35" s="52"/>
      <c r="B35" s="52"/>
      <c r="C35" s="52"/>
      <c r="D35" s="53"/>
      <c r="E35" s="53"/>
      <c r="F35" s="52"/>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37.5" customHeight="1">
      <c r="A36" s="52"/>
      <c r="B36" s="52"/>
      <c r="C36" s="52"/>
      <c r="D36" s="53"/>
      <c r="E36" s="53"/>
      <c r="F36" s="52"/>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58"/>
      <c r="AG36" s="4"/>
      <c r="AH36" s="58"/>
      <c r="AI36" s="4"/>
      <c r="AJ36" s="4"/>
      <c r="AK36" s="4"/>
    </row>
    <row r="37" spans="1:37" ht="37.5" customHeight="1">
      <c r="A37" s="52"/>
      <c r="B37" s="52"/>
      <c r="C37" s="52"/>
      <c r="D37" s="53"/>
      <c r="E37" s="53"/>
      <c r="F37" s="52"/>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58"/>
      <c r="AG37" s="4"/>
      <c r="AH37" s="58"/>
      <c r="AI37" s="4"/>
      <c r="AJ37" s="4"/>
      <c r="AK37" s="4"/>
    </row>
    <row r="38" spans="1:37" ht="37.5" customHeight="1">
      <c r="A38" s="52"/>
      <c r="B38" s="52"/>
      <c r="C38" s="52"/>
      <c r="D38" s="53"/>
      <c r="E38" s="53"/>
      <c r="F38" s="52"/>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58"/>
      <c r="AG38" s="4"/>
      <c r="AH38" s="58"/>
      <c r="AI38" s="4"/>
      <c r="AJ38" s="4"/>
      <c r="AK38" s="4"/>
    </row>
    <row r="39" spans="1:37" ht="14.25">
      <c r="A39" s="52"/>
      <c r="B39" s="52"/>
      <c r="C39" s="52"/>
      <c r="D39" s="53"/>
      <c r="E39" s="53"/>
      <c r="F39" s="52"/>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58"/>
      <c r="AG39" s="4"/>
      <c r="AH39" s="58"/>
      <c r="AI39" s="4"/>
      <c r="AJ39" s="4"/>
      <c r="AK39" s="4"/>
    </row>
    <row r="40" spans="1:37" ht="14.25">
      <c r="A40" s="52"/>
      <c r="B40" s="52"/>
      <c r="C40" s="52"/>
      <c r="D40" s="53"/>
      <c r="E40" s="53"/>
      <c r="F40" s="52"/>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58"/>
      <c r="AG40" s="4"/>
      <c r="AH40" s="58"/>
      <c r="AI40" s="4"/>
      <c r="AJ40" s="4"/>
      <c r="AK40" s="4"/>
    </row>
    <row r="41" spans="1:37" ht="14.25">
      <c r="A41" s="52"/>
      <c r="B41" s="52"/>
      <c r="C41" s="52"/>
      <c r="D41" s="53"/>
      <c r="E41" s="53"/>
      <c r="F41" s="52"/>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58"/>
      <c r="AG41" s="4"/>
      <c r="AH41" s="58"/>
      <c r="AI41" s="4"/>
      <c r="AJ41" s="4"/>
      <c r="AK41" s="4"/>
    </row>
    <row r="42" spans="1:37" ht="14.25">
      <c r="A42" s="52"/>
      <c r="B42" s="52"/>
      <c r="C42" s="52"/>
      <c r="D42" s="53"/>
      <c r="E42" s="53"/>
      <c r="F42" s="52"/>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58"/>
      <c r="AG42" s="4"/>
      <c r="AH42" s="58"/>
      <c r="AI42" s="4"/>
      <c r="AJ42" s="4"/>
      <c r="AK42" s="4"/>
    </row>
    <row r="43" spans="1:37" ht="14.25">
      <c r="A43" s="52"/>
      <c r="B43" s="52"/>
      <c r="C43" s="52"/>
      <c r="D43" s="53"/>
      <c r="E43" s="53"/>
      <c r="F43" s="52"/>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3"/>
      <c r="E44" s="53"/>
      <c r="F44" s="52"/>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3"/>
      <c r="E45" s="53"/>
      <c r="F45" s="52"/>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3"/>
      <c r="E46" s="53"/>
      <c r="F46" s="52"/>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3"/>
      <c r="E47" s="53"/>
      <c r="F47" s="52"/>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3"/>
      <c r="E48" s="53"/>
      <c r="F48" s="52"/>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3"/>
      <c r="E49" s="53"/>
      <c r="F49" s="52"/>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3"/>
      <c r="E50" s="53"/>
      <c r="F50" s="52"/>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3"/>
      <c r="E51" s="53"/>
      <c r="F51" s="52"/>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3"/>
      <c r="E52" s="53"/>
      <c r="F52" s="52"/>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3"/>
      <c r="E53" s="53"/>
      <c r="F53" s="52"/>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3"/>
      <c r="E54" s="53"/>
      <c r="F54" s="52"/>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3"/>
      <c r="E55" s="53"/>
      <c r="F55" s="52"/>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3"/>
      <c r="E56" s="53"/>
      <c r="F56" s="52"/>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3"/>
      <c r="E57" s="53"/>
      <c r="F57" s="52"/>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3"/>
      <c r="E58" s="53"/>
      <c r="F58" s="52"/>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3"/>
      <c r="E59" s="53"/>
      <c r="F59" s="52"/>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3"/>
      <c r="E60" s="53"/>
      <c r="F60" s="52"/>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3"/>
      <c r="E61" s="53"/>
      <c r="F61" s="52"/>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3"/>
      <c r="E62" s="53"/>
      <c r="F62" s="52"/>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3"/>
      <c r="E63" s="53"/>
      <c r="F63" s="52"/>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3"/>
      <c r="E64" s="53"/>
      <c r="F64" s="52"/>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3"/>
      <c r="E65" s="53"/>
      <c r="F65" s="52"/>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3"/>
      <c r="E66" s="53"/>
      <c r="F66" s="52"/>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3"/>
      <c r="E67" s="53"/>
      <c r="F67" s="52"/>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3"/>
      <c r="E68" s="53"/>
      <c r="F68" s="52"/>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3"/>
      <c r="E69" s="53"/>
      <c r="F69" s="52"/>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3"/>
      <c r="E70" s="53"/>
      <c r="F70" s="52"/>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3"/>
      <c r="E71" s="53"/>
      <c r="F71" s="52"/>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3"/>
      <c r="E72" s="53"/>
      <c r="F72" s="52"/>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3"/>
      <c r="E73" s="53"/>
      <c r="F73" s="52"/>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3"/>
      <c r="E74" s="53"/>
      <c r="F74" s="52"/>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3"/>
      <c r="E75" s="53"/>
      <c r="F75" s="52"/>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3"/>
      <c r="E76" s="53"/>
      <c r="F76" s="52"/>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3"/>
      <c r="E77" s="53"/>
      <c r="F77" s="52"/>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3"/>
      <c r="E78" s="53"/>
      <c r="F78" s="52"/>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3"/>
      <c r="E79" s="53"/>
      <c r="F79" s="52"/>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3"/>
      <c r="E80" s="53"/>
      <c r="F80" s="52"/>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3"/>
      <c r="E81" s="53"/>
      <c r="F81" s="52"/>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3"/>
      <c r="E82" s="53"/>
      <c r="F82" s="52"/>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3"/>
      <c r="E83" s="53"/>
      <c r="F83" s="52"/>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3"/>
      <c r="E84" s="53"/>
      <c r="F84" s="52"/>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3"/>
      <c r="E85" s="53"/>
      <c r="F85" s="52"/>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3"/>
      <c r="E86" s="53"/>
      <c r="F86" s="52"/>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3"/>
      <c r="E87" s="53"/>
      <c r="F87" s="52"/>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3"/>
      <c r="E88" s="53"/>
      <c r="F88" s="52"/>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3"/>
      <c r="E89" s="53"/>
      <c r="F89" s="52"/>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3"/>
      <c r="E90" s="53"/>
      <c r="F90" s="52"/>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3"/>
      <c r="E91" s="53"/>
      <c r="F91" s="52"/>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3"/>
      <c r="E92" s="53"/>
      <c r="F92" s="52"/>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3"/>
      <c r="E93" s="53"/>
      <c r="F93" s="52"/>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3"/>
      <c r="E94" s="53"/>
      <c r="F94" s="52"/>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3"/>
      <c r="E95" s="53"/>
      <c r="F95" s="52"/>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3"/>
      <c r="E96" s="53"/>
      <c r="F96" s="52"/>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3"/>
      <c r="E97" s="53"/>
      <c r="F97" s="52"/>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3"/>
      <c r="E98" s="53"/>
      <c r="F98" s="52"/>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3"/>
      <c r="E99" s="53"/>
      <c r="F99" s="52"/>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4.25">
      <c r="A100" s="52"/>
      <c r="B100" s="52"/>
      <c r="C100" s="52"/>
      <c r="D100" s="53"/>
      <c r="E100" s="53"/>
      <c r="F100" s="52"/>
      <c r="G100" s="52"/>
      <c r="H100" s="52"/>
      <c r="I100" s="52"/>
      <c r="J100" s="52"/>
      <c r="K100" s="52"/>
      <c r="L100" s="52"/>
      <c r="M100" s="52"/>
      <c r="N100" s="52"/>
      <c r="O100" s="52"/>
      <c r="P100" s="52"/>
      <c r="Q100" s="52"/>
      <c r="R100" s="52"/>
      <c r="S100" s="52"/>
      <c r="T100" s="52"/>
      <c r="U100" s="52"/>
      <c r="V100" s="52"/>
      <c r="W100" s="56"/>
      <c r="X100" s="52"/>
      <c r="Y100" s="52"/>
      <c r="Z100" s="52"/>
      <c r="AA100" s="52"/>
      <c r="AB100" s="52"/>
      <c r="AC100" s="52"/>
      <c r="AD100" s="57"/>
      <c r="AE100" s="3"/>
      <c r="AF100" s="3"/>
      <c r="AG100" s="4"/>
      <c r="AH100" s="4"/>
      <c r="AI100" s="4"/>
      <c r="AJ100" s="4"/>
      <c r="AK100" s="4"/>
    </row>
    <row r="101" spans="1:37" ht="14.25">
      <c r="A101" s="52"/>
      <c r="B101" s="52"/>
      <c r="C101" s="52"/>
      <c r="D101" s="53"/>
      <c r="E101" s="53"/>
      <c r="F101" s="52"/>
      <c r="G101" s="52"/>
      <c r="H101" s="52"/>
      <c r="I101" s="52"/>
      <c r="J101" s="52"/>
      <c r="K101" s="52"/>
      <c r="L101" s="52"/>
      <c r="M101" s="52"/>
      <c r="N101" s="52"/>
      <c r="O101" s="52"/>
      <c r="P101" s="52"/>
      <c r="Q101" s="52"/>
      <c r="R101" s="52"/>
      <c r="S101" s="52"/>
      <c r="T101" s="52"/>
      <c r="U101" s="52"/>
      <c r="V101" s="52"/>
      <c r="W101" s="56"/>
      <c r="X101" s="52"/>
      <c r="Y101" s="52"/>
      <c r="Z101" s="52"/>
      <c r="AA101" s="52"/>
      <c r="AB101" s="52"/>
      <c r="AC101" s="52"/>
      <c r="AD101" s="57"/>
      <c r="AE101" s="3"/>
      <c r="AF101" s="3"/>
      <c r="AG101" s="4"/>
      <c r="AH101" s="4"/>
      <c r="AI101" s="4"/>
      <c r="AJ101" s="4"/>
      <c r="AK101" s="4"/>
    </row>
    <row r="102" spans="1:37" ht="14.25">
      <c r="A102" s="52"/>
      <c r="B102" s="52"/>
      <c r="C102" s="52"/>
      <c r="D102" s="53"/>
      <c r="E102" s="53"/>
      <c r="F102" s="52"/>
      <c r="G102" s="52"/>
      <c r="H102" s="52"/>
      <c r="I102" s="52"/>
      <c r="J102" s="52"/>
      <c r="K102" s="52"/>
      <c r="L102" s="52"/>
      <c r="M102" s="52"/>
      <c r="N102" s="52"/>
      <c r="O102" s="52"/>
      <c r="P102" s="52"/>
      <c r="Q102" s="52"/>
      <c r="R102" s="52"/>
      <c r="S102" s="52"/>
      <c r="T102" s="52"/>
      <c r="U102" s="52"/>
      <c r="V102" s="52"/>
      <c r="W102" s="56"/>
      <c r="X102" s="52"/>
      <c r="Y102" s="52"/>
      <c r="Z102" s="52"/>
      <c r="AA102" s="52"/>
      <c r="AB102" s="52"/>
      <c r="AC102" s="52"/>
      <c r="AD102" s="57"/>
      <c r="AE102" s="3"/>
      <c r="AF102" s="3"/>
      <c r="AG102" s="4"/>
      <c r="AH102" s="4"/>
      <c r="AI102" s="4"/>
      <c r="AJ102" s="4"/>
      <c r="AK102" s="4"/>
    </row>
    <row r="103" spans="1:37" ht="14.25">
      <c r="A103" s="52"/>
      <c r="B103" s="52"/>
      <c r="C103" s="52"/>
      <c r="D103" s="53"/>
      <c r="E103" s="53"/>
      <c r="F103" s="52"/>
      <c r="G103" s="52"/>
      <c r="H103" s="52"/>
      <c r="I103" s="52"/>
      <c r="J103" s="52"/>
      <c r="K103" s="52"/>
      <c r="L103" s="52"/>
      <c r="M103" s="52"/>
      <c r="N103" s="52"/>
      <c r="O103" s="52"/>
      <c r="P103" s="52"/>
      <c r="Q103" s="52"/>
      <c r="R103" s="52"/>
      <c r="S103" s="52"/>
      <c r="T103" s="52"/>
      <c r="U103" s="52"/>
      <c r="V103" s="52"/>
      <c r="W103" s="56"/>
      <c r="X103" s="52"/>
      <c r="Y103" s="52"/>
      <c r="Z103" s="52"/>
      <c r="AA103" s="52"/>
      <c r="AB103" s="52"/>
      <c r="AC103" s="52"/>
      <c r="AD103" s="57"/>
      <c r="AE103" s="3"/>
      <c r="AF103" s="3"/>
      <c r="AG103" s="4"/>
      <c r="AH103" s="4"/>
      <c r="AI103" s="4"/>
      <c r="AJ103" s="4"/>
      <c r="AK103" s="4"/>
    </row>
    <row r="104" spans="1:37" ht="14.25">
      <c r="A104" s="52"/>
      <c r="B104" s="52"/>
      <c r="C104" s="52"/>
      <c r="D104" s="53"/>
      <c r="E104" s="53"/>
      <c r="F104" s="52"/>
      <c r="G104" s="52"/>
      <c r="H104" s="52"/>
      <c r="I104" s="52"/>
      <c r="J104" s="52"/>
      <c r="K104" s="52"/>
      <c r="L104" s="52"/>
      <c r="M104" s="52"/>
      <c r="N104" s="52"/>
      <c r="O104" s="52"/>
      <c r="P104" s="52"/>
      <c r="Q104" s="52"/>
      <c r="R104" s="52"/>
      <c r="S104" s="52"/>
      <c r="T104" s="52"/>
      <c r="U104" s="52"/>
      <c r="V104" s="52"/>
      <c r="W104" s="56"/>
      <c r="X104" s="52"/>
      <c r="Y104" s="52"/>
      <c r="Z104" s="52"/>
      <c r="AA104" s="52"/>
      <c r="AB104" s="52"/>
      <c r="AC104" s="52"/>
      <c r="AD104" s="57"/>
      <c r="AE104" s="3"/>
      <c r="AF104" s="3"/>
      <c r="AG104" s="4"/>
      <c r="AH104" s="4"/>
      <c r="AI104" s="4"/>
      <c r="AJ104" s="4"/>
      <c r="AK104" s="4"/>
    </row>
    <row r="105" spans="1:37" ht="14.25">
      <c r="A105" s="52"/>
      <c r="B105" s="52"/>
      <c r="C105" s="52"/>
      <c r="D105" s="53"/>
      <c r="E105" s="53"/>
      <c r="F105" s="52"/>
      <c r="G105" s="52"/>
      <c r="H105" s="52"/>
      <c r="I105" s="52"/>
      <c r="J105" s="52"/>
      <c r="K105" s="52"/>
      <c r="L105" s="52"/>
      <c r="M105" s="52"/>
      <c r="N105" s="52"/>
      <c r="O105" s="52"/>
      <c r="P105" s="52"/>
      <c r="Q105" s="52"/>
      <c r="R105" s="52"/>
      <c r="S105" s="52"/>
      <c r="T105" s="52"/>
      <c r="U105" s="52"/>
      <c r="V105" s="52"/>
      <c r="W105" s="56"/>
      <c r="X105" s="52"/>
      <c r="Y105" s="52"/>
      <c r="Z105" s="52"/>
      <c r="AA105" s="52"/>
      <c r="AB105" s="52"/>
      <c r="AC105" s="52"/>
      <c r="AD105" s="57"/>
      <c r="AE105" s="3"/>
      <c r="AF105" s="3"/>
      <c r="AG105" s="4"/>
      <c r="AH105" s="4"/>
      <c r="AI105" s="4"/>
      <c r="AJ105" s="4"/>
      <c r="AK105" s="4"/>
    </row>
    <row r="106" spans="1:37" ht="14.25">
      <c r="A106" s="52"/>
      <c r="B106" s="52"/>
      <c r="C106" s="52"/>
      <c r="D106" s="53"/>
      <c r="E106" s="53"/>
      <c r="F106" s="52"/>
      <c r="G106" s="52"/>
      <c r="H106" s="52"/>
      <c r="I106" s="52"/>
      <c r="J106" s="52"/>
      <c r="K106" s="52"/>
      <c r="L106" s="52"/>
      <c r="M106" s="52"/>
      <c r="N106" s="52"/>
      <c r="O106" s="52"/>
      <c r="P106" s="52"/>
      <c r="Q106" s="52"/>
      <c r="R106" s="52"/>
      <c r="S106" s="52"/>
      <c r="T106" s="52"/>
      <c r="U106" s="52"/>
      <c r="V106" s="52"/>
      <c r="W106" s="56"/>
      <c r="X106" s="52"/>
      <c r="Y106" s="52"/>
      <c r="Z106" s="52"/>
      <c r="AA106" s="52"/>
      <c r="AB106" s="52"/>
      <c r="AC106" s="52"/>
      <c r="AD106" s="57"/>
      <c r="AE106" s="3"/>
      <c r="AF106" s="3"/>
      <c r="AG106" s="4"/>
      <c r="AH106" s="4"/>
      <c r="AI106" s="4"/>
      <c r="AJ106" s="4"/>
      <c r="AK106" s="4"/>
    </row>
    <row r="107" spans="1:37" ht="12.75">
      <c r="D107" s="49"/>
      <c r="E107" s="49"/>
      <c r="W107" s="59"/>
    </row>
    <row r="108" spans="1:37" ht="12.75">
      <c r="D108" s="49"/>
      <c r="E108" s="49"/>
      <c r="W108" s="59"/>
    </row>
    <row r="109" spans="1:37" ht="12.75">
      <c r="D109" s="49"/>
      <c r="E109" s="49"/>
      <c r="W109" s="59"/>
    </row>
    <row r="110" spans="1:37" ht="12.75">
      <c r="D110" s="49"/>
      <c r="E110" s="49"/>
      <c r="W110" s="59"/>
    </row>
    <row r="111" spans="1:37" ht="12.75">
      <c r="D111" s="49"/>
      <c r="E111" s="49"/>
      <c r="W111" s="59"/>
    </row>
    <row r="112" spans="1:37" ht="12.75">
      <c r="D112" s="49"/>
      <c r="E112" s="49"/>
      <c r="W112" s="59"/>
    </row>
    <row r="113" spans="4:23" ht="12.75">
      <c r="D113" s="49"/>
      <c r="E113" s="49"/>
      <c r="W113" s="59"/>
    </row>
    <row r="114" spans="4:23" ht="12.75">
      <c r="D114" s="49"/>
      <c r="E114" s="49"/>
      <c r="W114" s="59"/>
    </row>
    <row r="115" spans="4:23" ht="12.75">
      <c r="D115" s="49"/>
      <c r="E115" s="49"/>
      <c r="W115" s="59"/>
    </row>
    <row r="116" spans="4:23" ht="12.75">
      <c r="D116" s="49"/>
      <c r="E116" s="49"/>
      <c r="W116" s="59"/>
    </row>
    <row r="117" spans="4:23" ht="12.75">
      <c r="D117" s="49"/>
      <c r="E117" s="49"/>
      <c r="W117" s="59"/>
    </row>
    <row r="118" spans="4:23" ht="12.75">
      <c r="D118" s="49"/>
      <c r="E118" s="49"/>
      <c r="W118" s="59"/>
    </row>
    <row r="119" spans="4:23" ht="12.75">
      <c r="D119" s="49"/>
      <c r="E119" s="49"/>
      <c r="W119" s="59"/>
    </row>
    <row r="120" spans="4:23" ht="12.75">
      <c r="D120" s="49"/>
      <c r="E120" s="49"/>
      <c r="W120" s="59"/>
    </row>
    <row r="121" spans="4:23" ht="12.75">
      <c r="D121" s="49"/>
      <c r="E121" s="49"/>
      <c r="W121" s="59"/>
    </row>
    <row r="122" spans="4:23" ht="12.75">
      <c r="D122" s="49"/>
      <c r="E122" s="49"/>
      <c r="W122" s="59"/>
    </row>
    <row r="123" spans="4:23" ht="12.75">
      <c r="D123" s="49"/>
      <c r="E123" s="49"/>
      <c r="W123" s="59"/>
    </row>
    <row r="124" spans="4:23" ht="12.75">
      <c r="D124" s="49"/>
      <c r="E124" s="49"/>
      <c r="W124" s="59"/>
    </row>
    <row r="125" spans="4:23" ht="12.75">
      <c r="D125" s="49"/>
      <c r="E125" s="49"/>
      <c r="W125" s="59"/>
    </row>
    <row r="126" spans="4:23" ht="12.75">
      <c r="D126" s="49"/>
      <c r="E126" s="49"/>
      <c r="W126" s="59"/>
    </row>
    <row r="127" spans="4:23" ht="12.75">
      <c r="D127" s="49"/>
      <c r="E127" s="49"/>
      <c r="W127" s="59"/>
    </row>
    <row r="128" spans="4:23" ht="12.75">
      <c r="D128" s="49"/>
      <c r="E128" s="49"/>
      <c r="W128" s="59"/>
    </row>
    <row r="129" spans="4:23" ht="12.75">
      <c r="D129" s="49"/>
      <c r="E129" s="49"/>
      <c r="W129" s="59"/>
    </row>
    <row r="130" spans="4:23" ht="12.75">
      <c r="D130" s="49"/>
      <c r="E130" s="49"/>
      <c r="W130" s="59"/>
    </row>
    <row r="131" spans="4:23" ht="12.75">
      <c r="D131" s="49"/>
      <c r="E131" s="49"/>
      <c r="W131" s="59"/>
    </row>
    <row r="132" spans="4:23" ht="12.75">
      <c r="D132" s="49"/>
      <c r="E132" s="49"/>
      <c r="W132" s="59"/>
    </row>
    <row r="133" spans="4:23" ht="12.75">
      <c r="D133" s="49"/>
      <c r="E133" s="49"/>
      <c r="W133" s="59"/>
    </row>
    <row r="134" spans="4:23" ht="12.75">
      <c r="D134" s="49"/>
      <c r="E134" s="49"/>
      <c r="W134" s="59"/>
    </row>
    <row r="135" spans="4:23" ht="12.75">
      <c r="D135" s="49"/>
      <c r="E135" s="49"/>
      <c r="W135" s="59"/>
    </row>
    <row r="136" spans="4:23" ht="12.75">
      <c r="D136" s="49"/>
      <c r="E136" s="49"/>
      <c r="W136" s="59"/>
    </row>
    <row r="137" spans="4:23" ht="12.75">
      <c r="D137" s="49"/>
      <c r="E137" s="49"/>
      <c r="W137" s="59"/>
    </row>
    <row r="138" spans="4:23" ht="12.75">
      <c r="D138" s="49"/>
      <c r="E138" s="49"/>
      <c r="W138" s="59"/>
    </row>
    <row r="139" spans="4:23" ht="12.75">
      <c r="D139" s="49"/>
      <c r="E139" s="49"/>
      <c r="W139" s="59"/>
    </row>
    <row r="140" spans="4:23" ht="12.75">
      <c r="D140" s="49"/>
      <c r="E140" s="49"/>
      <c r="W140" s="59"/>
    </row>
    <row r="141" spans="4:23" ht="12.75">
      <c r="D141" s="49"/>
      <c r="E141" s="49"/>
      <c r="W141" s="59"/>
    </row>
    <row r="142" spans="4:23" ht="12.75">
      <c r="D142" s="49"/>
      <c r="E142" s="49"/>
      <c r="W142" s="59"/>
    </row>
    <row r="143" spans="4:23" ht="12.75">
      <c r="D143" s="49"/>
      <c r="E143" s="49"/>
      <c r="W143" s="59"/>
    </row>
    <row r="144" spans="4:23" ht="12.75">
      <c r="D144" s="49"/>
      <c r="E144" s="49"/>
      <c r="W144" s="59"/>
    </row>
    <row r="145" spans="4:23" ht="12.75">
      <c r="D145" s="49"/>
      <c r="E145" s="49"/>
      <c r="W145" s="59"/>
    </row>
    <row r="146" spans="4:23" ht="12.75">
      <c r="D146" s="49"/>
      <c r="E146" s="49"/>
      <c r="W146" s="59"/>
    </row>
    <row r="147" spans="4:23" ht="12.75">
      <c r="D147" s="49"/>
      <c r="E147" s="49"/>
      <c r="W147" s="59"/>
    </row>
    <row r="148" spans="4:23" ht="12.75">
      <c r="D148" s="49"/>
      <c r="E148" s="49"/>
      <c r="W148" s="59"/>
    </row>
    <row r="149" spans="4:23" ht="12.75">
      <c r="D149" s="49"/>
      <c r="E149" s="49"/>
      <c r="W149" s="59"/>
    </row>
    <row r="150" spans="4:23" ht="12.75">
      <c r="D150" s="49"/>
      <c r="E150" s="49"/>
      <c r="W150" s="59"/>
    </row>
    <row r="151" spans="4:23" ht="12.75">
      <c r="D151" s="49"/>
      <c r="E151" s="49"/>
      <c r="W151" s="59"/>
    </row>
    <row r="152" spans="4:23" ht="12.75">
      <c r="D152" s="49"/>
      <c r="E152" s="49"/>
      <c r="W152" s="59"/>
    </row>
    <row r="153" spans="4:23" ht="12.75">
      <c r="D153" s="49"/>
      <c r="E153" s="49"/>
      <c r="W153" s="59"/>
    </row>
    <row r="154" spans="4:23" ht="12.75">
      <c r="D154" s="49"/>
      <c r="E154" s="49"/>
      <c r="W154" s="59"/>
    </row>
    <row r="155" spans="4:23" ht="12.75">
      <c r="D155" s="49"/>
      <c r="E155" s="49"/>
      <c r="W155" s="59"/>
    </row>
    <row r="156" spans="4:23" ht="12.75">
      <c r="D156" s="49"/>
      <c r="E156" s="49"/>
      <c r="W156" s="59"/>
    </row>
    <row r="157" spans="4:23" ht="12.75">
      <c r="D157" s="49"/>
      <c r="E157" s="49"/>
      <c r="W157" s="59"/>
    </row>
    <row r="158" spans="4:23" ht="12.75">
      <c r="D158" s="49"/>
      <c r="E158" s="49"/>
      <c r="W158" s="59"/>
    </row>
    <row r="159" spans="4:23" ht="12.75">
      <c r="D159" s="49"/>
      <c r="E159" s="49"/>
      <c r="W159" s="59"/>
    </row>
    <row r="160" spans="4:23" ht="12.75">
      <c r="D160" s="49"/>
      <c r="E160" s="49"/>
      <c r="W160" s="59"/>
    </row>
    <row r="161" spans="4:23" ht="12.75">
      <c r="D161" s="49"/>
      <c r="E161" s="49"/>
      <c r="W161" s="59"/>
    </row>
    <row r="162" spans="4:23" ht="12.75">
      <c r="D162" s="49"/>
      <c r="E162" s="49"/>
      <c r="W162" s="59"/>
    </row>
    <row r="163" spans="4:23" ht="12.75">
      <c r="D163" s="49"/>
      <c r="E163" s="49"/>
      <c r="W163" s="59"/>
    </row>
    <row r="164" spans="4:23" ht="12.75">
      <c r="D164" s="49"/>
      <c r="E164" s="49"/>
      <c r="W164" s="59"/>
    </row>
    <row r="165" spans="4:23" ht="12.75">
      <c r="D165" s="49"/>
      <c r="E165" s="49"/>
      <c r="W165" s="59"/>
    </row>
    <row r="166" spans="4:23" ht="12.75">
      <c r="D166" s="49"/>
      <c r="E166" s="49"/>
      <c r="W166" s="59"/>
    </row>
    <row r="167" spans="4:23" ht="12.75">
      <c r="D167" s="49"/>
      <c r="E167" s="49"/>
      <c r="W167" s="59"/>
    </row>
    <row r="168" spans="4:23" ht="12.75">
      <c r="D168" s="49"/>
      <c r="E168" s="49"/>
      <c r="W168" s="59"/>
    </row>
    <row r="169" spans="4:23" ht="12.75">
      <c r="D169" s="49"/>
      <c r="E169" s="49"/>
      <c r="W169" s="59"/>
    </row>
    <row r="170" spans="4:23" ht="12.75">
      <c r="D170" s="49"/>
      <c r="E170" s="49"/>
      <c r="W170" s="59"/>
    </row>
    <row r="171" spans="4:23" ht="12.75">
      <c r="D171" s="49"/>
      <c r="E171" s="49"/>
      <c r="W171" s="59"/>
    </row>
    <row r="172" spans="4:23" ht="12.75">
      <c r="D172" s="49"/>
      <c r="E172" s="49"/>
      <c r="W172" s="59"/>
    </row>
    <row r="173" spans="4:23" ht="12.75">
      <c r="D173" s="49"/>
      <c r="E173" s="49"/>
      <c r="W173" s="59"/>
    </row>
    <row r="174" spans="4:23" ht="12.75">
      <c r="D174" s="49"/>
      <c r="E174" s="49"/>
      <c r="W174" s="59"/>
    </row>
    <row r="175" spans="4:23" ht="12.75">
      <c r="D175" s="49"/>
      <c r="E175" s="49"/>
      <c r="W175" s="59"/>
    </row>
    <row r="176" spans="4:23" ht="12.75">
      <c r="D176" s="49"/>
      <c r="E176" s="49"/>
      <c r="W176" s="59"/>
    </row>
    <row r="177" spans="4:23" ht="12.75">
      <c r="D177" s="49"/>
      <c r="E177" s="49"/>
      <c r="W177" s="59"/>
    </row>
    <row r="178" spans="4:23" ht="12.75">
      <c r="D178" s="49"/>
      <c r="E178" s="49"/>
      <c r="W178" s="59"/>
    </row>
    <row r="179" spans="4:23" ht="12.75">
      <c r="D179" s="49"/>
      <c r="E179" s="49"/>
      <c r="W179" s="59"/>
    </row>
    <row r="180" spans="4:23" ht="12.75">
      <c r="D180" s="49"/>
      <c r="E180" s="49"/>
      <c r="W180" s="59"/>
    </row>
    <row r="181" spans="4:23" ht="12.75">
      <c r="D181" s="49"/>
      <c r="E181" s="49"/>
      <c r="W181" s="59"/>
    </row>
    <row r="182" spans="4:23" ht="12.75">
      <c r="D182" s="49"/>
      <c r="E182" s="49"/>
      <c r="W182" s="59"/>
    </row>
    <row r="183" spans="4:23" ht="12.75">
      <c r="D183" s="49"/>
      <c r="E183" s="49"/>
      <c r="W183" s="59"/>
    </row>
    <row r="184" spans="4:23" ht="12.75">
      <c r="D184" s="49"/>
      <c r="E184" s="49"/>
      <c r="W184" s="59"/>
    </row>
    <row r="185" spans="4:23" ht="12.75">
      <c r="D185" s="49"/>
      <c r="E185" s="49"/>
      <c r="W185" s="59"/>
    </row>
    <row r="186" spans="4:23" ht="12.75">
      <c r="D186" s="49"/>
      <c r="E186" s="49"/>
      <c r="W186" s="59"/>
    </row>
    <row r="187" spans="4:23" ht="12.75">
      <c r="D187" s="49"/>
      <c r="E187" s="49"/>
      <c r="W187" s="59"/>
    </row>
    <row r="188" spans="4:23" ht="12.75">
      <c r="D188" s="49"/>
      <c r="E188" s="49"/>
      <c r="W188" s="59"/>
    </row>
    <row r="189" spans="4:23" ht="12.75">
      <c r="D189" s="49"/>
      <c r="E189" s="49"/>
      <c r="W189" s="59"/>
    </row>
    <row r="190" spans="4:23" ht="12.75">
      <c r="D190" s="49"/>
      <c r="E190" s="49"/>
      <c r="W190" s="59"/>
    </row>
    <row r="191" spans="4:23" ht="12.75">
      <c r="D191" s="49"/>
      <c r="E191" s="49"/>
      <c r="W191" s="59"/>
    </row>
    <row r="192" spans="4:23" ht="12.75">
      <c r="D192" s="49"/>
      <c r="E192" s="49"/>
      <c r="W192" s="59"/>
    </row>
    <row r="193" spans="4:23" ht="12.75">
      <c r="D193" s="49"/>
      <c r="E193" s="49"/>
      <c r="W193" s="59"/>
    </row>
    <row r="194" spans="4:23" ht="12.75">
      <c r="D194" s="49"/>
      <c r="E194" s="49"/>
      <c r="W194" s="59"/>
    </row>
    <row r="195" spans="4:23" ht="12.75">
      <c r="D195" s="49"/>
      <c r="E195" s="49"/>
      <c r="W195" s="59"/>
    </row>
    <row r="196" spans="4:23" ht="12.75">
      <c r="D196" s="49"/>
      <c r="E196" s="49"/>
      <c r="W196" s="59"/>
    </row>
    <row r="197" spans="4:23" ht="12.75">
      <c r="D197" s="49"/>
      <c r="E197" s="49"/>
      <c r="W197" s="59"/>
    </row>
    <row r="198" spans="4:23" ht="12.75">
      <c r="D198" s="49"/>
      <c r="E198" s="49"/>
      <c r="W198" s="59"/>
    </row>
    <row r="199" spans="4:23" ht="12.75">
      <c r="D199" s="49"/>
      <c r="E199" s="49"/>
      <c r="W199" s="59"/>
    </row>
    <row r="200" spans="4:23" ht="12.75">
      <c r="D200" s="49"/>
      <c r="E200" s="49"/>
      <c r="W200" s="59"/>
    </row>
    <row r="201" spans="4:23" ht="12.75">
      <c r="D201" s="49"/>
      <c r="E201" s="49"/>
      <c r="W201" s="59"/>
    </row>
    <row r="202" spans="4:23" ht="12.75">
      <c r="D202" s="49"/>
      <c r="E202" s="49"/>
      <c r="W202" s="59"/>
    </row>
    <row r="203" spans="4:23" ht="12.75">
      <c r="D203" s="49"/>
      <c r="E203" s="49"/>
      <c r="W203" s="59"/>
    </row>
    <row r="204" spans="4:23" ht="12.75">
      <c r="D204" s="49"/>
      <c r="E204" s="49"/>
      <c r="W204" s="59"/>
    </row>
    <row r="205" spans="4:23" ht="12.75">
      <c r="D205" s="49"/>
      <c r="E205" s="49"/>
      <c r="W205" s="59"/>
    </row>
    <row r="206" spans="4:23" ht="12.75">
      <c r="D206" s="49"/>
      <c r="E206" s="49"/>
      <c r="W206" s="59"/>
    </row>
    <row r="207" spans="4:23" ht="12.75">
      <c r="D207" s="49"/>
      <c r="E207" s="49"/>
      <c r="W207" s="59"/>
    </row>
    <row r="208" spans="4:23" ht="12.75">
      <c r="D208" s="49"/>
      <c r="E208" s="49"/>
      <c r="W208" s="59"/>
    </row>
    <row r="209" spans="4:23" ht="12.75">
      <c r="D209" s="49"/>
      <c r="E209" s="49"/>
      <c r="W209" s="59"/>
    </row>
    <row r="210" spans="4:23" ht="12.75">
      <c r="D210" s="49"/>
      <c r="E210" s="49"/>
      <c r="W210" s="59"/>
    </row>
    <row r="211" spans="4:23" ht="12.75">
      <c r="D211" s="49"/>
      <c r="E211" s="49"/>
      <c r="W211" s="59"/>
    </row>
    <row r="212" spans="4:23" ht="12.75">
      <c r="D212" s="49"/>
      <c r="E212" s="49"/>
      <c r="W212" s="59"/>
    </row>
    <row r="213" spans="4:23" ht="12.75">
      <c r="D213" s="49"/>
      <c r="E213" s="49"/>
      <c r="W213" s="59"/>
    </row>
    <row r="214" spans="4:23" ht="12.75">
      <c r="D214" s="49"/>
      <c r="E214" s="49"/>
      <c r="W214" s="59"/>
    </row>
    <row r="215" spans="4:23" ht="12.75">
      <c r="D215" s="49"/>
      <c r="E215" s="49"/>
      <c r="W215" s="59"/>
    </row>
    <row r="216" spans="4:23" ht="12.75">
      <c r="D216" s="49"/>
      <c r="E216" s="49"/>
      <c r="W216" s="59"/>
    </row>
    <row r="217" spans="4:23" ht="12.75">
      <c r="D217" s="49"/>
      <c r="E217" s="49"/>
      <c r="W217" s="59"/>
    </row>
    <row r="218" spans="4:23" ht="12.75">
      <c r="D218" s="49"/>
      <c r="E218" s="49"/>
      <c r="W218" s="59"/>
    </row>
    <row r="219" spans="4:23" ht="12.75">
      <c r="D219" s="49"/>
      <c r="E219" s="49"/>
      <c r="W219" s="59"/>
    </row>
    <row r="220" spans="4:23" ht="12.75">
      <c r="D220" s="49"/>
      <c r="E220" s="49"/>
      <c r="W220" s="59"/>
    </row>
    <row r="221" spans="4:23" ht="12.75">
      <c r="D221" s="49"/>
      <c r="E221" s="49"/>
      <c r="W221" s="59"/>
    </row>
    <row r="222" spans="4:23" ht="12.75">
      <c r="D222" s="49"/>
      <c r="E222" s="49"/>
      <c r="W222" s="59"/>
    </row>
    <row r="223" spans="4:23" ht="12.75">
      <c r="D223" s="49"/>
      <c r="E223" s="49"/>
      <c r="W223" s="59"/>
    </row>
    <row r="224" spans="4:23" ht="12.75">
      <c r="D224" s="49"/>
      <c r="E224" s="49"/>
      <c r="W224" s="59"/>
    </row>
    <row r="225" spans="4:23" ht="12.75">
      <c r="D225" s="49"/>
      <c r="E225" s="49"/>
      <c r="W225" s="59"/>
    </row>
    <row r="226" spans="4:23" ht="12.75">
      <c r="D226" s="49"/>
      <c r="E226" s="49"/>
      <c r="W226" s="59"/>
    </row>
    <row r="227" spans="4:23" ht="12.75">
      <c r="D227" s="49"/>
      <c r="E227" s="49"/>
      <c r="W227" s="59"/>
    </row>
    <row r="228" spans="4:23" ht="12.75">
      <c r="D228" s="49"/>
      <c r="E228" s="49"/>
      <c r="W228" s="59"/>
    </row>
    <row r="229" spans="4:23" ht="12.75">
      <c r="D229" s="49"/>
      <c r="E229" s="49"/>
      <c r="W229" s="59"/>
    </row>
    <row r="230" spans="4:23" ht="12.75">
      <c r="D230" s="49"/>
      <c r="E230" s="49"/>
      <c r="W230" s="59"/>
    </row>
    <row r="231" spans="4:23" ht="12.75">
      <c r="D231" s="49"/>
      <c r="E231" s="49"/>
      <c r="W231" s="59"/>
    </row>
    <row r="232" spans="4:23" ht="12.75">
      <c r="D232" s="49"/>
      <c r="E232" s="49"/>
      <c r="W232" s="59"/>
    </row>
    <row r="233" spans="4:23" ht="12.75">
      <c r="D233" s="49"/>
      <c r="E233" s="49"/>
      <c r="W233" s="59"/>
    </row>
    <row r="234" spans="4:23" ht="12.75">
      <c r="D234" s="49"/>
      <c r="E234" s="49"/>
      <c r="W234" s="59"/>
    </row>
    <row r="235" spans="4:23" ht="12.75">
      <c r="D235" s="49"/>
      <c r="E235" s="49"/>
      <c r="W235" s="59"/>
    </row>
    <row r="236" spans="4:23" ht="12.75">
      <c r="D236" s="49"/>
      <c r="E236" s="49"/>
      <c r="W236" s="59"/>
    </row>
    <row r="237" spans="4:23" ht="12.75">
      <c r="D237" s="49"/>
      <c r="E237" s="49"/>
      <c r="W237" s="59"/>
    </row>
    <row r="238" spans="4:23" ht="12.75">
      <c r="D238" s="49"/>
      <c r="E238" s="49"/>
      <c r="W238" s="59"/>
    </row>
    <row r="239" spans="4:23" ht="12.75">
      <c r="D239" s="49"/>
      <c r="E239" s="49"/>
      <c r="W239" s="59"/>
    </row>
    <row r="240" spans="4:23" ht="12.75">
      <c r="D240" s="49"/>
      <c r="E240" s="49"/>
      <c r="W240" s="59"/>
    </row>
    <row r="241" spans="4:23" ht="12.75">
      <c r="D241" s="49"/>
      <c r="E241" s="49"/>
      <c r="W241" s="59"/>
    </row>
    <row r="242" spans="4:23" ht="12.75">
      <c r="D242" s="49"/>
      <c r="E242" s="49"/>
      <c r="W242" s="59"/>
    </row>
    <row r="243" spans="4:23" ht="12.75">
      <c r="D243" s="49"/>
      <c r="E243" s="49"/>
      <c r="W243" s="59"/>
    </row>
    <row r="244" spans="4:23" ht="12.75">
      <c r="D244" s="49"/>
      <c r="E244" s="49"/>
      <c r="W244" s="59"/>
    </row>
    <row r="245" spans="4:23" ht="12.75">
      <c r="D245" s="49"/>
      <c r="E245" s="49"/>
      <c r="W245" s="59"/>
    </row>
    <row r="246" spans="4:23" ht="12.75">
      <c r="D246" s="49"/>
      <c r="E246" s="49"/>
      <c r="W246" s="59"/>
    </row>
    <row r="247" spans="4:23" ht="12.75">
      <c r="D247" s="49"/>
      <c r="E247" s="49"/>
      <c r="W247" s="59"/>
    </row>
    <row r="248" spans="4:23" ht="12.75">
      <c r="D248" s="49"/>
      <c r="E248" s="49"/>
      <c r="W248" s="59"/>
    </row>
    <row r="249" spans="4:23" ht="12.75">
      <c r="D249" s="49"/>
      <c r="E249" s="49"/>
      <c r="W249" s="59"/>
    </row>
    <row r="250" spans="4:23" ht="12.75">
      <c r="D250" s="49"/>
      <c r="E250" s="49"/>
      <c r="W250" s="59"/>
    </row>
    <row r="251" spans="4:23" ht="12.75">
      <c r="D251" s="49"/>
      <c r="E251" s="49"/>
      <c r="W251" s="59"/>
    </row>
    <row r="252" spans="4:23" ht="12.75">
      <c r="D252" s="49"/>
      <c r="E252" s="49"/>
      <c r="W252" s="59"/>
    </row>
    <row r="253" spans="4:23" ht="12.75">
      <c r="D253" s="49"/>
      <c r="E253" s="49"/>
      <c r="W253" s="59"/>
    </row>
    <row r="254" spans="4:23" ht="12.75">
      <c r="D254" s="49"/>
      <c r="E254" s="49"/>
      <c r="W254" s="59"/>
    </row>
    <row r="255" spans="4:23" ht="12.75">
      <c r="D255" s="49"/>
      <c r="E255" s="49"/>
      <c r="W255" s="59"/>
    </row>
    <row r="256" spans="4:23" ht="12.75">
      <c r="D256" s="49"/>
      <c r="E256" s="49"/>
      <c r="W256" s="59"/>
    </row>
    <row r="257" spans="4:23" ht="12.75">
      <c r="D257" s="49"/>
      <c r="E257" s="49"/>
      <c r="W257" s="59"/>
    </row>
    <row r="258" spans="4:23" ht="12.75">
      <c r="D258" s="49"/>
      <c r="E258" s="49"/>
      <c r="W258" s="59"/>
    </row>
    <row r="259" spans="4:23" ht="12.75">
      <c r="D259" s="49"/>
      <c r="E259" s="49"/>
      <c r="W259" s="59"/>
    </row>
    <row r="260" spans="4:23" ht="12.75">
      <c r="D260" s="49"/>
      <c r="E260" s="49"/>
      <c r="W260" s="59"/>
    </row>
    <row r="261" spans="4:23" ht="12.75">
      <c r="D261" s="49"/>
      <c r="E261" s="49"/>
      <c r="W261" s="59"/>
    </row>
    <row r="262" spans="4:23" ht="12.75">
      <c r="D262" s="49"/>
      <c r="E262" s="49"/>
      <c r="W262" s="59"/>
    </row>
    <row r="263" spans="4:23" ht="12.75">
      <c r="D263" s="49"/>
      <c r="E263" s="49"/>
      <c r="W263" s="59"/>
    </row>
    <row r="264" spans="4:23" ht="12.75">
      <c r="D264" s="49"/>
      <c r="E264" s="49"/>
      <c r="W264" s="59"/>
    </row>
    <row r="265" spans="4:23" ht="12.75">
      <c r="D265" s="49"/>
      <c r="E265" s="49"/>
      <c r="W265" s="59"/>
    </row>
    <row r="266" spans="4:23" ht="12.75">
      <c r="D266" s="49"/>
      <c r="E266" s="49"/>
      <c r="W266" s="59"/>
    </row>
    <row r="267" spans="4:23" ht="12.75">
      <c r="D267" s="49"/>
      <c r="E267" s="49"/>
      <c r="W267" s="59"/>
    </row>
    <row r="268" spans="4:23" ht="12.75">
      <c r="D268" s="49"/>
      <c r="E268" s="49"/>
      <c r="W268" s="59"/>
    </row>
    <row r="269" spans="4:23" ht="12.75">
      <c r="D269" s="49"/>
      <c r="E269" s="49"/>
      <c r="W269" s="59"/>
    </row>
    <row r="270" spans="4:23" ht="12.75">
      <c r="D270" s="49"/>
      <c r="E270" s="49"/>
      <c r="W270" s="59"/>
    </row>
    <row r="271" spans="4:23" ht="12.75">
      <c r="D271" s="49"/>
      <c r="E271" s="49"/>
      <c r="W271" s="59"/>
    </row>
    <row r="272" spans="4:23" ht="12.75">
      <c r="D272" s="49"/>
      <c r="E272" s="49"/>
      <c r="W272" s="59"/>
    </row>
    <row r="273" spans="4:23" ht="12.75">
      <c r="D273" s="49"/>
      <c r="E273" s="49"/>
      <c r="W273" s="59"/>
    </row>
    <row r="274" spans="4:23" ht="12.75">
      <c r="D274" s="49"/>
      <c r="E274" s="49"/>
      <c r="W274" s="59"/>
    </row>
    <row r="275" spans="4:23" ht="12.75">
      <c r="D275" s="49"/>
      <c r="E275" s="49"/>
      <c r="W275" s="59"/>
    </row>
    <row r="276" spans="4:23" ht="12.75">
      <c r="D276" s="49"/>
      <c r="E276" s="49"/>
      <c r="W276" s="59"/>
    </row>
    <row r="277" spans="4:23" ht="12.75">
      <c r="D277" s="49"/>
      <c r="E277" s="49"/>
      <c r="W277" s="59"/>
    </row>
    <row r="278" spans="4:23" ht="12.75">
      <c r="D278" s="49"/>
      <c r="E278" s="49"/>
      <c r="W278" s="59"/>
    </row>
    <row r="279" spans="4:23" ht="12.75">
      <c r="D279" s="49"/>
      <c r="E279" s="49"/>
      <c r="W279" s="59"/>
    </row>
    <row r="280" spans="4:23" ht="12.75">
      <c r="D280" s="49"/>
      <c r="E280" s="49"/>
      <c r="W280" s="59"/>
    </row>
    <row r="281" spans="4:23" ht="12.75">
      <c r="D281" s="49"/>
      <c r="E281" s="49"/>
      <c r="W281" s="59"/>
    </row>
    <row r="282" spans="4:23" ht="12.75">
      <c r="D282" s="49"/>
      <c r="E282" s="49"/>
      <c r="W282" s="59"/>
    </row>
    <row r="283" spans="4:23" ht="12.75">
      <c r="D283" s="49"/>
      <c r="E283" s="49"/>
      <c r="W283" s="59"/>
    </row>
    <row r="284" spans="4:23" ht="12.75">
      <c r="D284" s="49"/>
      <c r="E284" s="49"/>
      <c r="W284" s="59"/>
    </row>
    <row r="285" spans="4:23" ht="12.75">
      <c r="D285" s="49"/>
      <c r="E285" s="49"/>
      <c r="W285" s="59"/>
    </row>
    <row r="286" spans="4:23" ht="12.75">
      <c r="D286" s="49"/>
      <c r="E286" s="49"/>
      <c r="W286" s="59"/>
    </row>
    <row r="287" spans="4:23" ht="12.75">
      <c r="D287" s="49"/>
      <c r="E287" s="49"/>
      <c r="W287" s="59"/>
    </row>
    <row r="288" spans="4:23" ht="12.75">
      <c r="D288" s="49"/>
      <c r="E288" s="49"/>
      <c r="W288" s="59"/>
    </row>
    <row r="289" spans="4:23" ht="12.75">
      <c r="D289" s="49"/>
      <c r="E289" s="49"/>
      <c r="W289" s="59"/>
    </row>
    <row r="290" spans="4:23" ht="12.75">
      <c r="D290" s="49"/>
      <c r="E290" s="49"/>
      <c r="W290" s="59"/>
    </row>
    <row r="291" spans="4:23" ht="12.75">
      <c r="D291" s="49"/>
      <c r="E291" s="49"/>
      <c r="W291" s="59"/>
    </row>
    <row r="292" spans="4:23" ht="12.75">
      <c r="D292" s="49"/>
      <c r="E292" s="49"/>
      <c r="W292" s="59"/>
    </row>
    <row r="293" spans="4:23" ht="12.75">
      <c r="D293" s="49"/>
      <c r="E293" s="49"/>
      <c r="W293" s="59"/>
    </row>
    <row r="294" spans="4:23" ht="12.75">
      <c r="D294" s="49"/>
      <c r="E294" s="49"/>
      <c r="W294" s="59"/>
    </row>
    <row r="295" spans="4:23" ht="12.75">
      <c r="D295" s="49"/>
      <c r="E295" s="49"/>
      <c r="W295" s="59"/>
    </row>
    <row r="296" spans="4:23" ht="12.75">
      <c r="D296" s="49"/>
      <c r="E296" s="49"/>
      <c r="W296" s="59"/>
    </row>
    <row r="297" spans="4:23" ht="12.75">
      <c r="D297" s="49"/>
      <c r="E297" s="49"/>
      <c r="W297" s="59"/>
    </row>
    <row r="298" spans="4:23" ht="12.75">
      <c r="D298" s="49"/>
      <c r="E298" s="49"/>
      <c r="W298" s="59"/>
    </row>
    <row r="299" spans="4:23" ht="12.75">
      <c r="D299" s="49"/>
      <c r="E299" s="49"/>
      <c r="W299" s="59"/>
    </row>
    <row r="300" spans="4:23" ht="12.75">
      <c r="D300" s="49"/>
      <c r="E300" s="49"/>
      <c r="W300" s="59"/>
    </row>
    <row r="301" spans="4:23" ht="12.75">
      <c r="D301" s="49"/>
      <c r="E301" s="49"/>
      <c r="W301" s="59"/>
    </row>
    <row r="302" spans="4:23" ht="12.75">
      <c r="D302" s="49"/>
      <c r="E302" s="49"/>
      <c r="W302" s="59"/>
    </row>
    <row r="303" spans="4:23" ht="12.75">
      <c r="D303" s="49"/>
      <c r="E303" s="49"/>
      <c r="W303" s="59"/>
    </row>
    <row r="304" spans="4:23" ht="12.75">
      <c r="D304" s="49"/>
      <c r="E304" s="49"/>
      <c r="W304" s="59"/>
    </row>
    <row r="305" spans="4:23" ht="12.75">
      <c r="D305" s="49"/>
      <c r="E305" s="49"/>
      <c r="W305" s="59"/>
    </row>
    <row r="306" spans="4:23" ht="12.75">
      <c r="D306" s="49"/>
      <c r="E306" s="49"/>
      <c r="W306" s="59"/>
    </row>
    <row r="307" spans="4:23" ht="12.75">
      <c r="D307" s="49"/>
      <c r="E307" s="49"/>
      <c r="W307" s="59"/>
    </row>
    <row r="308" spans="4:23" ht="12.75">
      <c r="D308" s="49"/>
      <c r="E308" s="49"/>
      <c r="W308" s="59"/>
    </row>
    <row r="309" spans="4:23" ht="12.75">
      <c r="D309" s="49"/>
      <c r="E309" s="49"/>
      <c r="W309" s="59"/>
    </row>
    <row r="310" spans="4:23" ht="12.75">
      <c r="D310" s="49"/>
      <c r="E310" s="49"/>
      <c r="W310" s="59"/>
    </row>
    <row r="311" spans="4:23" ht="12.75">
      <c r="D311" s="49"/>
      <c r="E311" s="49"/>
      <c r="W311" s="59"/>
    </row>
    <row r="312" spans="4:23" ht="12.75">
      <c r="D312" s="49"/>
      <c r="E312" s="49"/>
      <c r="W312" s="59"/>
    </row>
    <row r="313" spans="4:23" ht="12.75">
      <c r="D313" s="49"/>
      <c r="E313" s="49"/>
      <c r="W313" s="59"/>
    </row>
    <row r="314" spans="4:23" ht="12.75">
      <c r="D314" s="49"/>
      <c r="E314" s="49"/>
      <c r="W314" s="59"/>
    </row>
    <row r="315" spans="4:23" ht="12.75">
      <c r="D315" s="49"/>
      <c r="E315" s="49"/>
      <c r="W315" s="59"/>
    </row>
    <row r="316" spans="4:23" ht="12.75">
      <c r="D316" s="49"/>
      <c r="E316" s="49"/>
      <c r="W316" s="59"/>
    </row>
    <row r="317" spans="4:23" ht="12.75">
      <c r="D317" s="49"/>
      <c r="E317" s="49"/>
      <c r="W317" s="59"/>
    </row>
    <row r="318" spans="4:23" ht="12.75">
      <c r="D318" s="49"/>
      <c r="E318" s="49"/>
      <c r="W318" s="59"/>
    </row>
    <row r="319" spans="4:23" ht="12.75">
      <c r="D319" s="49"/>
      <c r="E319" s="49"/>
      <c r="W319" s="59"/>
    </row>
    <row r="320" spans="4:23" ht="12.75">
      <c r="D320" s="49"/>
      <c r="E320" s="49"/>
      <c r="W320" s="59"/>
    </row>
    <row r="321" spans="4:23" ht="12.75">
      <c r="D321" s="49"/>
      <c r="E321" s="49"/>
      <c r="W321" s="59"/>
    </row>
    <row r="322" spans="4:23" ht="12.75">
      <c r="D322" s="49"/>
      <c r="E322" s="49"/>
      <c r="W322" s="59"/>
    </row>
    <row r="323" spans="4:23" ht="12.75">
      <c r="D323" s="49"/>
      <c r="E323" s="49"/>
      <c r="W323" s="59"/>
    </row>
    <row r="324" spans="4:23" ht="12.75">
      <c r="D324" s="49"/>
      <c r="E324" s="49"/>
      <c r="W324" s="59"/>
    </row>
    <row r="325" spans="4:23" ht="12.75">
      <c r="D325" s="49"/>
      <c r="E325" s="49"/>
      <c r="W325" s="59"/>
    </row>
    <row r="326" spans="4:23" ht="12.75">
      <c r="D326" s="49"/>
      <c r="E326" s="49"/>
      <c r="W326" s="59"/>
    </row>
    <row r="327" spans="4:23" ht="12.75">
      <c r="D327" s="49"/>
      <c r="E327" s="49"/>
      <c r="W327" s="59"/>
    </row>
    <row r="328" spans="4:23" ht="12.75">
      <c r="D328" s="49"/>
      <c r="E328" s="49"/>
      <c r="W328" s="59"/>
    </row>
    <row r="329" spans="4:23" ht="12.75">
      <c r="D329" s="49"/>
      <c r="E329" s="49"/>
      <c r="W329" s="59"/>
    </row>
    <row r="330" spans="4:23" ht="12.75">
      <c r="D330" s="49"/>
      <c r="E330" s="49"/>
      <c r="W330" s="59"/>
    </row>
    <row r="331" spans="4:23" ht="12.75">
      <c r="D331" s="49"/>
      <c r="E331" s="49"/>
      <c r="W331" s="59"/>
    </row>
    <row r="332" spans="4:23" ht="12.75">
      <c r="D332" s="49"/>
      <c r="E332" s="49"/>
      <c r="W332" s="59"/>
    </row>
    <row r="333" spans="4:23" ht="12.75">
      <c r="D333" s="49"/>
      <c r="E333" s="49"/>
      <c r="W333" s="59"/>
    </row>
    <row r="334" spans="4:23" ht="12.75">
      <c r="D334" s="49"/>
      <c r="E334" s="49"/>
      <c r="W334" s="59"/>
    </row>
    <row r="335" spans="4:23" ht="12.75">
      <c r="D335" s="49"/>
      <c r="E335" s="49"/>
      <c r="W335" s="59"/>
    </row>
    <row r="336" spans="4:23" ht="12.75">
      <c r="D336" s="49"/>
      <c r="E336" s="49"/>
      <c r="W336" s="59"/>
    </row>
    <row r="337" spans="4:23" ht="12.75">
      <c r="D337" s="49"/>
      <c r="E337" s="49"/>
      <c r="W337" s="59"/>
    </row>
    <row r="338" spans="4:23" ht="12.75">
      <c r="D338" s="49"/>
      <c r="E338" s="49"/>
      <c r="W338" s="59"/>
    </row>
    <row r="339" spans="4:23" ht="12.75">
      <c r="D339" s="49"/>
      <c r="E339" s="49"/>
      <c r="W339" s="59"/>
    </row>
    <row r="340" spans="4:23" ht="12.75">
      <c r="D340" s="49"/>
      <c r="E340" s="49"/>
      <c r="W340" s="59"/>
    </row>
    <row r="341" spans="4:23" ht="12.75">
      <c r="D341" s="49"/>
      <c r="E341" s="49"/>
      <c r="W341" s="59"/>
    </row>
    <row r="342" spans="4:23" ht="12.75">
      <c r="D342" s="49"/>
      <c r="E342" s="49"/>
      <c r="W342" s="59"/>
    </row>
    <row r="343" spans="4:23" ht="12.75">
      <c r="D343" s="49"/>
      <c r="E343" s="49"/>
      <c r="W343" s="59"/>
    </row>
    <row r="344" spans="4:23" ht="12.75">
      <c r="D344" s="49"/>
      <c r="E344" s="49"/>
      <c r="W344" s="59"/>
    </row>
    <row r="345" spans="4:23" ht="12.75">
      <c r="D345" s="49"/>
      <c r="E345" s="49"/>
      <c r="W345" s="59"/>
    </row>
    <row r="346" spans="4:23" ht="12.75">
      <c r="D346" s="49"/>
      <c r="E346" s="49"/>
      <c r="W346" s="59"/>
    </row>
    <row r="347" spans="4:23" ht="12.75">
      <c r="D347" s="49"/>
      <c r="E347" s="49"/>
      <c r="W347" s="59"/>
    </row>
    <row r="348" spans="4:23" ht="12.75">
      <c r="D348" s="49"/>
      <c r="E348" s="49"/>
      <c r="W348" s="59"/>
    </row>
    <row r="349" spans="4:23" ht="12.75">
      <c r="D349" s="49"/>
      <c r="E349" s="49"/>
      <c r="W349" s="59"/>
    </row>
    <row r="350" spans="4:23" ht="12.75">
      <c r="D350" s="49"/>
      <c r="E350" s="49"/>
      <c r="W350" s="59"/>
    </row>
    <row r="351" spans="4:23" ht="12.75">
      <c r="D351" s="49"/>
      <c r="E351" s="49"/>
      <c r="W351" s="59"/>
    </row>
    <row r="352" spans="4:23" ht="12.75">
      <c r="D352" s="49"/>
      <c r="E352" s="49"/>
      <c r="W352" s="59"/>
    </row>
    <row r="353" spans="4:23" ht="12.75">
      <c r="D353" s="49"/>
      <c r="E353" s="49"/>
      <c r="W353" s="59"/>
    </row>
    <row r="354" spans="4:23" ht="12.75">
      <c r="D354" s="49"/>
      <c r="E354" s="49"/>
      <c r="W354" s="59"/>
    </row>
    <row r="355" spans="4:23" ht="12.75">
      <c r="D355" s="49"/>
      <c r="E355" s="49"/>
      <c r="W355" s="59"/>
    </row>
    <row r="356" spans="4:23" ht="12.75">
      <c r="D356" s="49"/>
      <c r="E356" s="49"/>
      <c r="W356" s="59"/>
    </row>
    <row r="357" spans="4:23" ht="12.75">
      <c r="D357" s="49"/>
      <c r="E357" s="49"/>
      <c r="W357" s="59"/>
    </row>
    <row r="358" spans="4:23" ht="12.75">
      <c r="D358" s="49"/>
      <c r="E358" s="49"/>
      <c r="W358" s="59"/>
    </row>
    <row r="359" spans="4:23" ht="12.75">
      <c r="D359" s="49"/>
      <c r="E359" s="49"/>
      <c r="W359" s="59"/>
    </row>
    <row r="360" spans="4:23" ht="12.75">
      <c r="D360" s="49"/>
      <c r="E360" s="49"/>
      <c r="W360" s="59"/>
    </row>
    <row r="361" spans="4:23" ht="12.75">
      <c r="D361" s="49"/>
      <c r="E361" s="49"/>
      <c r="W361" s="59"/>
    </row>
    <row r="362" spans="4:23" ht="12.75">
      <c r="D362" s="49"/>
      <c r="E362" s="49"/>
      <c r="W362" s="59"/>
    </row>
    <row r="363" spans="4:23" ht="12.75">
      <c r="D363" s="49"/>
      <c r="E363" s="49"/>
      <c r="W363" s="59"/>
    </row>
    <row r="364" spans="4:23" ht="12.75">
      <c r="D364" s="49"/>
      <c r="E364" s="49"/>
      <c r="W364" s="59"/>
    </row>
    <row r="365" spans="4:23" ht="12.75">
      <c r="D365" s="49"/>
      <c r="E365" s="49"/>
      <c r="W365" s="59"/>
    </row>
    <row r="366" spans="4:23" ht="12.75">
      <c r="D366" s="49"/>
      <c r="E366" s="49"/>
      <c r="W366" s="59"/>
    </row>
    <row r="367" spans="4:23" ht="12.75">
      <c r="D367" s="49"/>
      <c r="E367" s="49"/>
      <c r="W367" s="59"/>
    </row>
    <row r="368" spans="4:23" ht="12.75">
      <c r="D368" s="49"/>
      <c r="E368" s="49"/>
      <c r="W368" s="59"/>
    </row>
    <row r="369" spans="4:23" ht="12.75">
      <c r="D369" s="49"/>
      <c r="E369" s="49"/>
      <c r="W369" s="59"/>
    </row>
    <row r="370" spans="4:23" ht="12.75">
      <c r="D370" s="49"/>
      <c r="E370" s="49"/>
      <c r="W370" s="59"/>
    </row>
    <row r="371" spans="4:23" ht="12.75">
      <c r="D371" s="49"/>
      <c r="E371" s="49"/>
      <c r="W371" s="59"/>
    </row>
    <row r="372" spans="4:23" ht="12.75">
      <c r="D372" s="49"/>
      <c r="E372" s="49"/>
      <c r="W372" s="59"/>
    </row>
    <row r="373" spans="4:23" ht="12.75">
      <c r="D373" s="49"/>
      <c r="E373" s="49"/>
      <c r="W373" s="59"/>
    </row>
    <row r="374" spans="4:23" ht="12.75">
      <c r="D374" s="49"/>
      <c r="E374" s="49"/>
      <c r="W374" s="59"/>
    </row>
    <row r="375" spans="4:23" ht="12.75">
      <c r="D375" s="49"/>
      <c r="E375" s="49"/>
      <c r="W375" s="59"/>
    </row>
    <row r="376" spans="4:23" ht="12.75">
      <c r="D376" s="49"/>
      <c r="E376" s="49"/>
      <c r="W376" s="59"/>
    </row>
    <row r="377" spans="4:23" ht="12.75">
      <c r="D377" s="49"/>
      <c r="E377" s="49"/>
      <c r="W377" s="59"/>
    </row>
    <row r="378" spans="4:23" ht="12.75">
      <c r="D378" s="49"/>
      <c r="E378" s="49"/>
      <c r="W378" s="59"/>
    </row>
    <row r="379" spans="4:23" ht="12.75">
      <c r="D379" s="49"/>
      <c r="E379" s="49"/>
      <c r="W379" s="59"/>
    </row>
    <row r="380" spans="4:23" ht="12.75">
      <c r="D380" s="49"/>
      <c r="E380" s="49"/>
      <c r="W380" s="59"/>
    </row>
    <row r="381" spans="4:23" ht="12.75">
      <c r="D381" s="49"/>
      <c r="E381" s="49"/>
      <c r="W381" s="59"/>
    </row>
    <row r="382" spans="4:23" ht="12.75">
      <c r="D382" s="49"/>
      <c r="E382" s="49"/>
      <c r="W382" s="59"/>
    </row>
    <row r="383" spans="4:23" ht="12.75">
      <c r="D383" s="49"/>
      <c r="E383" s="49"/>
      <c r="W383" s="59"/>
    </row>
    <row r="384" spans="4:23" ht="12.75">
      <c r="D384" s="49"/>
      <c r="E384" s="49"/>
      <c r="W384" s="59"/>
    </row>
    <row r="385" spans="4:23" ht="12.75">
      <c r="D385" s="49"/>
      <c r="E385" s="49"/>
      <c r="W385" s="59"/>
    </row>
    <row r="386" spans="4:23" ht="12.75">
      <c r="D386" s="49"/>
      <c r="E386" s="49"/>
      <c r="W386" s="59"/>
    </row>
    <row r="387" spans="4:23" ht="12.75">
      <c r="D387" s="49"/>
      <c r="E387" s="49"/>
      <c r="W387" s="59"/>
    </row>
    <row r="388" spans="4:23" ht="12.75">
      <c r="D388" s="49"/>
      <c r="E388" s="49"/>
      <c r="W388" s="59"/>
    </row>
    <row r="389" spans="4:23" ht="12.75">
      <c r="D389" s="49"/>
      <c r="E389" s="49"/>
      <c r="W389" s="59"/>
    </row>
    <row r="390" spans="4:23" ht="12.75">
      <c r="D390" s="49"/>
      <c r="E390" s="49"/>
      <c r="W390" s="59"/>
    </row>
    <row r="391" spans="4:23" ht="12.75">
      <c r="D391" s="49"/>
      <c r="E391" s="49"/>
      <c r="W391" s="59"/>
    </row>
    <row r="392" spans="4:23" ht="12.75">
      <c r="D392" s="49"/>
      <c r="E392" s="49"/>
      <c r="W392" s="59"/>
    </row>
    <row r="393" spans="4:23" ht="12.75">
      <c r="D393" s="49"/>
      <c r="E393" s="49"/>
      <c r="W393" s="59"/>
    </row>
    <row r="394" spans="4:23" ht="12.75">
      <c r="D394" s="49"/>
      <c r="E394" s="49"/>
      <c r="W394" s="59"/>
    </row>
    <row r="395" spans="4:23" ht="12.75">
      <c r="D395" s="49"/>
      <c r="E395" s="49"/>
      <c r="W395" s="59"/>
    </row>
    <row r="396" spans="4:23" ht="12.75">
      <c r="D396" s="49"/>
      <c r="E396" s="49"/>
      <c r="W396" s="59"/>
    </row>
    <row r="397" spans="4:23" ht="12.75">
      <c r="D397" s="49"/>
      <c r="E397" s="49"/>
      <c r="W397" s="59"/>
    </row>
    <row r="398" spans="4:23" ht="12.75">
      <c r="D398" s="49"/>
      <c r="E398" s="49"/>
      <c r="W398" s="59"/>
    </row>
    <row r="399" spans="4:23" ht="12.75">
      <c r="D399" s="49"/>
      <c r="E399" s="49"/>
      <c r="W399" s="59"/>
    </row>
    <row r="400" spans="4:23" ht="12.75">
      <c r="D400" s="49"/>
      <c r="E400" s="49"/>
      <c r="W400" s="59"/>
    </row>
    <row r="401" spans="4:23" ht="12.75">
      <c r="D401" s="49"/>
      <c r="E401" s="49"/>
      <c r="W401" s="59"/>
    </row>
    <row r="402" spans="4:23" ht="12.75">
      <c r="D402" s="49"/>
      <c r="E402" s="49"/>
      <c r="W402" s="59"/>
    </row>
    <row r="403" spans="4:23" ht="12.75">
      <c r="D403" s="49"/>
      <c r="E403" s="49"/>
      <c r="W403" s="59"/>
    </row>
    <row r="404" spans="4:23" ht="12.75">
      <c r="D404" s="49"/>
      <c r="E404" s="49"/>
      <c r="W404" s="59"/>
    </row>
    <row r="405" spans="4:23" ht="12.75">
      <c r="D405" s="49"/>
      <c r="E405" s="49"/>
      <c r="W405" s="59"/>
    </row>
    <row r="406" spans="4:23" ht="12.75">
      <c r="D406" s="49"/>
      <c r="E406" s="49"/>
      <c r="W406" s="59"/>
    </row>
    <row r="407" spans="4:23" ht="12.75">
      <c r="D407" s="49"/>
      <c r="E407" s="49"/>
      <c r="W407" s="59"/>
    </row>
    <row r="408" spans="4:23" ht="12.75">
      <c r="D408" s="49"/>
      <c r="E408" s="49"/>
      <c r="W408" s="59"/>
    </row>
    <row r="409" spans="4:23" ht="12.75">
      <c r="D409" s="49"/>
      <c r="E409" s="49"/>
      <c r="W409" s="59"/>
    </row>
    <row r="410" spans="4:23" ht="12.75">
      <c r="D410" s="49"/>
      <c r="E410" s="49"/>
      <c r="W410" s="59"/>
    </row>
    <row r="411" spans="4:23" ht="12.75">
      <c r="D411" s="49"/>
      <c r="E411" s="49"/>
      <c r="W411" s="59"/>
    </row>
    <row r="412" spans="4:23" ht="12.75">
      <c r="D412" s="49"/>
      <c r="E412" s="49"/>
      <c r="W412" s="59"/>
    </row>
    <row r="413" spans="4:23" ht="12.75">
      <c r="D413" s="49"/>
      <c r="E413" s="49"/>
      <c r="W413" s="59"/>
    </row>
    <row r="414" spans="4:23" ht="12.75">
      <c r="D414" s="49"/>
      <c r="E414" s="49"/>
      <c r="W414" s="59"/>
    </row>
    <row r="415" spans="4:23" ht="12.75">
      <c r="D415" s="49"/>
      <c r="E415" s="49"/>
      <c r="W415" s="59"/>
    </row>
    <row r="416" spans="4:23" ht="12.75">
      <c r="D416" s="49"/>
      <c r="E416" s="49"/>
      <c r="W416" s="59"/>
    </row>
    <row r="417" spans="4:23" ht="12.75">
      <c r="D417" s="49"/>
      <c r="E417" s="49"/>
      <c r="W417" s="59"/>
    </row>
    <row r="418" spans="4:23" ht="12.75">
      <c r="D418" s="49"/>
      <c r="E418" s="49"/>
      <c r="W418" s="59"/>
    </row>
    <row r="419" spans="4:23" ht="12.75">
      <c r="D419" s="49"/>
      <c r="E419" s="49"/>
      <c r="W419" s="59"/>
    </row>
    <row r="420" spans="4:23" ht="12.75">
      <c r="D420" s="49"/>
      <c r="E420" s="49"/>
      <c r="W420" s="59"/>
    </row>
    <row r="421" spans="4:23" ht="12.75">
      <c r="D421" s="49"/>
      <c r="E421" s="49"/>
      <c r="W421" s="59"/>
    </row>
    <row r="422" spans="4:23" ht="12.75">
      <c r="D422" s="49"/>
      <c r="E422" s="49"/>
      <c r="W422" s="59"/>
    </row>
    <row r="423" spans="4:23" ht="12.75">
      <c r="D423" s="49"/>
      <c r="E423" s="49"/>
      <c r="W423" s="59"/>
    </row>
    <row r="424" spans="4:23" ht="12.75">
      <c r="D424" s="49"/>
      <c r="E424" s="49"/>
      <c r="W424" s="59"/>
    </row>
    <row r="425" spans="4:23" ht="12.75">
      <c r="D425" s="49"/>
      <c r="E425" s="49"/>
      <c r="W425" s="59"/>
    </row>
    <row r="426" spans="4:23" ht="12.75">
      <c r="D426" s="49"/>
      <c r="E426" s="49"/>
      <c r="W426" s="59"/>
    </row>
    <row r="427" spans="4:23" ht="12.75">
      <c r="D427" s="49"/>
      <c r="E427" s="49"/>
      <c r="W427" s="59"/>
    </row>
    <row r="428" spans="4:23" ht="12.75">
      <c r="D428" s="49"/>
      <c r="E428" s="49"/>
      <c r="W428" s="59"/>
    </row>
    <row r="429" spans="4:23" ht="12.75">
      <c r="D429" s="49"/>
      <c r="E429" s="49"/>
      <c r="W429" s="59"/>
    </row>
    <row r="430" spans="4:23" ht="12.75">
      <c r="D430" s="49"/>
      <c r="E430" s="49"/>
      <c r="W430" s="59"/>
    </row>
    <row r="431" spans="4:23" ht="12.75">
      <c r="D431" s="49"/>
      <c r="E431" s="49"/>
      <c r="W431" s="59"/>
    </row>
    <row r="432" spans="4:23" ht="12.75">
      <c r="D432" s="49"/>
      <c r="E432" s="49"/>
      <c r="W432" s="59"/>
    </row>
    <row r="433" spans="4:23" ht="12.75">
      <c r="D433" s="49"/>
      <c r="E433" s="49"/>
      <c r="W433" s="59"/>
    </row>
    <row r="434" spans="4:23" ht="12.75">
      <c r="D434" s="49"/>
      <c r="E434" s="49"/>
      <c r="W434" s="59"/>
    </row>
    <row r="435" spans="4:23" ht="12.75">
      <c r="D435" s="49"/>
      <c r="E435" s="49"/>
      <c r="W435" s="59"/>
    </row>
    <row r="436" spans="4:23" ht="12.75">
      <c r="D436" s="49"/>
      <c r="E436" s="49"/>
      <c r="W436" s="59"/>
    </row>
    <row r="437" spans="4:23" ht="12.75">
      <c r="D437" s="49"/>
      <c r="E437" s="49"/>
      <c r="W437" s="59"/>
    </row>
    <row r="438" spans="4:23" ht="12.75">
      <c r="D438" s="49"/>
      <c r="E438" s="49"/>
      <c r="W438" s="59"/>
    </row>
    <row r="439" spans="4:23" ht="12.75">
      <c r="D439" s="49"/>
      <c r="E439" s="49"/>
      <c r="W439" s="59"/>
    </row>
    <row r="440" spans="4:23" ht="12.75">
      <c r="D440" s="49"/>
      <c r="E440" s="49"/>
      <c r="W440" s="59"/>
    </row>
    <row r="441" spans="4:23" ht="12.75">
      <c r="D441" s="49"/>
      <c r="E441" s="49"/>
      <c r="W441" s="59"/>
    </row>
    <row r="442" spans="4:23" ht="12.75">
      <c r="D442" s="49"/>
      <c r="E442" s="49"/>
      <c r="W442" s="59"/>
    </row>
    <row r="443" spans="4:23" ht="12.75">
      <c r="D443" s="49"/>
      <c r="E443" s="49"/>
      <c r="W443" s="59"/>
    </row>
    <row r="444" spans="4:23" ht="12.75">
      <c r="D444" s="49"/>
      <c r="E444" s="49"/>
      <c r="W444" s="59"/>
    </row>
    <row r="445" spans="4:23" ht="12.75">
      <c r="D445" s="49"/>
      <c r="E445" s="49"/>
      <c r="W445" s="59"/>
    </row>
    <row r="446" spans="4:23" ht="12.75">
      <c r="D446" s="49"/>
      <c r="E446" s="49"/>
      <c r="W446" s="59"/>
    </row>
    <row r="447" spans="4:23" ht="12.75">
      <c r="D447" s="49"/>
      <c r="E447" s="49"/>
      <c r="W447" s="59"/>
    </row>
    <row r="448" spans="4:23" ht="12.75">
      <c r="D448" s="49"/>
      <c r="E448" s="49"/>
      <c r="W448" s="59"/>
    </row>
    <row r="449" spans="4:23" ht="12.75">
      <c r="D449" s="49"/>
      <c r="E449" s="49"/>
      <c r="W449" s="59"/>
    </row>
    <row r="450" spans="4:23" ht="12.75">
      <c r="D450" s="49"/>
      <c r="E450" s="49"/>
      <c r="W450" s="59"/>
    </row>
    <row r="451" spans="4:23" ht="12.75">
      <c r="D451" s="49"/>
      <c r="E451" s="49"/>
      <c r="W451" s="59"/>
    </row>
    <row r="452" spans="4:23" ht="12.75">
      <c r="D452" s="49"/>
      <c r="E452" s="49"/>
      <c r="W452" s="59"/>
    </row>
    <row r="453" spans="4:23" ht="12.75">
      <c r="D453" s="49"/>
      <c r="E453" s="49"/>
      <c r="W453" s="59"/>
    </row>
    <row r="454" spans="4:23" ht="12.75">
      <c r="D454" s="49"/>
      <c r="E454" s="49"/>
      <c r="W454" s="59"/>
    </row>
    <row r="455" spans="4:23" ht="12.75">
      <c r="D455" s="49"/>
      <c r="E455" s="49"/>
      <c r="W455" s="59"/>
    </row>
    <row r="456" spans="4:23" ht="12.75">
      <c r="D456" s="49"/>
      <c r="E456" s="49"/>
      <c r="W456" s="59"/>
    </row>
    <row r="457" spans="4:23" ht="12.75">
      <c r="D457" s="49"/>
      <c r="E457" s="49"/>
      <c r="W457" s="59"/>
    </row>
    <row r="458" spans="4:23" ht="12.75">
      <c r="D458" s="49"/>
      <c r="E458" s="49"/>
      <c r="W458" s="59"/>
    </row>
    <row r="459" spans="4:23" ht="12.75">
      <c r="D459" s="49"/>
      <c r="E459" s="49"/>
      <c r="W459" s="59"/>
    </row>
    <row r="460" spans="4:23" ht="12.75">
      <c r="D460" s="49"/>
      <c r="E460" s="49"/>
      <c r="W460" s="59"/>
    </row>
    <row r="461" spans="4:23" ht="12.75">
      <c r="D461" s="49"/>
      <c r="E461" s="49"/>
      <c r="W461" s="59"/>
    </row>
    <row r="462" spans="4:23" ht="12.75">
      <c r="D462" s="49"/>
      <c r="E462" s="49"/>
      <c r="W462" s="59"/>
    </row>
    <row r="463" spans="4:23" ht="12.75">
      <c r="D463" s="49"/>
      <c r="E463" s="49"/>
      <c r="W463" s="59"/>
    </row>
    <row r="464" spans="4:23" ht="12.75">
      <c r="D464" s="49"/>
      <c r="E464" s="49"/>
      <c r="W464" s="59"/>
    </row>
    <row r="465" spans="4:23" ht="12.75">
      <c r="D465" s="49"/>
      <c r="E465" s="49"/>
      <c r="W465" s="59"/>
    </row>
    <row r="466" spans="4:23" ht="12.75">
      <c r="D466" s="49"/>
      <c r="E466" s="49"/>
      <c r="W466" s="59"/>
    </row>
    <row r="467" spans="4:23" ht="12.75">
      <c r="D467" s="49"/>
      <c r="E467" s="49"/>
      <c r="W467" s="59"/>
    </row>
    <row r="468" spans="4:23" ht="12.75">
      <c r="D468" s="49"/>
      <c r="E468" s="49"/>
      <c r="W468" s="59"/>
    </row>
    <row r="469" spans="4:23" ht="12.75">
      <c r="D469" s="49"/>
      <c r="E469" s="49"/>
      <c r="W469" s="59"/>
    </row>
    <row r="470" spans="4:23" ht="12.75">
      <c r="D470" s="49"/>
      <c r="E470" s="49"/>
      <c r="W470" s="59"/>
    </row>
    <row r="471" spans="4:23" ht="12.75">
      <c r="D471" s="49"/>
      <c r="E471" s="49"/>
      <c r="W471" s="59"/>
    </row>
    <row r="472" spans="4:23" ht="12.75">
      <c r="D472" s="49"/>
      <c r="E472" s="49"/>
      <c r="W472" s="59"/>
    </row>
    <row r="473" spans="4:23" ht="12.75">
      <c r="D473" s="49"/>
      <c r="E473" s="49"/>
      <c r="W473" s="59"/>
    </row>
    <row r="474" spans="4:23" ht="12.75">
      <c r="D474" s="49"/>
      <c r="E474" s="49"/>
      <c r="W474" s="59"/>
    </row>
    <row r="475" spans="4:23" ht="12.75">
      <c r="D475" s="49"/>
      <c r="E475" s="49"/>
      <c r="W475" s="59"/>
    </row>
    <row r="476" spans="4:23" ht="12.75">
      <c r="D476" s="49"/>
      <c r="E476" s="49"/>
      <c r="W476" s="59"/>
    </row>
    <row r="477" spans="4:23" ht="12.75">
      <c r="D477" s="49"/>
      <c r="E477" s="49"/>
      <c r="W477" s="59"/>
    </row>
    <row r="478" spans="4:23" ht="12.75">
      <c r="D478" s="49"/>
      <c r="E478" s="49"/>
      <c r="W478" s="59"/>
    </row>
    <row r="479" spans="4:23" ht="12.75">
      <c r="D479" s="49"/>
      <c r="E479" s="49"/>
      <c r="W479" s="59"/>
    </row>
    <row r="480" spans="4:23" ht="12.75">
      <c r="D480" s="49"/>
      <c r="E480" s="49"/>
      <c r="W480" s="59"/>
    </row>
    <row r="481" spans="4:23" ht="12.75">
      <c r="D481" s="49"/>
      <c r="E481" s="49"/>
      <c r="W481" s="59"/>
    </row>
    <row r="482" spans="4:23" ht="12.75">
      <c r="D482" s="49"/>
      <c r="E482" s="49"/>
      <c r="W482" s="59"/>
    </row>
    <row r="483" spans="4:23" ht="12.75">
      <c r="D483" s="49"/>
      <c r="E483" s="49"/>
      <c r="W483" s="59"/>
    </row>
    <row r="484" spans="4:23" ht="12.75">
      <c r="D484" s="49"/>
      <c r="E484" s="49"/>
      <c r="W484" s="59"/>
    </row>
    <row r="485" spans="4:23" ht="12.75">
      <c r="D485" s="49"/>
      <c r="E485" s="49"/>
      <c r="W485" s="59"/>
    </row>
    <row r="486" spans="4:23" ht="12.75">
      <c r="D486" s="49"/>
      <c r="E486" s="49"/>
      <c r="W486" s="59"/>
    </row>
    <row r="487" spans="4:23" ht="12.75">
      <c r="D487" s="49"/>
      <c r="E487" s="49"/>
      <c r="W487" s="59"/>
    </row>
    <row r="488" spans="4:23" ht="12.75">
      <c r="D488" s="49"/>
      <c r="E488" s="49"/>
      <c r="W488" s="59"/>
    </row>
    <row r="489" spans="4:23" ht="12.75">
      <c r="D489" s="49"/>
      <c r="E489" s="49"/>
      <c r="W489" s="59"/>
    </row>
    <row r="490" spans="4:23" ht="12.75">
      <c r="D490" s="49"/>
      <c r="E490" s="49"/>
      <c r="W490" s="59"/>
    </row>
    <row r="491" spans="4:23" ht="12.75">
      <c r="D491" s="49"/>
      <c r="E491" s="49"/>
      <c r="W491" s="59"/>
    </row>
    <row r="492" spans="4:23" ht="12.75">
      <c r="D492" s="49"/>
      <c r="E492" s="49"/>
      <c r="W492" s="59"/>
    </row>
    <row r="493" spans="4:23" ht="12.75">
      <c r="D493" s="49"/>
      <c r="E493" s="49"/>
      <c r="W493" s="59"/>
    </row>
    <row r="494" spans="4:23" ht="12.75">
      <c r="D494" s="49"/>
      <c r="E494" s="49"/>
      <c r="W494" s="59"/>
    </row>
    <row r="495" spans="4:23" ht="12.75">
      <c r="D495" s="49"/>
      <c r="E495" s="49"/>
      <c r="W495" s="59"/>
    </row>
    <row r="496" spans="4:23" ht="12.75">
      <c r="D496" s="49"/>
      <c r="E496" s="49"/>
      <c r="W496" s="59"/>
    </row>
    <row r="497" spans="4:23" ht="12.75">
      <c r="D497" s="49"/>
      <c r="E497" s="49"/>
      <c r="W497" s="59"/>
    </row>
    <row r="498" spans="4:23" ht="12.75">
      <c r="D498" s="49"/>
      <c r="E498" s="49"/>
      <c r="W498" s="59"/>
    </row>
    <row r="499" spans="4:23" ht="12.75">
      <c r="D499" s="49"/>
      <c r="E499" s="49"/>
      <c r="W499" s="59"/>
    </row>
    <row r="500" spans="4:23" ht="12.75">
      <c r="D500" s="49"/>
      <c r="E500" s="49"/>
      <c r="W500" s="59"/>
    </row>
    <row r="501" spans="4:23" ht="12.75">
      <c r="D501" s="49"/>
      <c r="E501" s="49"/>
      <c r="W501" s="59"/>
    </row>
    <row r="502" spans="4:23" ht="12.75">
      <c r="D502" s="49"/>
      <c r="E502" s="49"/>
      <c r="W502" s="59"/>
    </row>
    <row r="503" spans="4:23" ht="12.75">
      <c r="D503" s="49"/>
      <c r="E503" s="49"/>
      <c r="W503" s="59"/>
    </row>
    <row r="504" spans="4:23" ht="12.75">
      <c r="D504" s="49"/>
      <c r="E504" s="49"/>
      <c r="W504" s="59"/>
    </row>
    <row r="505" spans="4:23" ht="12.75">
      <c r="D505" s="49"/>
      <c r="E505" s="49"/>
      <c r="W505" s="59"/>
    </row>
    <row r="506" spans="4:23" ht="12.75">
      <c r="D506" s="49"/>
      <c r="E506" s="49"/>
      <c r="W506" s="59"/>
    </row>
    <row r="507" spans="4:23" ht="12.75">
      <c r="D507" s="49"/>
      <c r="E507" s="49"/>
      <c r="W507" s="59"/>
    </row>
    <row r="508" spans="4:23" ht="12.75">
      <c r="D508" s="49"/>
      <c r="E508" s="49"/>
      <c r="W508" s="59"/>
    </row>
    <row r="509" spans="4:23" ht="12.75">
      <c r="D509" s="49"/>
      <c r="E509" s="49"/>
      <c r="W509" s="59"/>
    </row>
    <row r="510" spans="4:23" ht="12.75">
      <c r="D510" s="49"/>
      <c r="E510" s="49"/>
      <c r="W510" s="59"/>
    </row>
    <row r="511" spans="4:23" ht="12.75">
      <c r="D511" s="49"/>
      <c r="E511" s="49"/>
      <c r="W511" s="59"/>
    </row>
    <row r="512" spans="4:23" ht="12.75">
      <c r="D512" s="49"/>
      <c r="E512" s="49"/>
      <c r="W512" s="59"/>
    </row>
    <row r="513" spans="4:23" ht="12.75">
      <c r="D513" s="49"/>
      <c r="E513" s="49"/>
      <c r="W513" s="59"/>
    </row>
    <row r="514" spans="4:23" ht="12.75">
      <c r="D514" s="49"/>
      <c r="E514" s="49"/>
      <c r="W514" s="59"/>
    </row>
    <row r="515" spans="4:23" ht="12.75">
      <c r="D515" s="49"/>
      <c r="E515" s="49"/>
      <c r="W515" s="59"/>
    </row>
    <row r="516" spans="4:23" ht="12.75">
      <c r="D516" s="49"/>
      <c r="E516" s="49"/>
      <c r="W516" s="59"/>
    </row>
    <row r="517" spans="4:23" ht="12.75">
      <c r="D517" s="49"/>
      <c r="E517" s="49"/>
      <c r="W517" s="59"/>
    </row>
    <row r="518" spans="4:23" ht="12.75">
      <c r="D518" s="49"/>
      <c r="E518" s="49"/>
      <c r="W518" s="59"/>
    </row>
    <row r="519" spans="4:23" ht="12.75">
      <c r="D519" s="49"/>
      <c r="E519" s="49"/>
      <c r="W519" s="59"/>
    </row>
    <row r="520" spans="4:23" ht="12.75">
      <c r="D520" s="49"/>
      <c r="E520" s="49"/>
      <c r="W520" s="59"/>
    </row>
    <row r="521" spans="4:23" ht="12.75">
      <c r="D521" s="49"/>
      <c r="E521" s="49"/>
      <c r="W521" s="59"/>
    </row>
    <row r="522" spans="4:23" ht="12.75">
      <c r="D522" s="49"/>
      <c r="E522" s="49"/>
      <c r="W522" s="59"/>
    </row>
    <row r="523" spans="4:23" ht="12.75">
      <c r="D523" s="49"/>
      <c r="E523" s="49"/>
      <c r="W523" s="59"/>
    </row>
    <row r="524" spans="4:23" ht="12.75">
      <c r="D524" s="49"/>
      <c r="E524" s="49"/>
      <c r="W524" s="59"/>
    </row>
    <row r="525" spans="4:23" ht="12.75">
      <c r="D525" s="49"/>
      <c r="E525" s="49"/>
      <c r="W525" s="59"/>
    </row>
    <row r="526" spans="4:23" ht="12.75">
      <c r="D526" s="49"/>
      <c r="E526" s="49"/>
      <c r="W526" s="59"/>
    </row>
    <row r="527" spans="4:23" ht="12.75">
      <c r="D527" s="49"/>
      <c r="E527" s="49"/>
      <c r="W527" s="59"/>
    </row>
    <row r="528" spans="4:23" ht="12.75">
      <c r="D528" s="49"/>
      <c r="E528" s="49"/>
      <c r="W528" s="59"/>
    </row>
    <row r="529" spans="4:23" ht="12.75">
      <c r="D529" s="49"/>
      <c r="E529" s="49"/>
      <c r="W529" s="59"/>
    </row>
    <row r="530" spans="4:23" ht="12.75">
      <c r="D530" s="49"/>
      <c r="E530" s="49"/>
      <c r="W530" s="59"/>
    </row>
    <row r="531" spans="4:23" ht="12.75">
      <c r="D531" s="49"/>
      <c r="E531" s="49"/>
      <c r="W531" s="59"/>
    </row>
    <row r="532" spans="4:23" ht="12.75">
      <c r="D532" s="49"/>
      <c r="E532" s="49"/>
      <c r="W532" s="59"/>
    </row>
    <row r="533" spans="4:23" ht="12.75">
      <c r="D533" s="49"/>
      <c r="E533" s="49"/>
      <c r="W533" s="59"/>
    </row>
    <row r="534" spans="4:23" ht="12.75">
      <c r="D534" s="49"/>
      <c r="E534" s="49"/>
      <c r="W534" s="59"/>
    </row>
    <row r="535" spans="4:23" ht="12.75">
      <c r="D535" s="49"/>
      <c r="E535" s="49"/>
      <c r="W535" s="59"/>
    </row>
    <row r="536" spans="4:23" ht="12.75">
      <c r="D536" s="49"/>
      <c r="E536" s="49"/>
      <c r="W536" s="59"/>
    </row>
    <row r="537" spans="4:23" ht="12.75">
      <c r="D537" s="49"/>
      <c r="E537" s="49"/>
      <c r="W537" s="59"/>
    </row>
    <row r="538" spans="4:23" ht="12.75">
      <c r="D538" s="49"/>
      <c r="E538" s="49"/>
      <c r="W538" s="59"/>
    </row>
    <row r="539" spans="4:23" ht="12.75">
      <c r="D539" s="49"/>
      <c r="E539" s="49"/>
      <c r="W539" s="59"/>
    </row>
    <row r="540" spans="4:23" ht="12.75">
      <c r="D540" s="49"/>
      <c r="E540" s="49"/>
      <c r="W540" s="59"/>
    </row>
    <row r="541" spans="4:23" ht="12.75">
      <c r="D541" s="49"/>
      <c r="E541" s="49"/>
      <c r="W541" s="59"/>
    </row>
    <row r="542" spans="4:23" ht="12.75">
      <c r="D542" s="49"/>
      <c r="E542" s="49"/>
      <c r="W542" s="59"/>
    </row>
    <row r="543" spans="4:23" ht="12.75">
      <c r="D543" s="49"/>
      <c r="E543" s="49"/>
      <c r="W543" s="59"/>
    </row>
    <row r="544" spans="4:23" ht="12.75">
      <c r="D544" s="49"/>
      <c r="E544" s="49"/>
      <c r="W544" s="59"/>
    </row>
    <row r="545" spans="4:23" ht="12.75">
      <c r="D545" s="49"/>
      <c r="E545" s="49"/>
      <c r="W545" s="59"/>
    </row>
    <row r="546" spans="4:23" ht="12.75">
      <c r="D546" s="49"/>
      <c r="E546" s="49"/>
      <c r="W546" s="59"/>
    </row>
    <row r="547" spans="4:23" ht="12.75">
      <c r="D547" s="49"/>
      <c r="E547" s="49"/>
      <c r="W547" s="59"/>
    </row>
    <row r="548" spans="4:23" ht="12.75">
      <c r="D548" s="49"/>
      <c r="E548" s="49"/>
      <c r="W548" s="59"/>
    </row>
    <row r="549" spans="4:23" ht="12.75">
      <c r="D549" s="49"/>
      <c r="E549" s="49"/>
      <c r="W549" s="59"/>
    </row>
    <row r="550" spans="4:23" ht="12.75">
      <c r="D550" s="49"/>
      <c r="E550" s="49"/>
      <c r="W550" s="59"/>
    </row>
    <row r="551" spans="4:23" ht="12.75">
      <c r="D551" s="49"/>
      <c r="E551" s="49"/>
      <c r="W551" s="59"/>
    </row>
    <row r="552" spans="4:23" ht="12.75">
      <c r="D552" s="49"/>
      <c r="E552" s="49"/>
      <c r="W552" s="59"/>
    </row>
    <row r="553" spans="4:23" ht="12.75">
      <c r="D553" s="49"/>
      <c r="E553" s="49"/>
      <c r="W553" s="59"/>
    </row>
    <row r="554" spans="4:23" ht="12.75">
      <c r="D554" s="49"/>
      <c r="E554" s="49"/>
      <c r="W554" s="59"/>
    </row>
    <row r="555" spans="4:23" ht="12.75">
      <c r="D555" s="49"/>
      <c r="E555" s="49"/>
      <c r="W555" s="59"/>
    </row>
    <row r="556" spans="4:23" ht="12.75">
      <c r="D556" s="49"/>
      <c r="E556" s="49"/>
      <c r="W556" s="59"/>
    </row>
    <row r="557" spans="4:23" ht="12.75">
      <c r="D557" s="49"/>
      <c r="E557" s="49"/>
      <c r="W557" s="59"/>
    </row>
    <row r="558" spans="4:23" ht="12.75">
      <c r="D558" s="49"/>
      <c r="E558" s="49"/>
      <c r="W558" s="59"/>
    </row>
    <row r="559" spans="4:23" ht="12.75">
      <c r="D559" s="49"/>
      <c r="E559" s="49"/>
      <c r="W559" s="59"/>
    </row>
    <row r="560" spans="4:23" ht="12.75">
      <c r="D560" s="49"/>
      <c r="E560" s="49"/>
      <c r="W560" s="59"/>
    </row>
    <row r="561" spans="4:23" ht="12.75">
      <c r="D561" s="49"/>
      <c r="E561" s="49"/>
      <c r="W561" s="59"/>
    </row>
    <row r="562" spans="4:23" ht="12.75">
      <c r="D562" s="49"/>
      <c r="E562" s="49"/>
      <c r="W562" s="59"/>
    </row>
    <row r="563" spans="4:23" ht="12.75">
      <c r="D563" s="49"/>
      <c r="E563" s="49"/>
      <c r="W563" s="59"/>
    </row>
    <row r="564" spans="4:23" ht="12.75">
      <c r="D564" s="49"/>
      <c r="E564" s="49"/>
      <c r="W564" s="59"/>
    </row>
    <row r="565" spans="4:23" ht="12.75">
      <c r="D565" s="49"/>
      <c r="E565" s="49"/>
      <c r="W565" s="59"/>
    </row>
    <row r="566" spans="4:23" ht="12.75">
      <c r="D566" s="49"/>
      <c r="E566" s="49"/>
      <c r="W566" s="59"/>
    </row>
    <row r="567" spans="4:23" ht="12.75">
      <c r="D567" s="49"/>
      <c r="E567" s="49"/>
      <c r="W567" s="59"/>
    </row>
    <row r="568" spans="4:23" ht="12.75">
      <c r="D568" s="49"/>
      <c r="E568" s="49"/>
      <c r="W568" s="59"/>
    </row>
    <row r="569" spans="4:23" ht="12.75">
      <c r="D569" s="49"/>
      <c r="E569" s="49"/>
      <c r="W569" s="59"/>
    </row>
    <row r="570" spans="4:23" ht="12.75">
      <c r="D570" s="49"/>
      <c r="E570" s="49"/>
      <c r="W570" s="59"/>
    </row>
    <row r="571" spans="4:23" ht="12.75">
      <c r="D571" s="49"/>
      <c r="E571" s="49"/>
      <c r="W571" s="59"/>
    </row>
    <row r="572" spans="4:23" ht="12.75">
      <c r="D572" s="49"/>
      <c r="E572" s="49"/>
      <c r="W572" s="59"/>
    </row>
    <row r="573" spans="4:23" ht="12.75">
      <c r="D573" s="49"/>
      <c r="E573" s="49"/>
      <c r="W573" s="59"/>
    </row>
    <row r="574" spans="4:23" ht="12.75">
      <c r="D574" s="49"/>
      <c r="E574" s="49"/>
      <c r="W574" s="59"/>
    </row>
    <row r="575" spans="4:23" ht="12.75">
      <c r="D575" s="49"/>
      <c r="E575" s="49"/>
      <c r="W575" s="59"/>
    </row>
    <row r="576" spans="4:23" ht="12.75">
      <c r="D576" s="49"/>
      <c r="E576" s="49"/>
      <c r="W576" s="59"/>
    </row>
    <row r="577" spans="4:23" ht="12.75">
      <c r="D577" s="49"/>
      <c r="E577" s="49"/>
      <c r="W577" s="59"/>
    </row>
    <row r="578" spans="4:23" ht="12.75">
      <c r="D578" s="49"/>
      <c r="E578" s="49"/>
      <c r="W578" s="59"/>
    </row>
    <row r="579" spans="4:23" ht="12.75">
      <c r="D579" s="49"/>
      <c r="E579" s="49"/>
      <c r="W579" s="59"/>
    </row>
    <row r="580" spans="4:23" ht="12.75">
      <c r="D580" s="49"/>
      <c r="E580" s="49"/>
      <c r="W580" s="59"/>
    </row>
    <row r="581" spans="4:23" ht="12.75">
      <c r="D581" s="49"/>
      <c r="E581" s="49"/>
      <c r="W581" s="59"/>
    </row>
    <row r="582" spans="4:23" ht="12.75">
      <c r="D582" s="49"/>
      <c r="E582" s="49"/>
      <c r="W582" s="59"/>
    </row>
    <row r="583" spans="4:23" ht="12.75">
      <c r="D583" s="49"/>
      <c r="E583" s="49"/>
      <c r="W583" s="59"/>
    </row>
    <row r="584" spans="4:23" ht="12.75">
      <c r="D584" s="49"/>
      <c r="E584" s="49"/>
      <c r="W584" s="59"/>
    </row>
    <row r="585" spans="4:23" ht="12.75">
      <c r="D585" s="49"/>
      <c r="E585" s="49"/>
      <c r="W585" s="59"/>
    </row>
    <row r="586" spans="4:23" ht="12.75">
      <c r="D586" s="49"/>
      <c r="E586" s="49"/>
      <c r="W586" s="59"/>
    </row>
    <row r="587" spans="4:23" ht="12.75">
      <c r="D587" s="49"/>
      <c r="E587" s="49"/>
      <c r="W587" s="59"/>
    </row>
    <row r="588" spans="4:23" ht="12.75">
      <c r="D588" s="49"/>
      <c r="E588" s="49"/>
      <c r="W588" s="59"/>
    </row>
    <row r="589" spans="4:23" ht="12.75">
      <c r="D589" s="49"/>
      <c r="E589" s="49"/>
      <c r="W589" s="59"/>
    </row>
    <row r="590" spans="4:23" ht="12.75">
      <c r="D590" s="49"/>
      <c r="E590" s="49"/>
      <c r="W590" s="59"/>
    </row>
    <row r="591" spans="4:23" ht="12.75">
      <c r="D591" s="49"/>
      <c r="E591" s="49"/>
      <c r="W591" s="59"/>
    </row>
    <row r="592" spans="4:23" ht="12.75">
      <c r="D592" s="49"/>
      <c r="E592" s="49"/>
      <c r="W592" s="59"/>
    </row>
    <row r="593" spans="4:23" ht="12.75">
      <c r="D593" s="49"/>
      <c r="E593" s="49"/>
      <c r="W593" s="59"/>
    </row>
    <row r="594" spans="4:23" ht="12.75">
      <c r="D594" s="49"/>
      <c r="E594" s="49"/>
      <c r="W594" s="59"/>
    </row>
    <row r="595" spans="4:23" ht="12.75">
      <c r="D595" s="49"/>
      <c r="E595" s="49"/>
      <c r="W595" s="59"/>
    </row>
    <row r="596" spans="4:23" ht="12.75">
      <c r="D596" s="49"/>
      <c r="E596" s="49"/>
      <c r="W596" s="59"/>
    </row>
    <row r="597" spans="4:23" ht="12.75">
      <c r="D597" s="49"/>
      <c r="E597" s="49"/>
      <c r="W597" s="59"/>
    </row>
    <row r="598" spans="4:23" ht="12.75">
      <c r="D598" s="49"/>
      <c r="E598" s="49"/>
      <c r="W598" s="59"/>
    </row>
    <row r="599" spans="4:23" ht="12.75">
      <c r="D599" s="49"/>
      <c r="E599" s="49"/>
      <c r="W599" s="59"/>
    </row>
    <row r="600" spans="4:23" ht="12.75">
      <c r="D600" s="49"/>
      <c r="E600" s="49"/>
      <c r="W600" s="59"/>
    </row>
    <row r="601" spans="4:23" ht="12.75">
      <c r="D601" s="49"/>
      <c r="E601" s="49"/>
      <c r="W601" s="59"/>
    </row>
    <row r="602" spans="4:23" ht="12.75">
      <c r="D602" s="49"/>
      <c r="E602" s="49"/>
      <c r="W602" s="59"/>
    </row>
    <row r="603" spans="4:23" ht="12.75">
      <c r="D603" s="49"/>
      <c r="E603" s="49"/>
      <c r="W603" s="59"/>
    </row>
    <row r="604" spans="4:23" ht="12.75">
      <c r="D604" s="49"/>
      <c r="E604" s="49"/>
      <c r="W604" s="59"/>
    </row>
    <row r="605" spans="4:23" ht="12.75">
      <c r="D605" s="49"/>
      <c r="E605" s="49"/>
      <c r="W605" s="59"/>
    </row>
    <row r="606" spans="4:23" ht="12.75">
      <c r="D606" s="49"/>
      <c r="E606" s="49"/>
      <c r="W606" s="59"/>
    </row>
    <row r="607" spans="4:23" ht="12.75">
      <c r="D607" s="49"/>
      <c r="E607" s="49"/>
      <c r="W607" s="59"/>
    </row>
    <row r="608" spans="4:23" ht="12.75">
      <c r="D608" s="49"/>
      <c r="E608" s="49"/>
      <c r="W608" s="59"/>
    </row>
    <row r="609" spans="4:23" ht="12.75">
      <c r="D609" s="49"/>
      <c r="E609" s="49"/>
      <c r="W609" s="59"/>
    </row>
    <row r="610" spans="4:23" ht="12.75">
      <c r="D610" s="49"/>
      <c r="E610" s="49"/>
      <c r="W610" s="59"/>
    </row>
    <row r="611" spans="4:23" ht="12.75">
      <c r="D611" s="49"/>
      <c r="E611" s="49"/>
      <c r="W611" s="59"/>
    </row>
    <row r="612" spans="4:23" ht="12.75">
      <c r="D612" s="49"/>
      <c r="E612" s="49"/>
      <c r="W612" s="59"/>
    </row>
    <row r="613" spans="4:23" ht="12.75">
      <c r="D613" s="49"/>
      <c r="E613" s="49"/>
      <c r="W613" s="59"/>
    </row>
    <row r="614" spans="4:23" ht="12.75">
      <c r="D614" s="49"/>
      <c r="E614" s="49"/>
      <c r="W614" s="59"/>
    </row>
    <row r="615" spans="4:23" ht="12.75">
      <c r="D615" s="49"/>
      <c r="E615" s="49"/>
      <c r="W615" s="59"/>
    </row>
    <row r="616" spans="4:23" ht="12.75">
      <c r="D616" s="49"/>
      <c r="E616" s="49"/>
      <c r="W616" s="59"/>
    </row>
    <row r="617" spans="4:23" ht="12.75">
      <c r="D617" s="49"/>
      <c r="E617" s="49"/>
      <c r="W617" s="59"/>
    </row>
    <row r="618" spans="4:23" ht="12.75">
      <c r="D618" s="49"/>
      <c r="E618" s="49"/>
      <c r="W618" s="59"/>
    </row>
    <row r="619" spans="4:23" ht="12.75">
      <c r="D619" s="49"/>
      <c r="E619" s="49"/>
      <c r="W619" s="59"/>
    </row>
    <row r="620" spans="4:23" ht="12.75">
      <c r="D620" s="49"/>
      <c r="E620" s="49"/>
      <c r="W620" s="59"/>
    </row>
    <row r="621" spans="4:23" ht="12.75">
      <c r="D621" s="49"/>
      <c r="E621" s="49"/>
      <c r="W621" s="59"/>
    </row>
    <row r="622" spans="4:23" ht="12.75">
      <c r="D622" s="49"/>
      <c r="E622" s="49"/>
      <c r="W622" s="59"/>
    </row>
    <row r="623" spans="4:23" ht="12.75">
      <c r="D623" s="49"/>
      <c r="E623" s="49"/>
      <c r="W623" s="59"/>
    </row>
    <row r="624" spans="4:23" ht="12.75">
      <c r="D624" s="49"/>
      <c r="E624" s="49"/>
      <c r="W624" s="59"/>
    </row>
    <row r="625" spans="4:23" ht="12.75">
      <c r="D625" s="49"/>
      <c r="E625" s="49"/>
      <c r="W625" s="59"/>
    </row>
    <row r="626" spans="4:23" ht="12.75">
      <c r="D626" s="49"/>
      <c r="E626" s="49"/>
      <c r="W626" s="59"/>
    </row>
    <row r="627" spans="4:23" ht="12.75">
      <c r="D627" s="49"/>
      <c r="E627" s="49"/>
      <c r="W627" s="59"/>
    </row>
    <row r="628" spans="4:23" ht="12.75">
      <c r="D628" s="49"/>
      <c r="E628" s="49"/>
      <c r="W628" s="59"/>
    </row>
    <row r="629" spans="4:23" ht="12.75">
      <c r="D629" s="49"/>
      <c r="E629" s="49"/>
      <c r="W629" s="59"/>
    </row>
    <row r="630" spans="4:23" ht="12.75">
      <c r="D630" s="49"/>
      <c r="E630" s="49"/>
      <c r="W630" s="59"/>
    </row>
    <row r="631" spans="4:23" ht="12.75">
      <c r="D631" s="49"/>
      <c r="E631" s="49"/>
      <c r="W631" s="59"/>
    </row>
    <row r="632" spans="4:23" ht="12.75">
      <c r="D632" s="49"/>
      <c r="E632" s="49"/>
      <c r="W632" s="59"/>
    </row>
    <row r="633" spans="4:23" ht="12.75">
      <c r="D633" s="49"/>
      <c r="E633" s="49"/>
      <c r="W633" s="59"/>
    </row>
    <row r="634" spans="4:23" ht="12.75">
      <c r="D634" s="49"/>
      <c r="E634" s="49"/>
      <c r="W634" s="59"/>
    </row>
    <row r="635" spans="4:23" ht="12.75">
      <c r="D635" s="49"/>
      <c r="E635" s="49"/>
      <c r="W635" s="59"/>
    </row>
    <row r="636" spans="4:23" ht="12.75">
      <c r="D636" s="49"/>
      <c r="E636" s="49"/>
      <c r="W636" s="59"/>
    </row>
    <row r="637" spans="4:23" ht="12.75">
      <c r="D637" s="49"/>
      <c r="E637" s="49"/>
      <c r="W637" s="59"/>
    </row>
    <row r="638" spans="4:23" ht="12.75">
      <c r="D638" s="49"/>
      <c r="E638" s="49"/>
      <c r="W638" s="59"/>
    </row>
    <row r="639" spans="4:23" ht="12.75">
      <c r="D639" s="49"/>
      <c r="E639" s="49"/>
      <c r="W639" s="59"/>
    </row>
    <row r="640" spans="4:23" ht="12.75">
      <c r="D640" s="49"/>
      <c r="E640" s="49"/>
      <c r="W640" s="59"/>
    </row>
    <row r="641" spans="4:23" ht="12.75">
      <c r="D641" s="49"/>
      <c r="E641" s="49"/>
      <c r="W641" s="59"/>
    </row>
    <row r="642" spans="4:23" ht="12.75">
      <c r="D642" s="49"/>
      <c r="E642" s="49"/>
      <c r="W642" s="59"/>
    </row>
    <row r="643" spans="4:23" ht="12.75">
      <c r="D643" s="49"/>
      <c r="E643" s="49"/>
      <c r="W643" s="59"/>
    </row>
    <row r="644" spans="4:23" ht="12.75">
      <c r="D644" s="49"/>
      <c r="E644" s="49"/>
      <c r="W644" s="59"/>
    </row>
    <row r="645" spans="4:23" ht="12.75">
      <c r="D645" s="49"/>
      <c r="E645" s="49"/>
      <c r="W645" s="59"/>
    </row>
    <row r="646" spans="4:23" ht="12.75">
      <c r="D646" s="49"/>
      <c r="E646" s="49"/>
      <c r="W646" s="59"/>
    </row>
    <row r="647" spans="4:23" ht="12.75">
      <c r="D647" s="49"/>
      <c r="E647" s="49"/>
      <c r="W647" s="59"/>
    </row>
    <row r="648" spans="4:23" ht="12.75">
      <c r="D648" s="49"/>
      <c r="E648" s="49"/>
      <c r="W648" s="59"/>
    </row>
    <row r="649" spans="4:23" ht="12.75">
      <c r="D649" s="49"/>
      <c r="E649" s="49"/>
      <c r="W649" s="59"/>
    </row>
    <row r="650" spans="4:23" ht="12.75">
      <c r="D650" s="49"/>
      <c r="E650" s="49"/>
      <c r="W650" s="59"/>
    </row>
    <row r="651" spans="4:23" ht="12.75">
      <c r="D651" s="49"/>
      <c r="E651" s="49"/>
      <c r="W651" s="59"/>
    </row>
    <row r="652" spans="4:23" ht="12.75">
      <c r="D652" s="49"/>
      <c r="E652" s="49"/>
      <c r="W652" s="59"/>
    </row>
    <row r="653" spans="4:23" ht="12.75">
      <c r="D653" s="49"/>
      <c r="E653" s="49"/>
      <c r="W653" s="59"/>
    </row>
    <row r="654" spans="4:23" ht="12.75">
      <c r="D654" s="49"/>
      <c r="E654" s="49"/>
      <c r="W654" s="59"/>
    </row>
    <row r="655" spans="4:23" ht="12.75">
      <c r="D655" s="49"/>
      <c r="E655" s="49"/>
      <c r="W655" s="59"/>
    </row>
    <row r="656" spans="4:23" ht="12.75">
      <c r="D656" s="49"/>
      <c r="E656" s="49"/>
      <c r="W656" s="59"/>
    </row>
    <row r="657" spans="4:23" ht="12.75">
      <c r="D657" s="49"/>
      <c r="E657" s="49"/>
      <c r="W657" s="59"/>
    </row>
    <row r="658" spans="4:23" ht="12.75">
      <c r="D658" s="49"/>
      <c r="E658" s="49"/>
      <c r="W658" s="59"/>
    </row>
    <row r="659" spans="4:23" ht="12.75">
      <c r="D659" s="49"/>
      <c r="E659" s="49"/>
      <c r="W659" s="59"/>
    </row>
    <row r="660" spans="4:23" ht="12.75">
      <c r="D660" s="49"/>
      <c r="E660" s="49"/>
      <c r="W660" s="59"/>
    </row>
    <row r="661" spans="4:23" ht="12.75">
      <c r="D661" s="49"/>
      <c r="E661" s="49"/>
      <c r="W661" s="59"/>
    </row>
    <row r="662" spans="4:23" ht="12.75">
      <c r="D662" s="49"/>
      <c r="E662" s="49"/>
      <c r="W662" s="59"/>
    </row>
    <row r="663" spans="4:23" ht="12.75">
      <c r="D663" s="49"/>
      <c r="E663" s="49"/>
      <c r="W663" s="59"/>
    </row>
    <row r="664" spans="4:23" ht="12.75">
      <c r="D664" s="49"/>
      <c r="E664" s="49"/>
      <c r="W664" s="59"/>
    </row>
    <row r="665" spans="4:23" ht="12.75">
      <c r="D665" s="49"/>
      <c r="E665" s="49"/>
      <c r="W665" s="59"/>
    </row>
    <row r="666" spans="4:23" ht="12.75">
      <c r="D666" s="49"/>
      <c r="E666" s="49"/>
      <c r="W666" s="59"/>
    </row>
    <row r="667" spans="4:23" ht="12.75">
      <c r="D667" s="49"/>
      <c r="E667" s="49"/>
      <c r="W667" s="59"/>
    </row>
    <row r="668" spans="4:23" ht="12.75">
      <c r="D668" s="49"/>
      <c r="E668" s="49"/>
      <c r="W668" s="59"/>
    </row>
    <row r="669" spans="4:23" ht="12.75">
      <c r="D669" s="49"/>
      <c r="E669" s="49"/>
      <c r="W669" s="59"/>
    </row>
    <row r="670" spans="4:23" ht="12.75">
      <c r="D670" s="49"/>
      <c r="E670" s="49"/>
      <c r="W670" s="59"/>
    </row>
    <row r="671" spans="4:23" ht="12.75">
      <c r="D671" s="49"/>
      <c r="E671" s="49"/>
      <c r="W671" s="59"/>
    </row>
    <row r="672" spans="4:23" ht="12.75">
      <c r="D672" s="49"/>
      <c r="E672" s="49"/>
      <c r="W672" s="59"/>
    </row>
    <row r="673" spans="4:23" ht="12.75">
      <c r="D673" s="49"/>
      <c r="E673" s="49"/>
      <c r="W673" s="59"/>
    </row>
    <row r="674" spans="4:23" ht="12.75">
      <c r="D674" s="49"/>
      <c r="E674" s="49"/>
      <c r="W674" s="59"/>
    </row>
    <row r="675" spans="4:23" ht="12.75">
      <c r="D675" s="49"/>
      <c r="E675" s="49"/>
      <c r="W675" s="59"/>
    </row>
    <row r="676" spans="4:23" ht="12.75">
      <c r="D676" s="49"/>
      <c r="E676" s="49"/>
      <c r="W676" s="59"/>
    </row>
    <row r="677" spans="4:23" ht="12.75">
      <c r="D677" s="49"/>
      <c r="E677" s="49"/>
      <c r="W677" s="59"/>
    </row>
    <row r="678" spans="4:23" ht="12.75">
      <c r="D678" s="49"/>
      <c r="E678" s="49"/>
      <c r="W678" s="59"/>
    </row>
    <row r="679" spans="4:23" ht="12.75">
      <c r="D679" s="49"/>
      <c r="E679" s="49"/>
      <c r="W679" s="59"/>
    </row>
    <row r="680" spans="4:23" ht="12.75">
      <c r="D680" s="49"/>
      <c r="E680" s="49"/>
      <c r="W680" s="59"/>
    </row>
    <row r="681" spans="4:23" ht="12.75">
      <c r="D681" s="49"/>
      <c r="E681" s="49"/>
      <c r="W681" s="59"/>
    </row>
    <row r="682" spans="4:23" ht="12.75">
      <c r="D682" s="49"/>
      <c r="E682" s="49"/>
      <c r="W682" s="59"/>
    </row>
    <row r="683" spans="4:23" ht="12.75">
      <c r="D683" s="49"/>
      <c r="E683" s="49"/>
      <c r="W683" s="59"/>
    </row>
    <row r="684" spans="4:23" ht="12.75">
      <c r="D684" s="49"/>
      <c r="E684" s="49"/>
      <c r="W684" s="59"/>
    </row>
    <row r="685" spans="4:23" ht="12.75">
      <c r="D685" s="49"/>
      <c r="E685" s="49"/>
      <c r="W685" s="59"/>
    </row>
    <row r="686" spans="4:23" ht="12.75">
      <c r="D686" s="49"/>
      <c r="E686" s="49"/>
      <c r="W686" s="59"/>
    </row>
    <row r="687" spans="4:23" ht="12.75">
      <c r="D687" s="49"/>
      <c r="E687" s="49"/>
      <c r="W687" s="59"/>
    </row>
    <row r="688" spans="4:23" ht="12.75">
      <c r="D688" s="49"/>
      <c r="E688" s="49"/>
      <c r="W688" s="59"/>
    </row>
    <row r="689" spans="4:23" ht="12.75">
      <c r="D689" s="49"/>
      <c r="E689" s="49"/>
      <c r="W689" s="59"/>
    </row>
    <row r="690" spans="4:23" ht="12.75">
      <c r="D690" s="49"/>
      <c r="E690" s="49"/>
      <c r="W690" s="59"/>
    </row>
    <row r="691" spans="4:23" ht="12.75">
      <c r="D691" s="49"/>
      <c r="E691" s="49"/>
      <c r="W691" s="59"/>
    </row>
    <row r="692" spans="4:23" ht="12.75">
      <c r="D692" s="49"/>
      <c r="E692" s="49"/>
      <c r="W692" s="59"/>
    </row>
    <row r="693" spans="4:23" ht="12.75">
      <c r="D693" s="49"/>
      <c r="E693" s="49"/>
      <c r="W693" s="59"/>
    </row>
    <row r="694" spans="4:23" ht="12.75">
      <c r="D694" s="49"/>
      <c r="E694" s="49"/>
      <c r="W694" s="59"/>
    </row>
    <row r="695" spans="4:23" ht="12.75">
      <c r="D695" s="49"/>
      <c r="E695" s="49"/>
      <c r="W695" s="59"/>
    </row>
    <row r="696" spans="4:23" ht="12.75">
      <c r="D696" s="49"/>
      <c r="E696" s="49"/>
      <c r="W696" s="59"/>
    </row>
    <row r="697" spans="4:23" ht="12.75">
      <c r="D697" s="49"/>
      <c r="E697" s="49"/>
      <c r="W697" s="59"/>
    </row>
    <row r="698" spans="4:23" ht="12.75">
      <c r="D698" s="49"/>
      <c r="E698" s="49"/>
      <c r="W698" s="59"/>
    </row>
    <row r="699" spans="4:23" ht="12.75">
      <c r="D699" s="49"/>
      <c r="E699" s="49"/>
      <c r="W699" s="59"/>
    </row>
    <row r="700" spans="4:23" ht="12.75">
      <c r="D700" s="49"/>
      <c r="E700" s="49"/>
      <c r="W700" s="59"/>
    </row>
    <row r="701" spans="4:23" ht="12.75">
      <c r="D701" s="49"/>
      <c r="E701" s="49"/>
      <c r="W701" s="59"/>
    </row>
    <row r="702" spans="4:23" ht="12.75">
      <c r="D702" s="49"/>
      <c r="E702" s="49"/>
      <c r="W702" s="59"/>
    </row>
    <row r="703" spans="4:23" ht="12.75">
      <c r="D703" s="49"/>
      <c r="E703" s="49"/>
      <c r="W703" s="59"/>
    </row>
    <row r="704" spans="4:23" ht="12.75">
      <c r="D704" s="49"/>
      <c r="E704" s="49"/>
      <c r="W704" s="59"/>
    </row>
    <row r="705" spans="4:23" ht="12.75">
      <c r="D705" s="49"/>
      <c r="E705" s="49"/>
      <c r="W705" s="59"/>
    </row>
    <row r="706" spans="4:23" ht="12.75">
      <c r="D706" s="49"/>
      <c r="E706" s="49"/>
      <c r="W706" s="59"/>
    </row>
    <row r="707" spans="4:23" ht="12.75">
      <c r="D707" s="49"/>
      <c r="E707" s="49"/>
      <c r="W707" s="59"/>
    </row>
    <row r="708" spans="4:23" ht="12.75">
      <c r="D708" s="49"/>
      <c r="E708" s="49"/>
      <c r="W708" s="59"/>
    </row>
    <row r="709" spans="4:23" ht="12.75">
      <c r="D709" s="49"/>
      <c r="E709" s="49"/>
      <c r="W709" s="59"/>
    </row>
    <row r="710" spans="4:23" ht="12.75">
      <c r="D710" s="49"/>
      <c r="E710" s="49"/>
      <c r="W710" s="59"/>
    </row>
    <row r="711" spans="4:23" ht="12.75">
      <c r="D711" s="49"/>
      <c r="E711" s="49"/>
      <c r="W711" s="59"/>
    </row>
    <row r="712" spans="4:23" ht="12.75">
      <c r="D712" s="49"/>
      <c r="E712" s="49"/>
      <c r="W712" s="59"/>
    </row>
    <row r="713" spans="4:23" ht="12.75">
      <c r="D713" s="49"/>
      <c r="E713" s="49"/>
      <c r="W713" s="59"/>
    </row>
    <row r="714" spans="4:23" ht="12.75">
      <c r="D714" s="49"/>
      <c r="E714" s="49"/>
      <c r="W714" s="59"/>
    </row>
    <row r="715" spans="4:23" ht="12.75">
      <c r="D715" s="49"/>
      <c r="E715" s="49"/>
      <c r="W715" s="59"/>
    </row>
    <row r="716" spans="4:23" ht="12.75">
      <c r="D716" s="49"/>
      <c r="E716" s="49"/>
      <c r="W716" s="59"/>
    </row>
    <row r="717" spans="4:23" ht="12.75">
      <c r="D717" s="49"/>
      <c r="E717" s="49"/>
      <c r="W717" s="59"/>
    </row>
    <row r="718" spans="4:23" ht="12.75">
      <c r="D718" s="49"/>
      <c r="E718" s="49"/>
      <c r="W718" s="59"/>
    </row>
    <row r="719" spans="4:23" ht="12.75">
      <c r="D719" s="49"/>
      <c r="E719" s="49"/>
      <c r="W719" s="59"/>
    </row>
    <row r="720" spans="4:23" ht="12.75">
      <c r="D720" s="49"/>
      <c r="E720" s="49"/>
      <c r="W720" s="59"/>
    </row>
    <row r="721" spans="4:23" ht="12.75">
      <c r="D721" s="49"/>
      <c r="E721" s="49"/>
      <c r="W721" s="59"/>
    </row>
    <row r="722" spans="4:23" ht="12.75">
      <c r="D722" s="49"/>
      <c r="E722" s="49"/>
      <c r="W722" s="59"/>
    </row>
    <row r="723" spans="4:23" ht="12.75">
      <c r="D723" s="49"/>
      <c r="E723" s="49"/>
      <c r="W723" s="59"/>
    </row>
    <row r="724" spans="4:23" ht="12.75">
      <c r="D724" s="49"/>
      <c r="E724" s="49"/>
      <c r="W724" s="59"/>
    </row>
    <row r="725" spans="4:23" ht="12.75">
      <c r="D725" s="49"/>
      <c r="E725" s="49"/>
      <c r="W725" s="59"/>
    </row>
    <row r="726" spans="4:23" ht="12.75">
      <c r="D726" s="49"/>
      <c r="E726" s="49"/>
      <c r="W726" s="59"/>
    </row>
    <row r="727" spans="4:23" ht="12.75">
      <c r="D727" s="49"/>
      <c r="E727" s="49"/>
      <c r="W727" s="59"/>
    </row>
    <row r="728" spans="4:23" ht="12.75">
      <c r="D728" s="49"/>
      <c r="E728" s="49"/>
      <c r="W728" s="59"/>
    </row>
    <row r="729" spans="4:23" ht="12.75">
      <c r="D729" s="49"/>
      <c r="E729" s="49"/>
      <c r="W729" s="59"/>
    </row>
    <row r="730" spans="4:23" ht="12.75">
      <c r="D730" s="49"/>
      <c r="E730" s="49"/>
      <c r="W730" s="59"/>
    </row>
    <row r="731" spans="4:23" ht="12.75">
      <c r="D731" s="49"/>
      <c r="E731" s="49"/>
      <c r="W731" s="59"/>
    </row>
    <row r="732" spans="4:23" ht="12.75">
      <c r="D732" s="49"/>
      <c r="E732" s="49"/>
      <c r="W732" s="59"/>
    </row>
    <row r="733" spans="4:23" ht="12.75">
      <c r="D733" s="49"/>
      <c r="E733" s="49"/>
      <c r="W733" s="59"/>
    </row>
    <row r="734" spans="4:23" ht="12.75">
      <c r="D734" s="49"/>
      <c r="E734" s="49"/>
      <c r="W734" s="59"/>
    </row>
    <row r="735" spans="4:23" ht="12.75">
      <c r="D735" s="49"/>
      <c r="E735" s="49"/>
      <c r="W735" s="59"/>
    </row>
    <row r="736" spans="4:23" ht="12.75">
      <c r="D736" s="49"/>
      <c r="E736" s="49"/>
      <c r="W736" s="59"/>
    </row>
    <row r="737" spans="4:23" ht="12.75">
      <c r="D737" s="49"/>
      <c r="E737" s="49"/>
      <c r="W737" s="59"/>
    </row>
    <row r="738" spans="4:23" ht="12.75">
      <c r="D738" s="49"/>
      <c r="E738" s="49"/>
      <c r="W738" s="59"/>
    </row>
    <row r="739" spans="4:23" ht="12.75">
      <c r="D739" s="49"/>
      <c r="E739" s="49"/>
      <c r="W739" s="59"/>
    </row>
    <row r="740" spans="4:23" ht="12.75">
      <c r="D740" s="49"/>
      <c r="E740" s="49"/>
      <c r="W740" s="59"/>
    </row>
    <row r="741" spans="4:23" ht="12.75">
      <c r="D741" s="49"/>
      <c r="E741" s="49"/>
      <c r="W741" s="59"/>
    </row>
    <row r="742" spans="4:23" ht="12.75">
      <c r="D742" s="49"/>
      <c r="E742" s="49"/>
      <c r="W742" s="59"/>
    </row>
    <row r="743" spans="4:23" ht="12.75">
      <c r="D743" s="49"/>
      <c r="E743" s="49"/>
      <c r="W743" s="59"/>
    </row>
    <row r="744" spans="4:23" ht="12.75">
      <c r="D744" s="49"/>
      <c r="E744" s="49"/>
      <c r="W744" s="59"/>
    </row>
    <row r="745" spans="4:23" ht="12.75">
      <c r="D745" s="49"/>
      <c r="E745" s="49"/>
      <c r="W745" s="59"/>
    </row>
    <row r="746" spans="4:23" ht="12.75">
      <c r="D746" s="49"/>
      <c r="E746" s="49"/>
      <c r="W746" s="59"/>
    </row>
    <row r="747" spans="4:23" ht="12.75">
      <c r="D747" s="49"/>
      <c r="E747" s="49"/>
      <c r="W747" s="59"/>
    </row>
    <row r="748" spans="4:23" ht="12.75">
      <c r="D748" s="49"/>
      <c r="E748" s="49"/>
      <c r="W748" s="59"/>
    </row>
    <row r="749" spans="4:23" ht="12.75">
      <c r="D749" s="49"/>
      <c r="E749" s="49"/>
      <c r="W749" s="59"/>
    </row>
    <row r="750" spans="4:23" ht="12.75">
      <c r="D750" s="49"/>
      <c r="E750" s="49"/>
      <c r="W750" s="59"/>
    </row>
    <row r="751" spans="4:23" ht="12.75">
      <c r="D751" s="49"/>
      <c r="E751" s="49"/>
      <c r="W751" s="59"/>
    </row>
    <row r="752" spans="4:23" ht="12.75">
      <c r="D752" s="49"/>
      <c r="E752" s="49"/>
      <c r="W752" s="59"/>
    </row>
    <row r="753" spans="4:23" ht="12.75">
      <c r="D753" s="49"/>
      <c r="E753" s="49"/>
      <c r="W753" s="59"/>
    </row>
    <row r="754" spans="4:23" ht="12.75">
      <c r="D754" s="49"/>
      <c r="E754" s="49"/>
      <c r="W754" s="59"/>
    </row>
    <row r="755" spans="4:23" ht="12.75">
      <c r="D755" s="49"/>
      <c r="E755" s="49"/>
      <c r="W755" s="59"/>
    </row>
    <row r="756" spans="4:23" ht="12.75">
      <c r="D756" s="49"/>
      <c r="E756" s="49"/>
      <c r="W756" s="59"/>
    </row>
    <row r="757" spans="4:23" ht="12.75">
      <c r="D757" s="49"/>
      <c r="E757" s="49"/>
      <c r="W757" s="59"/>
    </row>
    <row r="758" spans="4:23" ht="12.75">
      <c r="D758" s="49"/>
      <c r="E758" s="49"/>
      <c r="W758" s="59"/>
    </row>
    <row r="759" spans="4:23" ht="12.75">
      <c r="D759" s="49"/>
      <c r="E759" s="49"/>
      <c r="W759" s="59"/>
    </row>
    <row r="760" spans="4:23" ht="12.75">
      <c r="D760" s="49"/>
      <c r="E760" s="49"/>
      <c r="W760" s="59"/>
    </row>
    <row r="761" spans="4:23" ht="12.75">
      <c r="D761" s="49"/>
      <c r="E761" s="49"/>
      <c r="W761" s="59"/>
    </row>
    <row r="762" spans="4:23" ht="12.75">
      <c r="D762" s="49"/>
      <c r="E762" s="49"/>
      <c r="W762" s="59"/>
    </row>
    <row r="763" spans="4:23" ht="12.75">
      <c r="D763" s="49"/>
      <c r="E763" s="49"/>
      <c r="W763" s="59"/>
    </row>
    <row r="764" spans="4:23" ht="12.75">
      <c r="D764" s="49"/>
      <c r="E764" s="49"/>
      <c r="W764" s="59"/>
    </row>
    <row r="765" spans="4:23" ht="12.75">
      <c r="D765" s="49"/>
      <c r="E765" s="49"/>
      <c r="W765" s="59"/>
    </row>
    <row r="766" spans="4:23" ht="12.75">
      <c r="D766" s="49"/>
      <c r="E766" s="49"/>
      <c r="W766" s="59"/>
    </row>
    <row r="767" spans="4:23" ht="12.75">
      <c r="D767" s="49"/>
      <c r="E767" s="49"/>
      <c r="W767" s="59"/>
    </row>
    <row r="768" spans="4:23" ht="12.75">
      <c r="D768" s="49"/>
      <c r="E768" s="49"/>
      <c r="W768" s="59"/>
    </row>
    <row r="769" spans="4:23" ht="12.75">
      <c r="D769" s="49"/>
      <c r="E769" s="49"/>
      <c r="W769" s="59"/>
    </row>
    <row r="770" spans="4:23" ht="12.75">
      <c r="D770" s="49"/>
      <c r="E770" s="49"/>
      <c r="W770" s="59"/>
    </row>
    <row r="771" spans="4:23" ht="12.75">
      <c r="D771" s="49"/>
      <c r="E771" s="49"/>
      <c r="W771" s="59"/>
    </row>
    <row r="772" spans="4:23" ht="12.75">
      <c r="D772" s="49"/>
      <c r="E772" s="49"/>
      <c r="W772" s="59"/>
    </row>
    <row r="773" spans="4:23" ht="12.75">
      <c r="D773" s="49"/>
      <c r="E773" s="49"/>
      <c r="W773" s="59"/>
    </row>
    <row r="774" spans="4:23" ht="12.75">
      <c r="D774" s="49"/>
      <c r="E774" s="49"/>
      <c r="W774" s="59"/>
    </row>
    <row r="775" spans="4:23" ht="12.75">
      <c r="D775" s="49"/>
      <c r="E775" s="49"/>
      <c r="W775" s="59"/>
    </row>
    <row r="776" spans="4:23" ht="12.75">
      <c r="D776" s="49"/>
      <c r="E776" s="49"/>
      <c r="W776" s="59"/>
    </row>
    <row r="777" spans="4:23" ht="12.75">
      <c r="D777" s="49"/>
      <c r="E777" s="49"/>
      <c r="W777" s="59"/>
    </row>
    <row r="778" spans="4:23" ht="12.75">
      <c r="D778" s="49"/>
      <c r="E778" s="49"/>
      <c r="W778" s="59"/>
    </row>
    <row r="779" spans="4:23" ht="12.75">
      <c r="D779" s="49"/>
      <c r="E779" s="49"/>
      <c r="W779" s="59"/>
    </row>
    <row r="780" spans="4:23" ht="12.75">
      <c r="D780" s="49"/>
      <c r="E780" s="49"/>
      <c r="W780" s="59"/>
    </row>
    <row r="781" spans="4:23" ht="12.75">
      <c r="D781" s="49"/>
      <c r="E781" s="49"/>
      <c r="W781" s="59"/>
    </row>
    <row r="782" spans="4:23" ht="12.75">
      <c r="D782" s="49"/>
      <c r="E782" s="49"/>
      <c r="W782" s="59"/>
    </row>
    <row r="783" spans="4:23" ht="12.75">
      <c r="D783" s="49"/>
      <c r="E783" s="49"/>
      <c r="W783" s="59"/>
    </row>
    <row r="784" spans="4:23" ht="12.75">
      <c r="D784" s="49"/>
      <c r="E784" s="49"/>
      <c r="W784" s="59"/>
    </row>
    <row r="785" spans="4:23" ht="12.75">
      <c r="D785" s="49"/>
      <c r="E785" s="49"/>
      <c r="W785" s="59"/>
    </row>
    <row r="786" spans="4:23" ht="12.75">
      <c r="D786" s="49"/>
      <c r="E786" s="49"/>
      <c r="W786" s="59"/>
    </row>
    <row r="787" spans="4:23" ht="12.75">
      <c r="D787" s="49"/>
      <c r="E787" s="49"/>
      <c r="W787" s="59"/>
    </row>
    <row r="788" spans="4:23" ht="12.75">
      <c r="D788" s="49"/>
      <c r="E788" s="49"/>
      <c r="W788" s="59"/>
    </row>
    <row r="789" spans="4:23" ht="12.75">
      <c r="D789" s="49"/>
      <c r="E789" s="49"/>
      <c r="W789" s="59"/>
    </row>
    <row r="790" spans="4:23" ht="12.75">
      <c r="D790" s="49"/>
      <c r="E790" s="49"/>
      <c r="W790" s="59"/>
    </row>
    <row r="791" spans="4:23" ht="12.75">
      <c r="D791" s="49"/>
      <c r="E791" s="49"/>
      <c r="W791" s="59"/>
    </row>
    <row r="792" spans="4:23" ht="12.75">
      <c r="D792" s="49"/>
      <c r="E792" s="49"/>
      <c r="W792" s="59"/>
    </row>
    <row r="793" spans="4:23" ht="12.75">
      <c r="D793" s="49"/>
      <c r="E793" s="49"/>
      <c r="W793" s="59"/>
    </row>
    <row r="794" spans="4:23" ht="12.75">
      <c r="D794" s="49"/>
      <c r="E794" s="49"/>
      <c r="W794" s="59"/>
    </row>
    <row r="795" spans="4:23" ht="12.75">
      <c r="D795" s="49"/>
      <c r="E795" s="49"/>
      <c r="W795" s="59"/>
    </row>
    <row r="796" spans="4:23" ht="12.75">
      <c r="D796" s="49"/>
      <c r="E796" s="49"/>
      <c r="W796" s="59"/>
    </row>
    <row r="797" spans="4:23" ht="12.75">
      <c r="D797" s="49"/>
      <c r="E797" s="49"/>
      <c r="W797" s="59"/>
    </row>
    <row r="798" spans="4:23" ht="12.75">
      <c r="D798" s="49"/>
      <c r="E798" s="49"/>
      <c r="W798" s="59"/>
    </row>
    <row r="799" spans="4:23" ht="12.75">
      <c r="D799" s="49"/>
      <c r="E799" s="49"/>
      <c r="W799" s="59"/>
    </row>
    <row r="800" spans="4:23" ht="12.75">
      <c r="D800" s="49"/>
      <c r="E800" s="49"/>
      <c r="W800" s="59"/>
    </row>
    <row r="801" spans="4:23" ht="12.75">
      <c r="D801" s="49"/>
      <c r="E801" s="49"/>
      <c r="W801" s="59"/>
    </row>
    <row r="802" spans="4:23" ht="12.75">
      <c r="D802" s="49"/>
      <c r="E802" s="49"/>
      <c r="W802" s="59"/>
    </row>
    <row r="803" spans="4:23" ht="12.75">
      <c r="D803" s="49"/>
      <c r="E803" s="49"/>
      <c r="W803" s="59"/>
    </row>
    <row r="804" spans="4:23" ht="12.75">
      <c r="D804" s="49"/>
      <c r="E804" s="49"/>
      <c r="W804" s="59"/>
    </row>
    <row r="805" spans="4:23" ht="12.75">
      <c r="D805" s="49"/>
      <c r="E805" s="49"/>
      <c r="W805" s="59"/>
    </row>
    <row r="806" spans="4:23" ht="12.75">
      <c r="D806" s="49"/>
      <c r="E806" s="49"/>
      <c r="W806" s="59"/>
    </row>
    <row r="807" spans="4:23" ht="12.75">
      <c r="D807" s="49"/>
      <c r="E807" s="49"/>
      <c r="W807" s="59"/>
    </row>
    <row r="808" spans="4:23" ht="12.75">
      <c r="D808" s="49"/>
      <c r="E808" s="49"/>
      <c r="W808" s="59"/>
    </row>
    <row r="809" spans="4:23" ht="12.75">
      <c r="D809" s="49"/>
      <c r="E809" s="49"/>
      <c r="W809" s="59"/>
    </row>
    <row r="810" spans="4:23" ht="12.75">
      <c r="D810" s="49"/>
      <c r="E810" s="49"/>
      <c r="W810" s="59"/>
    </row>
    <row r="811" spans="4:23" ht="12.75">
      <c r="D811" s="49"/>
      <c r="E811" s="49"/>
      <c r="W811" s="59"/>
    </row>
    <row r="812" spans="4:23" ht="12.75">
      <c r="D812" s="49"/>
      <c r="E812" s="49"/>
      <c r="W812" s="59"/>
    </row>
    <row r="813" spans="4:23" ht="12.75">
      <c r="D813" s="49"/>
      <c r="E813" s="49"/>
      <c r="W813" s="59"/>
    </row>
    <row r="814" spans="4:23" ht="12.75">
      <c r="D814" s="49"/>
      <c r="E814" s="49"/>
      <c r="W814" s="59"/>
    </row>
    <row r="815" spans="4:23" ht="12.75">
      <c r="D815" s="49"/>
      <c r="E815" s="49"/>
      <c r="W815" s="59"/>
    </row>
    <row r="816" spans="4:23" ht="12.75">
      <c r="D816" s="49"/>
      <c r="E816" s="49"/>
      <c r="W816" s="59"/>
    </row>
    <row r="817" spans="4:23" ht="12.75">
      <c r="D817" s="49"/>
      <c r="E817" s="49"/>
      <c r="W817" s="59"/>
    </row>
    <row r="818" spans="4:23" ht="12.75">
      <c r="D818" s="49"/>
      <c r="E818" s="49"/>
      <c r="W818" s="59"/>
    </row>
    <row r="819" spans="4:23" ht="12.75">
      <c r="D819" s="49"/>
      <c r="E819" s="49"/>
      <c r="W819" s="59"/>
    </row>
    <row r="820" spans="4:23" ht="12.75">
      <c r="D820" s="49"/>
      <c r="E820" s="49"/>
      <c r="W820" s="59"/>
    </row>
    <row r="821" spans="4:23" ht="12.75">
      <c r="D821" s="49"/>
      <c r="E821" s="49"/>
      <c r="W821" s="59"/>
    </row>
    <row r="822" spans="4:23" ht="12.75">
      <c r="D822" s="49"/>
      <c r="E822" s="49"/>
      <c r="W822" s="59"/>
    </row>
    <row r="823" spans="4:23" ht="12.75">
      <c r="D823" s="49"/>
      <c r="E823" s="49"/>
      <c r="W823" s="59"/>
    </row>
    <row r="824" spans="4:23" ht="12.75">
      <c r="D824" s="49"/>
      <c r="E824" s="49"/>
      <c r="W824" s="59"/>
    </row>
    <row r="825" spans="4:23" ht="12.75">
      <c r="D825" s="49"/>
      <c r="E825" s="49"/>
      <c r="W825" s="59"/>
    </row>
    <row r="826" spans="4:23" ht="12.75">
      <c r="D826" s="49"/>
      <c r="E826" s="49"/>
      <c r="W826" s="59"/>
    </row>
    <row r="827" spans="4:23" ht="12.75">
      <c r="D827" s="49"/>
      <c r="E827" s="49"/>
      <c r="W827" s="59"/>
    </row>
    <row r="828" spans="4:23" ht="12.75">
      <c r="D828" s="49"/>
      <c r="E828" s="49"/>
      <c r="W828" s="59"/>
    </row>
    <row r="829" spans="4:23" ht="12.75">
      <c r="D829" s="49"/>
      <c r="E829" s="49"/>
      <c r="W829" s="59"/>
    </row>
    <row r="830" spans="4:23" ht="12.75">
      <c r="D830" s="49"/>
      <c r="E830" s="49"/>
      <c r="W830" s="59"/>
    </row>
    <row r="831" spans="4:23" ht="12.75">
      <c r="D831" s="49"/>
      <c r="E831" s="49"/>
      <c r="W831" s="59"/>
    </row>
    <row r="832" spans="4:23" ht="12.75">
      <c r="D832" s="49"/>
      <c r="E832" s="49"/>
      <c r="W832" s="59"/>
    </row>
    <row r="833" spans="4:23" ht="12.75">
      <c r="D833" s="49"/>
      <c r="E833" s="49"/>
      <c r="W833" s="59"/>
    </row>
    <row r="834" spans="4:23" ht="12.75">
      <c r="D834" s="49"/>
      <c r="E834" s="49"/>
      <c r="W834" s="59"/>
    </row>
    <row r="835" spans="4:23" ht="12.75">
      <c r="D835" s="49"/>
      <c r="E835" s="49"/>
      <c r="W835" s="59"/>
    </row>
    <row r="836" spans="4:23" ht="12.75">
      <c r="D836" s="49"/>
      <c r="E836" s="49"/>
      <c r="W836" s="59"/>
    </row>
    <row r="837" spans="4:23" ht="12.75">
      <c r="D837" s="49"/>
      <c r="E837" s="49"/>
      <c r="W837" s="59"/>
    </row>
    <row r="838" spans="4:23" ht="12.75">
      <c r="D838" s="49"/>
      <c r="E838" s="49"/>
      <c r="W838" s="59"/>
    </row>
    <row r="839" spans="4:23" ht="12.75">
      <c r="D839" s="49"/>
      <c r="E839" s="49"/>
      <c r="W839" s="59"/>
    </row>
    <row r="840" spans="4:23" ht="12.75">
      <c r="D840" s="49"/>
      <c r="E840" s="49"/>
      <c r="W840" s="59"/>
    </row>
    <row r="841" spans="4:23" ht="12.75">
      <c r="D841" s="49"/>
      <c r="E841" s="49"/>
      <c r="W841" s="59"/>
    </row>
    <row r="842" spans="4:23" ht="12.75">
      <c r="D842" s="49"/>
      <c r="E842" s="49"/>
      <c r="W842" s="59"/>
    </row>
    <row r="843" spans="4:23" ht="12.75">
      <c r="D843" s="49"/>
      <c r="E843" s="49"/>
      <c r="W843" s="59"/>
    </row>
    <row r="844" spans="4:23" ht="12.75">
      <c r="D844" s="49"/>
      <c r="E844" s="49"/>
      <c r="W844" s="59"/>
    </row>
    <row r="845" spans="4:23" ht="12.75">
      <c r="D845" s="49"/>
      <c r="E845" s="49"/>
      <c r="W845" s="59"/>
    </row>
    <row r="846" spans="4:23" ht="12.75">
      <c r="D846" s="49"/>
      <c r="E846" s="49"/>
      <c r="W846" s="59"/>
    </row>
    <row r="847" spans="4:23" ht="12.75">
      <c r="D847" s="49"/>
      <c r="E847" s="49"/>
      <c r="W847" s="59"/>
    </row>
    <row r="848" spans="4:23" ht="12.75">
      <c r="D848" s="49"/>
      <c r="E848" s="49"/>
      <c r="W848" s="59"/>
    </row>
    <row r="849" spans="4:23" ht="12.75">
      <c r="D849" s="49"/>
      <c r="E849" s="49"/>
      <c r="W849" s="59"/>
    </row>
    <row r="850" spans="4:23" ht="12.75">
      <c r="D850" s="49"/>
      <c r="E850" s="49"/>
      <c r="W850" s="59"/>
    </row>
    <row r="851" spans="4:23" ht="12.75">
      <c r="D851" s="49"/>
      <c r="E851" s="49"/>
      <c r="W851" s="59"/>
    </row>
    <row r="852" spans="4:23" ht="12.75">
      <c r="D852" s="49"/>
      <c r="E852" s="49"/>
      <c r="W852" s="59"/>
    </row>
    <row r="853" spans="4:23" ht="12.75">
      <c r="D853" s="49"/>
      <c r="E853" s="49"/>
      <c r="W853" s="59"/>
    </row>
    <row r="854" spans="4:23" ht="12.75">
      <c r="D854" s="49"/>
      <c r="E854" s="49"/>
      <c r="W854" s="59"/>
    </row>
    <row r="855" spans="4:23" ht="12.75">
      <c r="D855" s="49"/>
      <c r="E855" s="49"/>
      <c r="W855" s="59"/>
    </row>
    <row r="856" spans="4:23" ht="12.75">
      <c r="D856" s="49"/>
      <c r="E856" s="49"/>
      <c r="W856" s="59"/>
    </row>
    <row r="857" spans="4:23" ht="12.75">
      <c r="D857" s="49"/>
      <c r="E857" s="49"/>
      <c r="W857" s="59"/>
    </row>
    <row r="858" spans="4:23" ht="12.75">
      <c r="D858" s="49"/>
      <c r="E858" s="49"/>
      <c r="W858" s="59"/>
    </row>
    <row r="859" spans="4:23" ht="12.75">
      <c r="D859" s="49"/>
      <c r="E859" s="49"/>
      <c r="W859" s="59"/>
    </row>
    <row r="860" spans="4:23" ht="12.75">
      <c r="D860" s="49"/>
      <c r="E860" s="49"/>
      <c r="W860" s="59"/>
    </row>
    <row r="861" spans="4:23" ht="12.75">
      <c r="D861" s="49"/>
      <c r="E861" s="49"/>
      <c r="W861" s="59"/>
    </row>
    <row r="862" spans="4:23" ht="12.75">
      <c r="D862" s="49"/>
      <c r="E862" s="49"/>
      <c r="W862" s="59"/>
    </row>
    <row r="863" spans="4:23" ht="12.75">
      <c r="D863" s="49"/>
      <c r="E863" s="49"/>
      <c r="W863" s="59"/>
    </row>
    <row r="864" spans="4:23" ht="12.75">
      <c r="D864" s="49"/>
      <c r="E864" s="49"/>
      <c r="W864" s="59"/>
    </row>
    <row r="865" spans="4:23" ht="12.75">
      <c r="D865" s="49"/>
      <c r="E865" s="49"/>
      <c r="W865" s="59"/>
    </row>
    <row r="866" spans="4:23" ht="12.75">
      <c r="D866" s="49"/>
      <c r="E866" s="49"/>
      <c r="W866" s="59"/>
    </row>
    <row r="867" spans="4:23" ht="12.75">
      <c r="D867" s="49"/>
      <c r="E867" s="49"/>
      <c r="W867" s="59"/>
    </row>
    <row r="868" spans="4:23" ht="12.75">
      <c r="D868" s="49"/>
      <c r="E868" s="49"/>
      <c r="W868" s="59"/>
    </row>
    <row r="869" spans="4:23" ht="12.75">
      <c r="D869" s="49"/>
      <c r="E869" s="49"/>
      <c r="W869" s="59"/>
    </row>
    <row r="870" spans="4:23" ht="12.75">
      <c r="D870" s="49"/>
      <c r="E870" s="49"/>
      <c r="W870" s="59"/>
    </row>
    <row r="871" spans="4:23" ht="12.75">
      <c r="D871" s="49"/>
      <c r="E871" s="49"/>
      <c r="W871" s="59"/>
    </row>
    <row r="872" spans="4:23" ht="12.75">
      <c r="D872" s="49"/>
      <c r="E872" s="49"/>
      <c r="W872" s="59"/>
    </row>
    <row r="873" spans="4:23" ht="12.75">
      <c r="D873" s="49"/>
      <c r="E873" s="49"/>
      <c r="W873" s="59"/>
    </row>
    <row r="874" spans="4:23" ht="12.75">
      <c r="D874" s="49"/>
      <c r="E874" s="49"/>
      <c r="W874" s="59"/>
    </row>
    <row r="875" spans="4:23" ht="12.75">
      <c r="D875" s="49"/>
      <c r="E875" s="49"/>
      <c r="W875" s="59"/>
    </row>
    <row r="876" spans="4:23" ht="12.75">
      <c r="D876" s="49"/>
      <c r="E876" s="49"/>
      <c r="W876" s="59"/>
    </row>
    <row r="877" spans="4:23" ht="12.75">
      <c r="D877" s="49"/>
      <c r="E877" s="49"/>
      <c r="W877" s="59"/>
    </row>
    <row r="878" spans="4:23" ht="12.75">
      <c r="D878" s="49"/>
      <c r="E878" s="49"/>
      <c r="W878" s="59"/>
    </row>
    <row r="879" spans="4:23" ht="12.75">
      <c r="D879" s="49"/>
      <c r="E879" s="49"/>
      <c r="W879" s="59"/>
    </row>
    <row r="880" spans="4:23" ht="12.75">
      <c r="D880" s="49"/>
      <c r="E880" s="49"/>
      <c r="W880" s="59"/>
    </row>
    <row r="881" spans="4:23" ht="12.75">
      <c r="D881" s="49"/>
      <c r="E881" s="49"/>
      <c r="W881" s="59"/>
    </row>
    <row r="882" spans="4:23" ht="12.75">
      <c r="D882" s="49"/>
      <c r="E882" s="49"/>
      <c r="W882" s="59"/>
    </row>
    <row r="883" spans="4:23" ht="12.75">
      <c r="D883" s="49"/>
      <c r="E883" s="49"/>
      <c r="W883" s="59"/>
    </row>
    <row r="884" spans="4:23" ht="12.75">
      <c r="D884" s="49"/>
      <c r="E884" s="49"/>
      <c r="W884" s="59"/>
    </row>
    <row r="885" spans="4:23" ht="12.75">
      <c r="D885" s="49"/>
      <c r="E885" s="49"/>
      <c r="W885" s="59"/>
    </row>
    <row r="886" spans="4:23" ht="12.75">
      <c r="D886" s="49"/>
      <c r="E886" s="49"/>
      <c r="W886" s="59"/>
    </row>
    <row r="887" spans="4:23" ht="12.75">
      <c r="D887" s="49"/>
      <c r="E887" s="49"/>
      <c r="W887" s="59"/>
    </row>
    <row r="888" spans="4:23" ht="12.75">
      <c r="D888" s="49"/>
      <c r="E888" s="49"/>
      <c r="W888" s="59"/>
    </row>
    <row r="889" spans="4:23" ht="12.75">
      <c r="D889" s="49"/>
      <c r="E889" s="49"/>
      <c r="W889" s="59"/>
    </row>
    <row r="890" spans="4:23" ht="12.75">
      <c r="D890" s="49"/>
      <c r="E890" s="49"/>
      <c r="W890" s="59"/>
    </row>
    <row r="891" spans="4:23" ht="12.75">
      <c r="D891" s="49"/>
      <c r="E891" s="49"/>
      <c r="W891" s="59"/>
    </row>
    <row r="892" spans="4:23" ht="12.75">
      <c r="D892" s="49"/>
      <c r="E892" s="49"/>
      <c r="W892" s="59"/>
    </row>
    <row r="893" spans="4:23" ht="12.75">
      <c r="D893" s="49"/>
      <c r="E893" s="49"/>
      <c r="W893" s="59"/>
    </row>
    <row r="894" spans="4:23" ht="12.75">
      <c r="D894" s="49"/>
      <c r="E894" s="49"/>
      <c r="W894" s="59"/>
    </row>
    <row r="895" spans="4:23" ht="12.75">
      <c r="D895" s="49"/>
      <c r="E895" s="49"/>
      <c r="W895" s="59"/>
    </row>
    <row r="896" spans="4:23" ht="12.75">
      <c r="D896" s="49"/>
      <c r="E896" s="49"/>
      <c r="W896" s="59"/>
    </row>
    <row r="897" spans="4:23" ht="12.75">
      <c r="D897" s="49"/>
      <c r="E897" s="49"/>
      <c r="W897" s="59"/>
    </row>
    <row r="898" spans="4:23" ht="12.75">
      <c r="D898" s="49"/>
      <c r="E898" s="49"/>
      <c r="W898" s="59"/>
    </row>
    <row r="899" spans="4:23" ht="12.75">
      <c r="D899" s="49"/>
      <c r="E899" s="49"/>
      <c r="W899" s="59"/>
    </row>
    <row r="900" spans="4:23" ht="12.75">
      <c r="D900" s="49"/>
      <c r="E900" s="49"/>
      <c r="W900" s="59"/>
    </row>
    <row r="901" spans="4:23" ht="12.75">
      <c r="D901" s="49"/>
      <c r="E901" s="49"/>
      <c r="W901" s="59"/>
    </row>
    <row r="902" spans="4:23" ht="12.75">
      <c r="D902" s="49"/>
      <c r="E902" s="49"/>
      <c r="W902" s="59"/>
    </row>
    <row r="903" spans="4:23" ht="12.75">
      <c r="D903" s="49"/>
      <c r="E903" s="49"/>
      <c r="W903" s="59"/>
    </row>
    <row r="904" spans="4:23" ht="12.75">
      <c r="D904" s="49"/>
      <c r="E904" s="49"/>
      <c r="W904" s="59"/>
    </row>
    <row r="905" spans="4:23" ht="12.75">
      <c r="D905" s="49"/>
      <c r="E905" s="49"/>
      <c r="W905" s="59"/>
    </row>
    <row r="906" spans="4:23" ht="12.75">
      <c r="D906" s="49"/>
      <c r="E906" s="49"/>
      <c r="W906" s="59"/>
    </row>
    <row r="907" spans="4:23" ht="12.75">
      <c r="D907" s="49"/>
      <c r="E907" s="49"/>
      <c r="W907" s="59"/>
    </row>
    <row r="908" spans="4:23" ht="12.75">
      <c r="D908" s="49"/>
      <c r="E908" s="49"/>
      <c r="W908" s="59"/>
    </row>
    <row r="909" spans="4:23" ht="12.75">
      <c r="D909" s="49"/>
      <c r="E909" s="49"/>
      <c r="W909" s="59"/>
    </row>
    <row r="910" spans="4:23" ht="12.75">
      <c r="D910" s="49"/>
      <c r="E910" s="49"/>
      <c r="W910" s="59"/>
    </row>
    <row r="911" spans="4:23" ht="12.75">
      <c r="D911" s="49"/>
      <c r="E911" s="49"/>
      <c r="W911" s="59"/>
    </row>
    <row r="912" spans="4:23" ht="12.75">
      <c r="D912" s="49"/>
      <c r="E912" s="49"/>
      <c r="W912" s="59"/>
    </row>
    <row r="913" spans="4:23" ht="12.75">
      <c r="D913" s="49"/>
      <c r="E913" s="49"/>
      <c r="W913" s="59"/>
    </row>
    <row r="914" spans="4:23" ht="12.75">
      <c r="D914" s="49"/>
      <c r="E914" s="49"/>
      <c r="W914" s="59"/>
    </row>
    <row r="915" spans="4:23" ht="12.75">
      <c r="D915" s="49"/>
      <c r="E915" s="49"/>
      <c r="W915" s="59"/>
    </row>
    <row r="916" spans="4:23" ht="12.75">
      <c r="D916" s="49"/>
      <c r="E916" s="49"/>
      <c r="W916" s="59"/>
    </row>
    <row r="917" spans="4:23" ht="12.75">
      <c r="D917" s="49"/>
      <c r="E917" s="49"/>
      <c r="W917" s="59"/>
    </row>
    <row r="918" spans="4:23" ht="12.75">
      <c r="D918" s="49"/>
      <c r="E918" s="49"/>
      <c r="W918" s="59"/>
    </row>
    <row r="919" spans="4:23" ht="12.75">
      <c r="D919" s="49"/>
      <c r="E919" s="49"/>
      <c r="W919" s="59"/>
    </row>
    <row r="920" spans="4:23" ht="12.75">
      <c r="D920" s="49"/>
      <c r="E920" s="49"/>
      <c r="W920" s="59"/>
    </row>
    <row r="921" spans="4:23" ht="12.75">
      <c r="D921" s="49"/>
      <c r="E921" s="49"/>
      <c r="W921" s="59"/>
    </row>
    <row r="922" spans="4:23" ht="12.75">
      <c r="D922" s="49"/>
      <c r="E922" s="49"/>
      <c r="W922" s="59"/>
    </row>
    <row r="923" spans="4:23" ht="12.75">
      <c r="D923" s="49"/>
      <c r="E923" s="49"/>
      <c r="W923" s="59"/>
    </row>
    <row r="924" spans="4:23" ht="12.75">
      <c r="D924" s="49"/>
      <c r="E924" s="49"/>
      <c r="W924" s="59"/>
    </row>
    <row r="925" spans="4:23" ht="12.75">
      <c r="D925" s="49"/>
      <c r="E925" s="49"/>
      <c r="W925" s="59"/>
    </row>
    <row r="926" spans="4:23" ht="12.75">
      <c r="D926" s="49"/>
      <c r="E926" s="49"/>
      <c r="W926" s="59"/>
    </row>
    <row r="927" spans="4:23" ht="12.75">
      <c r="D927" s="49"/>
      <c r="E927" s="49"/>
      <c r="W927" s="59"/>
    </row>
    <row r="928" spans="4:23" ht="12.75">
      <c r="D928" s="49"/>
      <c r="E928" s="49"/>
      <c r="W928" s="59"/>
    </row>
    <row r="929" spans="4:23" ht="12.75">
      <c r="D929" s="49"/>
      <c r="E929" s="49"/>
      <c r="W929" s="59"/>
    </row>
    <row r="930" spans="4:23" ht="12.75">
      <c r="D930" s="49"/>
      <c r="E930" s="49"/>
      <c r="W930" s="59"/>
    </row>
    <row r="931" spans="4:23" ht="12.75">
      <c r="D931" s="49"/>
      <c r="E931" s="49"/>
      <c r="W931" s="59"/>
    </row>
    <row r="932" spans="4:23" ht="12.75">
      <c r="D932" s="49"/>
      <c r="E932" s="49"/>
      <c r="W932" s="59"/>
    </row>
    <row r="933" spans="4:23" ht="12.75">
      <c r="D933" s="49"/>
      <c r="E933" s="49"/>
      <c r="W933" s="59"/>
    </row>
    <row r="934" spans="4:23" ht="12.75">
      <c r="D934" s="49"/>
      <c r="E934" s="49"/>
      <c r="W934" s="59"/>
    </row>
    <row r="935" spans="4:23" ht="12.75">
      <c r="D935" s="49"/>
      <c r="E935" s="49"/>
      <c r="W935" s="59"/>
    </row>
    <row r="936" spans="4:23" ht="12.75">
      <c r="D936" s="49"/>
      <c r="E936" s="49"/>
      <c r="W936" s="59"/>
    </row>
    <row r="937" spans="4:23" ht="12.75">
      <c r="D937" s="49"/>
      <c r="E937" s="49"/>
      <c r="W937" s="59"/>
    </row>
    <row r="938" spans="4:23" ht="12.75">
      <c r="D938" s="49"/>
      <c r="E938" s="49"/>
      <c r="W938" s="59"/>
    </row>
    <row r="939" spans="4:23" ht="12.75">
      <c r="D939" s="49"/>
      <c r="E939" s="49"/>
      <c r="W939" s="59"/>
    </row>
    <row r="940" spans="4:23" ht="12.75">
      <c r="D940" s="49"/>
      <c r="E940" s="49"/>
      <c r="W940" s="59"/>
    </row>
    <row r="941" spans="4:23" ht="12.75">
      <c r="D941" s="49"/>
      <c r="E941" s="49"/>
      <c r="W941" s="59"/>
    </row>
    <row r="942" spans="4:23" ht="12.75">
      <c r="D942" s="49"/>
      <c r="E942" s="49"/>
      <c r="W942" s="59"/>
    </row>
    <row r="943" spans="4:23" ht="12.75">
      <c r="D943" s="49"/>
      <c r="E943" s="49"/>
      <c r="W943" s="59"/>
    </row>
    <row r="944" spans="4:23" ht="12.75">
      <c r="D944" s="49"/>
      <c r="E944" s="49"/>
      <c r="W944" s="59"/>
    </row>
    <row r="945" spans="4:23" ht="12.75">
      <c r="D945" s="49"/>
      <c r="E945" s="49"/>
      <c r="W945" s="59"/>
    </row>
    <row r="946" spans="4:23" ht="12.75">
      <c r="D946" s="49"/>
      <c r="E946" s="49"/>
      <c r="W946" s="59"/>
    </row>
    <row r="947" spans="4:23" ht="12.75">
      <c r="D947" s="49"/>
      <c r="E947" s="49"/>
      <c r="W947" s="59"/>
    </row>
    <row r="948" spans="4:23" ht="12.75">
      <c r="D948" s="49"/>
      <c r="E948" s="49"/>
      <c r="W948" s="59"/>
    </row>
    <row r="949" spans="4:23" ht="12.75">
      <c r="D949" s="49"/>
      <c r="E949" s="49"/>
      <c r="W949" s="59"/>
    </row>
    <row r="950" spans="4:23" ht="12.75">
      <c r="D950" s="49"/>
      <c r="E950" s="49"/>
      <c r="W950" s="59"/>
    </row>
    <row r="951" spans="4:23" ht="12.75">
      <c r="D951" s="49"/>
      <c r="E951" s="49"/>
      <c r="W951" s="59"/>
    </row>
    <row r="952" spans="4:23" ht="12.75">
      <c r="D952" s="49"/>
      <c r="E952" s="49"/>
      <c r="W952" s="59"/>
    </row>
    <row r="953" spans="4:23" ht="12.75">
      <c r="D953" s="49"/>
      <c r="E953" s="49"/>
      <c r="W953" s="59"/>
    </row>
    <row r="954" spans="4:23" ht="12.75">
      <c r="D954" s="49"/>
      <c r="E954" s="49"/>
      <c r="W954" s="59"/>
    </row>
    <row r="955" spans="4:23" ht="12.75">
      <c r="D955" s="49"/>
      <c r="E955" s="49"/>
      <c r="W955" s="59"/>
    </row>
    <row r="956" spans="4:23" ht="12.75">
      <c r="D956" s="49"/>
      <c r="E956" s="49"/>
      <c r="W956" s="59"/>
    </row>
    <row r="957" spans="4:23" ht="12.75">
      <c r="D957" s="49"/>
      <c r="E957" s="49"/>
      <c r="W957" s="59"/>
    </row>
    <row r="958" spans="4:23" ht="12.75">
      <c r="D958" s="49"/>
      <c r="E958" s="49"/>
      <c r="W958" s="59"/>
    </row>
    <row r="959" spans="4:23" ht="12.75">
      <c r="D959" s="49"/>
      <c r="E959" s="49"/>
      <c r="W959" s="59"/>
    </row>
    <row r="960" spans="4:23" ht="12.75">
      <c r="D960" s="49"/>
      <c r="E960" s="49"/>
      <c r="W960" s="59"/>
    </row>
    <row r="961" spans="4:23" ht="12.75">
      <c r="D961" s="49"/>
      <c r="E961" s="49"/>
      <c r="W961" s="59"/>
    </row>
    <row r="962" spans="4:23" ht="12.75">
      <c r="D962" s="49"/>
      <c r="E962" s="49"/>
      <c r="W962" s="59"/>
    </row>
    <row r="963" spans="4:23" ht="12.75">
      <c r="D963" s="49"/>
      <c r="E963" s="49"/>
      <c r="W963" s="59"/>
    </row>
    <row r="964" spans="4:23" ht="12.75">
      <c r="D964" s="49"/>
      <c r="E964" s="49"/>
      <c r="W964" s="59"/>
    </row>
    <row r="965" spans="4:23" ht="12.75">
      <c r="D965" s="49"/>
      <c r="E965" s="49"/>
      <c r="W965" s="59"/>
    </row>
    <row r="966" spans="4:23" ht="12.75">
      <c r="D966" s="49"/>
      <c r="E966" s="49"/>
      <c r="W966" s="59"/>
    </row>
    <row r="967" spans="4:23" ht="12.75">
      <c r="D967" s="49"/>
      <c r="E967" s="49"/>
      <c r="W967" s="59"/>
    </row>
    <row r="968" spans="4:23" ht="12.75">
      <c r="D968" s="49"/>
      <c r="E968" s="49"/>
      <c r="W968" s="59"/>
    </row>
    <row r="969" spans="4:23" ht="12.75">
      <c r="D969" s="49"/>
      <c r="E969" s="49"/>
      <c r="W969" s="59"/>
    </row>
    <row r="970" spans="4:23" ht="12.75">
      <c r="D970" s="49"/>
      <c r="E970" s="49"/>
      <c r="W970" s="59"/>
    </row>
    <row r="971" spans="4:23" ht="12.75">
      <c r="D971" s="49"/>
      <c r="E971" s="49"/>
      <c r="W971" s="59"/>
    </row>
    <row r="972" spans="4:23" ht="12.75">
      <c r="D972" s="49"/>
      <c r="E972" s="49"/>
      <c r="W972" s="59"/>
    </row>
    <row r="973" spans="4:23" ht="12.75">
      <c r="D973" s="49"/>
      <c r="E973" s="49"/>
      <c r="W973" s="59"/>
    </row>
    <row r="974" spans="4:23" ht="12.75">
      <c r="D974" s="49"/>
      <c r="E974" s="49"/>
      <c r="W974" s="59"/>
    </row>
    <row r="975" spans="4:23" ht="12.75">
      <c r="D975" s="49"/>
      <c r="E975" s="49"/>
      <c r="W975" s="59"/>
    </row>
    <row r="976" spans="4:23" ht="12.75">
      <c r="D976" s="49"/>
      <c r="E976" s="49"/>
      <c r="W976" s="59"/>
    </row>
    <row r="977" spans="4:23" ht="12.75">
      <c r="D977" s="49"/>
      <c r="E977" s="49"/>
      <c r="W977" s="59"/>
    </row>
    <row r="978" spans="4:23" ht="12.75">
      <c r="D978" s="49"/>
      <c r="E978" s="49"/>
      <c r="W978" s="59"/>
    </row>
    <row r="979" spans="4:23" ht="12.75">
      <c r="D979" s="49"/>
      <c r="E979" s="49"/>
      <c r="W979" s="59"/>
    </row>
    <row r="980" spans="4:23" ht="12.75">
      <c r="D980" s="49"/>
      <c r="E980" s="49"/>
      <c r="W980" s="59"/>
    </row>
    <row r="981" spans="4:23" ht="12.75">
      <c r="D981" s="49"/>
      <c r="E981" s="49"/>
      <c r="W981" s="59"/>
    </row>
    <row r="982" spans="4:23" ht="12.75">
      <c r="D982" s="49"/>
      <c r="E982" s="49"/>
      <c r="W982" s="59"/>
    </row>
    <row r="983" spans="4:23" ht="12.75">
      <c r="D983" s="49"/>
      <c r="E983" s="49"/>
      <c r="W983" s="59"/>
    </row>
    <row r="984" spans="4:23" ht="12.75">
      <c r="D984" s="49"/>
      <c r="E984" s="49"/>
      <c r="W984" s="59"/>
    </row>
    <row r="985" spans="4:23" ht="12.75">
      <c r="D985" s="49"/>
      <c r="E985" s="49"/>
      <c r="W985" s="59"/>
    </row>
    <row r="986" spans="4:23" ht="12.75">
      <c r="D986" s="49"/>
      <c r="E986" s="49"/>
      <c r="W986" s="59"/>
    </row>
    <row r="987" spans="4:23" ht="12.75">
      <c r="D987" s="49"/>
      <c r="E987" s="49"/>
      <c r="W987" s="59"/>
    </row>
    <row r="988" spans="4:23" ht="12.75">
      <c r="D988" s="49"/>
      <c r="E988" s="49"/>
      <c r="W988" s="59"/>
    </row>
    <row r="989" spans="4:23" ht="12.75">
      <c r="D989" s="49"/>
      <c r="E989" s="49"/>
      <c r="W989" s="59"/>
    </row>
    <row r="990" spans="4:23" ht="12.75">
      <c r="D990" s="49"/>
      <c r="E990" s="49"/>
      <c r="W990" s="59"/>
    </row>
    <row r="991" spans="4:23" ht="12.75">
      <c r="D991" s="49"/>
      <c r="E991" s="49"/>
      <c r="W991" s="59"/>
    </row>
    <row r="992" spans="4:23" ht="12.75">
      <c r="D992" s="49"/>
      <c r="E992" s="49"/>
      <c r="W992" s="59"/>
    </row>
    <row r="993" spans="4:23" ht="12.75">
      <c r="D993" s="49"/>
      <c r="E993" s="49"/>
      <c r="W993" s="59"/>
    </row>
    <row r="994" spans="4:23" ht="12.75">
      <c r="D994" s="49"/>
      <c r="E994" s="49"/>
      <c r="W994" s="59"/>
    </row>
  </sheetData>
  <mergeCells count="8">
    <mergeCell ref="V5:Y5"/>
    <mergeCell ref="Z5:AD5"/>
    <mergeCell ref="AE5:AK5"/>
    <mergeCell ref="A5:B5"/>
    <mergeCell ref="D5:F5"/>
    <mergeCell ref="G5:M5"/>
    <mergeCell ref="N5:P5"/>
    <mergeCell ref="Q5:U5"/>
  </mergeCells>
  <phoneticPr fontId="40" type="noConversion"/>
  <conditionalFormatting sqref="A7:A30">
    <cfRule type="notContainsBlanks" dxfId="8" priority="1">
      <formula>LEN(TRIM(A7))&gt;0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K987"/>
  <sheetViews>
    <sheetView workbookViewId="0"/>
  </sheetViews>
  <sheetFormatPr defaultColWidth="12.5703125" defaultRowHeight="15.75" customHeight="1"/>
  <cols>
    <col min="2" max="2" width="18.7109375" customWidth="1"/>
    <col min="31" max="31" width="33" customWidth="1"/>
  </cols>
  <sheetData>
    <row r="1" spans="1:37" ht="14.25">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3"/>
      <c r="AF1" s="3"/>
      <c r="AG1" s="4"/>
      <c r="AH1" s="4"/>
      <c r="AI1" s="4"/>
      <c r="AJ1" s="4"/>
      <c r="AK1" s="4"/>
    </row>
    <row r="2" spans="1:37" ht="14.25">
      <c r="A2" s="249"/>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3"/>
      <c r="AF2" s="3"/>
      <c r="AG2" s="4"/>
      <c r="AH2" s="4"/>
      <c r="AI2" s="4"/>
      <c r="AJ2" s="4"/>
      <c r="AK2" s="4"/>
    </row>
    <row r="3" spans="1:37" ht="14.25">
      <c r="A3" s="251" t="s">
        <v>1</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2"/>
      <c r="AE3" s="3" t="s">
        <v>2</v>
      </c>
      <c r="AF3" s="3" t="s">
        <v>3</v>
      </c>
      <c r="AG3" s="4"/>
      <c r="AH3" s="4"/>
      <c r="AI3" s="4"/>
      <c r="AJ3" s="4"/>
      <c r="AK3" s="4"/>
    </row>
    <row r="4" spans="1:37" ht="14.2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5"/>
      <c r="AE4" s="3">
        <v>192.41</v>
      </c>
      <c r="AF4" s="3">
        <v>1385</v>
      </c>
      <c r="AG4" s="4"/>
      <c r="AH4" s="4"/>
      <c r="AI4" s="4"/>
      <c r="AJ4" s="4"/>
      <c r="AK4" s="4"/>
    </row>
    <row r="5" spans="1:37" ht="15">
      <c r="A5" s="235" t="s">
        <v>4</v>
      </c>
      <c r="B5" s="236"/>
      <c r="C5" s="12" t="s">
        <v>4</v>
      </c>
      <c r="D5" s="237"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13" t="s">
        <v>7</v>
      </c>
      <c r="B6" s="13" t="s">
        <v>8</v>
      </c>
      <c r="C6" s="14" t="s">
        <v>9</v>
      </c>
      <c r="D6" s="15" t="s">
        <v>10</v>
      </c>
      <c r="E6" s="15" t="s">
        <v>11</v>
      </c>
      <c r="F6" s="15" t="s">
        <v>12</v>
      </c>
      <c r="G6" s="14" t="s">
        <v>13</v>
      </c>
      <c r="H6" s="14" t="s">
        <v>14</v>
      </c>
      <c r="I6" s="14" t="s">
        <v>15</v>
      </c>
      <c r="J6" s="14" t="s">
        <v>16</v>
      </c>
      <c r="K6" s="14" t="s">
        <v>17</v>
      </c>
      <c r="L6" s="14" t="s">
        <v>18</v>
      </c>
      <c r="M6" s="14" t="s">
        <v>19</v>
      </c>
      <c r="N6" s="19" t="s">
        <v>20</v>
      </c>
      <c r="O6" s="19" t="s">
        <v>6</v>
      </c>
      <c r="P6" s="13" t="s">
        <v>21</v>
      </c>
      <c r="Q6" s="14" t="s">
        <v>22</v>
      </c>
      <c r="R6" s="14" t="s">
        <v>23</v>
      </c>
      <c r="S6" s="14" t="s">
        <v>24</v>
      </c>
      <c r="T6" s="14" t="s">
        <v>25</v>
      </c>
      <c r="U6" s="14" t="s">
        <v>26</v>
      </c>
      <c r="V6" s="13" t="s">
        <v>27</v>
      </c>
      <c r="W6" s="20" t="s">
        <v>28</v>
      </c>
      <c r="X6" s="13"/>
      <c r="Y6" s="13" t="s">
        <v>29</v>
      </c>
      <c r="Z6" s="21" t="s">
        <v>30</v>
      </c>
      <c r="AA6" s="21" t="s">
        <v>31</v>
      </c>
      <c r="AB6" s="21" t="s">
        <v>32</v>
      </c>
      <c r="AC6" s="21" t="s">
        <v>33</v>
      </c>
      <c r="AD6" s="22" t="s">
        <v>34</v>
      </c>
      <c r="AE6" s="23" t="s">
        <v>35</v>
      </c>
      <c r="AF6" s="24" t="s">
        <v>36</v>
      </c>
      <c r="AG6" s="23" t="s">
        <v>37</v>
      </c>
      <c r="AH6" s="23"/>
      <c r="AI6" s="23"/>
      <c r="AJ6" s="23"/>
      <c r="AK6" s="23"/>
    </row>
    <row r="7" spans="1:37" ht="37.5" customHeight="1">
      <c r="A7" s="25"/>
      <c r="B7" s="25" t="s">
        <v>104</v>
      </c>
      <c r="C7" s="26" t="s">
        <v>39</v>
      </c>
      <c r="D7" s="27">
        <v>15</v>
      </c>
      <c r="E7" s="27">
        <v>34</v>
      </c>
      <c r="F7" s="27">
        <v>14</v>
      </c>
      <c r="G7" s="72">
        <f t="shared" ref="G7:G9" si="0">PRODUCT(D7*E7*F7)</f>
        <v>7140</v>
      </c>
      <c r="H7" s="70">
        <f t="shared" ref="H7:H9" si="1">G7/1000000</f>
        <v>7.1399999999999996E-3</v>
      </c>
      <c r="I7" s="29">
        <f t="shared" ref="I7:I9" si="2">1/H7</f>
        <v>140.0560224089636</v>
      </c>
      <c r="J7" s="30">
        <f t="shared" ref="J7:J9" si="3">80/I7</f>
        <v>0.57119999999999993</v>
      </c>
      <c r="K7" s="31">
        <f t="shared" ref="K7:K9" si="4">27000/I7</f>
        <v>192.77999999999997</v>
      </c>
      <c r="L7" s="31">
        <f t="shared" ref="L7:L9" si="5">(J7*$AF$4)+K7</f>
        <v>983.89199999999983</v>
      </c>
      <c r="M7" s="32">
        <f t="shared" ref="M7:M9" si="6">T7/R7</f>
        <v>9.6686813998352078E-2</v>
      </c>
      <c r="N7" s="33">
        <v>363</v>
      </c>
      <c r="O7" s="32">
        <f t="shared" ref="O7:O9" ca="1" si="7">SUMIF($AE$6:$AG$23,$A7,$AG$6:$AG$23)</f>
        <v>0</v>
      </c>
      <c r="P7" s="34">
        <v>55</v>
      </c>
      <c r="Q7" s="34">
        <f t="shared" ref="Q7:Q9" si="8">P7*1.15</f>
        <v>63.249999999999993</v>
      </c>
      <c r="R7" s="35">
        <f t="shared" ref="R7:R9" si="9">Q7*$AE$4</f>
        <v>12169.932499999999</v>
      </c>
      <c r="S7" s="35">
        <f t="shared" ref="S7:S9" ca="1" si="10">R7*O7</f>
        <v>0</v>
      </c>
      <c r="T7" s="35">
        <f t="shared" ref="T7:T9" si="11">L7+K7</f>
        <v>1176.6719999999998</v>
      </c>
      <c r="U7" s="35">
        <f t="shared" ref="U7:U9" ca="1" si="12">R7+S7+T7</f>
        <v>13346.604499999999</v>
      </c>
      <c r="V7" s="35">
        <v>32900</v>
      </c>
      <c r="W7" s="36">
        <v>8.1299999999999997E-2</v>
      </c>
      <c r="X7" s="71"/>
      <c r="Y7" s="35">
        <f>2827+N7</f>
        <v>3190</v>
      </c>
      <c r="Z7" s="38">
        <f t="shared" ref="Z7:Z9" si="13">W7+(Y7/V7)</f>
        <v>0.17826048632218844</v>
      </c>
      <c r="AA7" s="39">
        <f t="shared" ref="AA7:AA9" si="14">V7*Z7</f>
        <v>5864.7699999999995</v>
      </c>
      <c r="AB7" s="39">
        <f t="shared" ref="AB7:AB9" ca="1" si="15">(V7)/1.1*10%-(R7+AA7+K7+S7+N7+X7)*10%</f>
        <v>1131.8608409090912</v>
      </c>
      <c r="AC7" s="39">
        <f t="shared" ref="AC7:AC9" ca="1" si="16">V7-(U7+AA7+AB7+N7)</f>
        <v>12193.76465909091</v>
      </c>
      <c r="AD7" s="40">
        <f t="shared" ref="AD7:AD17" ca="1" si="17">AC7/V7</f>
        <v>0.37063114465321917</v>
      </c>
      <c r="AE7" s="41" t="s">
        <v>40</v>
      </c>
      <c r="AF7" s="41"/>
      <c r="AG7" s="42">
        <v>0.08</v>
      </c>
      <c r="AH7" s="43"/>
      <c r="AI7" s="43"/>
      <c r="AJ7" s="44"/>
      <c r="AK7" s="44"/>
    </row>
    <row r="8" spans="1:37" ht="37.5" customHeight="1">
      <c r="A8" s="25"/>
      <c r="B8" s="25" t="s">
        <v>105</v>
      </c>
      <c r="C8" s="26" t="s">
        <v>39</v>
      </c>
      <c r="D8" s="27"/>
      <c r="E8" s="27"/>
      <c r="F8" s="27"/>
      <c r="G8" s="72">
        <f t="shared" si="0"/>
        <v>0</v>
      </c>
      <c r="H8" s="70">
        <f t="shared" si="1"/>
        <v>0</v>
      </c>
      <c r="I8" s="29" t="e">
        <f t="shared" si="2"/>
        <v>#DIV/0!</v>
      </c>
      <c r="J8" s="30" t="e">
        <f t="shared" si="3"/>
        <v>#DIV/0!</v>
      </c>
      <c r="K8" s="31" t="e">
        <f t="shared" si="4"/>
        <v>#DIV/0!</v>
      </c>
      <c r="L8" s="31" t="e">
        <f t="shared" si="5"/>
        <v>#DIV/0!</v>
      </c>
      <c r="M8" s="32" t="e">
        <f t="shared" si="6"/>
        <v>#DIV/0!</v>
      </c>
      <c r="N8" s="33"/>
      <c r="O8" s="32">
        <f t="shared" ca="1" si="7"/>
        <v>0</v>
      </c>
      <c r="P8" s="34">
        <v>2</v>
      </c>
      <c r="Q8" s="34">
        <f t="shared" si="8"/>
        <v>2.2999999999999998</v>
      </c>
      <c r="R8" s="35">
        <f t="shared" si="9"/>
        <v>442.54299999999995</v>
      </c>
      <c r="S8" s="35">
        <f t="shared" ca="1" si="10"/>
        <v>0</v>
      </c>
      <c r="T8" s="35" t="e">
        <f t="shared" si="11"/>
        <v>#DIV/0!</v>
      </c>
      <c r="U8" s="35" t="e">
        <f t="shared" ca="1" si="12"/>
        <v>#DIV/0!</v>
      </c>
      <c r="V8" s="35"/>
      <c r="W8" s="36">
        <v>8.1299999999999997E-2</v>
      </c>
      <c r="X8" s="71"/>
      <c r="Y8" s="35"/>
      <c r="Z8" s="38" t="e">
        <f t="shared" si="13"/>
        <v>#DIV/0!</v>
      </c>
      <c r="AA8" s="39" t="e">
        <f t="shared" si="14"/>
        <v>#DIV/0!</v>
      </c>
      <c r="AB8" s="39" t="e">
        <f t="shared" ca="1" si="15"/>
        <v>#DIV/0!</v>
      </c>
      <c r="AC8" s="39" t="e">
        <f t="shared" ca="1" si="16"/>
        <v>#DIV/0!</v>
      </c>
      <c r="AD8" s="40" t="e">
        <f t="shared" ca="1" si="17"/>
        <v>#DIV/0!</v>
      </c>
      <c r="AE8" s="41"/>
      <c r="AF8" s="41"/>
      <c r="AG8" s="42"/>
      <c r="AH8" s="43"/>
      <c r="AI8" s="43"/>
      <c r="AJ8" s="44"/>
      <c r="AK8" s="44"/>
    </row>
    <row r="9" spans="1:37" ht="37.5" customHeight="1">
      <c r="A9" s="25"/>
      <c r="B9" s="25" t="s">
        <v>106</v>
      </c>
      <c r="C9" s="26" t="s">
        <v>39</v>
      </c>
      <c r="D9" s="27">
        <v>16</v>
      </c>
      <c r="E9" s="27">
        <v>42</v>
      </c>
      <c r="F9" s="27">
        <v>12</v>
      </c>
      <c r="G9" s="72">
        <f t="shared" si="0"/>
        <v>8064</v>
      </c>
      <c r="H9" s="70">
        <f t="shared" si="1"/>
        <v>8.064E-3</v>
      </c>
      <c r="I9" s="29">
        <f t="shared" si="2"/>
        <v>124.00793650793651</v>
      </c>
      <c r="J9" s="30">
        <f t="shared" si="3"/>
        <v>0.64512000000000003</v>
      </c>
      <c r="K9" s="31">
        <f t="shared" si="4"/>
        <v>217.72800000000001</v>
      </c>
      <c r="L9" s="31">
        <f t="shared" si="5"/>
        <v>1111.2192</v>
      </c>
      <c r="M9" s="32">
        <f t="shared" si="6"/>
        <v>0.14299898540932748</v>
      </c>
      <c r="N9" s="33">
        <v>561</v>
      </c>
      <c r="O9" s="32">
        <f t="shared" ca="1" si="7"/>
        <v>0</v>
      </c>
      <c r="P9" s="34">
        <v>42</v>
      </c>
      <c r="Q9" s="34">
        <f t="shared" si="8"/>
        <v>48.3</v>
      </c>
      <c r="R9" s="35">
        <f t="shared" si="9"/>
        <v>9293.4029999999984</v>
      </c>
      <c r="S9" s="35">
        <f t="shared" ca="1" si="10"/>
        <v>0</v>
      </c>
      <c r="T9" s="35">
        <f t="shared" si="11"/>
        <v>1328.9472000000001</v>
      </c>
      <c r="U9" s="35">
        <f t="shared" ca="1" si="12"/>
        <v>10622.350199999999</v>
      </c>
      <c r="V9" s="35">
        <v>29800</v>
      </c>
      <c r="W9" s="36">
        <v>8.1299999999999997E-2</v>
      </c>
      <c r="X9" s="71"/>
      <c r="Y9" s="35">
        <f>2827+N9</f>
        <v>3388</v>
      </c>
      <c r="Z9" s="38">
        <f t="shared" si="13"/>
        <v>0.19499127516778525</v>
      </c>
      <c r="AA9" s="39">
        <f t="shared" si="14"/>
        <v>5810.7400000000007</v>
      </c>
      <c r="AB9" s="39">
        <f t="shared" ca="1" si="15"/>
        <v>1120.803809090909</v>
      </c>
      <c r="AC9" s="39">
        <f t="shared" ca="1" si="16"/>
        <v>11685.105990909091</v>
      </c>
      <c r="AD9" s="40">
        <f t="shared" ca="1" si="17"/>
        <v>0.39211765070164734</v>
      </c>
      <c r="AE9" s="41"/>
      <c r="AF9" s="41"/>
      <c r="AG9" s="42"/>
      <c r="AH9" s="43"/>
      <c r="AI9" s="43"/>
      <c r="AJ9" s="44"/>
      <c r="AK9" s="44"/>
    </row>
    <row r="10" spans="1:37" ht="37.5" customHeight="1">
      <c r="A10" s="25"/>
      <c r="B10" s="25"/>
      <c r="C10" s="26"/>
      <c r="D10" s="27"/>
      <c r="E10" s="27"/>
      <c r="F10" s="27"/>
      <c r="G10" s="72"/>
      <c r="H10" s="70"/>
      <c r="I10" s="29"/>
      <c r="J10" s="30"/>
      <c r="K10" s="31"/>
      <c r="L10" s="31"/>
      <c r="M10" s="32"/>
      <c r="N10" s="33"/>
      <c r="O10" s="32"/>
      <c r="P10" s="34"/>
      <c r="Q10" s="34"/>
      <c r="R10" s="35"/>
      <c r="S10" s="25"/>
      <c r="T10" s="35"/>
      <c r="U10" s="35"/>
      <c r="V10" s="35"/>
      <c r="W10" s="36"/>
      <c r="X10" s="71"/>
      <c r="Y10" s="35"/>
      <c r="Z10" s="38"/>
      <c r="AA10" s="39"/>
      <c r="AB10" s="39"/>
      <c r="AC10" s="39"/>
      <c r="AD10" s="40" t="e">
        <f t="shared" si="17"/>
        <v>#DIV/0!</v>
      </c>
      <c r="AE10" s="41"/>
      <c r="AF10" s="41"/>
      <c r="AG10" s="45"/>
      <c r="AH10" s="43"/>
      <c r="AI10" s="43"/>
      <c r="AJ10" s="44"/>
      <c r="AK10" s="44"/>
    </row>
    <row r="11" spans="1:37" ht="37.5" customHeight="1">
      <c r="A11" s="25"/>
      <c r="B11" s="25"/>
      <c r="C11" s="26"/>
      <c r="D11" s="27"/>
      <c r="E11" s="27"/>
      <c r="F11" s="27"/>
      <c r="G11" s="72"/>
      <c r="H11" s="70"/>
      <c r="I11" s="29"/>
      <c r="J11" s="30"/>
      <c r="K11" s="31"/>
      <c r="L11" s="31"/>
      <c r="M11" s="32"/>
      <c r="N11" s="33"/>
      <c r="O11" s="32"/>
      <c r="P11" s="34"/>
      <c r="Q11" s="34"/>
      <c r="R11" s="35"/>
      <c r="S11" s="25"/>
      <c r="T11" s="35"/>
      <c r="U11" s="35"/>
      <c r="V11" s="35"/>
      <c r="W11" s="36"/>
      <c r="X11" s="71"/>
      <c r="Y11" s="35"/>
      <c r="Z11" s="38"/>
      <c r="AA11" s="39"/>
      <c r="AB11" s="39"/>
      <c r="AC11" s="39"/>
      <c r="AD11" s="40" t="e">
        <f t="shared" si="17"/>
        <v>#DIV/0!</v>
      </c>
      <c r="AE11" s="41"/>
      <c r="AF11" s="41"/>
      <c r="AG11" s="45"/>
      <c r="AH11" s="43"/>
      <c r="AI11" s="43"/>
      <c r="AJ11" s="44"/>
      <c r="AK11" s="44"/>
    </row>
    <row r="12" spans="1:37" ht="37.5" customHeight="1">
      <c r="A12" s="25"/>
      <c r="B12" s="25"/>
      <c r="C12" s="26"/>
      <c r="D12" s="27"/>
      <c r="E12" s="27"/>
      <c r="F12" s="27"/>
      <c r="G12" s="72"/>
      <c r="H12" s="70"/>
      <c r="I12" s="29"/>
      <c r="J12" s="30"/>
      <c r="K12" s="31"/>
      <c r="L12" s="31"/>
      <c r="M12" s="32"/>
      <c r="N12" s="33"/>
      <c r="O12" s="32"/>
      <c r="P12" s="34"/>
      <c r="Q12" s="34"/>
      <c r="R12" s="35"/>
      <c r="S12" s="25"/>
      <c r="T12" s="35"/>
      <c r="U12" s="35"/>
      <c r="V12" s="35"/>
      <c r="W12" s="36"/>
      <c r="X12" s="71"/>
      <c r="Y12" s="35"/>
      <c r="Z12" s="38"/>
      <c r="AA12" s="39"/>
      <c r="AB12" s="39"/>
      <c r="AC12" s="39"/>
      <c r="AD12" s="40" t="e">
        <f t="shared" si="17"/>
        <v>#DIV/0!</v>
      </c>
      <c r="AE12" s="41"/>
      <c r="AF12" s="41"/>
      <c r="AG12" s="45"/>
      <c r="AH12" s="43"/>
      <c r="AI12" s="43"/>
      <c r="AJ12" s="44"/>
      <c r="AK12" s="44"/>
    </row>
    <row r="13" spans="1:37" ht="37.5" customHeight="1">
      <c r="A13" s="25"/>
      <c r="B13" s="25"/>
      <c r="C13" s="26"/>
      <c r="D13" s="27"/>
      <c r="E13" s="27"/>
      <c r="F13" s="27"/>
      <c r="G13" s="72"/>
      <c r="H13" s="70"/>
      <c r="I13" s="29"/>
      <c r="J13" s="30"/>
      <c r="K13" s="31"/>
      <c r="L13" s="31"/>
      <c r="M13" s="32"/>
      <c r="N13" s="33"/>
      <c r="O13" s="32"/>
      <c r="P13" s="34"/>
      <c r="Q13" s="34"/>
      <c r="R13" s="35"/>
      <c r="S13" s="25"/>
      <c r="T13" s="35"/>
      <c r="U13" s="35"/>
      <c r="V13" s="35"/>
      <c r="W13" s="36"/>
      <c r="X13" s="71"/>
      <c r="Y13" s="35"/>
      <c r="Z13" s="38"/>
      <c r="AA13" s="39"/>
      <c r="AB13" s="39"/>
      <c r="AC13" s="39"/>
      <c r="AD13" s="40" t="e">
        <f t="shared" si="17"/>
        <v>#DIV/0!</v>
      </c>
      <c r="AE13" s="41"/>
      <c r="AF13" s="41"/>
      <c r="AG13" s="45"/>
      <c r="AH13" s="43"/>
      <c r="AI13" s="43"/>
      <c r="AJ13" s="44"/>
      <c r="AK13" s="44"/>
    </row>
    <row r="14" spans="1:37" ht="37.5" customHeight="1">
      <c r="A14" s="25"/>
      <c r="B14" s="25"/>
      <c r="C14" s="26"/>
      <c r="D14" s="27"/>
      <c r="E14" s="27"/>
      <c r="F14" s="27"/>
      <c r="G14" s="72"/>
      <c r="H14" s="70"/>
      <c r="I14" s="29"/>
      <c r="J14" s="30"/>
      <c r="K14" s="31"/>
      <c r="L14" s="31"/>
      <c r="M14" s="32"/>
      <c r="N14" s="33"/>
      <c r="O14" s="32"/>
      <c r="P14" s="34"/>
      <c r="Q14" s="34"/>
      <c r="R14" s="35"/>
      <c r="S14" s="25"/>
      <c r="T14" s="35"/>
      <c r="U14" s="35"/>
      <c r="V14" s="35"/>
      <c r="W14" s="36"/>
      <c r="X14" s="71"/>
      <c r="Y14" s="35"/>
      <c r="Z14" s="38"/>
      <c r="AA14" s="39"/>
      <c r="AB14" s="39"/>
      <c r="AC14" s="39"/>
      <c r="AD14" s="40" t="e">
        <f t="shared" si="17"/>
        <v>#DIV/0!</v>
      </c>
      <c r="AE14" s="41"/>
      <c r="AF14" s="41"/>
      <c r="AG14" s="45"/>
      <c r="AH14" s="43"/>
      <c r="AI14" s="43"/>
      <c r="AJ14" s="44"/>
      <c r="AK14" s="44"/>
    </row>
    <row r="15" spans="1:37" ht="37.5" customHeight="1">
      <c r="A15" s="25"/>
      <c r="B15" s="25"/>
      <c r="C15" s="26"/>
      <c r="D15" s="27"/>
      <c r="E15" s="27"/>
      <c r="F15" s="27"/>
      <c r="G15" s="72"/>
      <c r="H15" s="70"/>
      <c r="I15" s="29"/>
      <c r="J15" s="30"/>
      <c r="K15" s="31"/>
      <c r="L15" s="31"/>
      <c r="M15" s="32"/>
      <c r="N15" s="33"/>
      <c r="O15" s="32"/>
      <c r="P15" s="34"/>
      <c r="Q15" s="34"/>
      <c r="R15" s="35"/>
      <c r="S15" s="25"/>
      <c r="T15" s="35"/>
      <c r="U15" s="35"/>
      <c r="V15" s="35"/>
      <c r="W15" s="36"/>
      <c r="X15" s="71"/>
      <c r="Y15" s="35"/>
      <c r="Z15" s="38"/>
      <c r="AA15" s="39"/>
      <c r="AB15" s="39"/>
      <c r="AC15" s="39"/>
      <c r="AD15" s="40" t="e">
        <f t="shared" si="17"/>
        <v>#DIV/0!</v>
      </c>
      <c r="AE15" s="41"/>
      <c r="AF15" s="41"/>
      <c r="AG15" s="45"/>
      <c r="AH15" s="43"/>
      <c r="AI15" s="43"/>
      <c r="AJ15" s="44"/>
      <c r="AK15" s="44"/>
    </row>
    <row r="16" spans="1:37" ht="37.5" customHeight="1">
      <c r="A16" s="25"/>
      <c r="B16" s="25"/>
      <c r="C16" s="26"/>
      <c r="D16" s="27"/>
      <c r="E16" s="27"/>
      <c r="F16" s="27"/>
      <c r="G16" s="72"/>
      <c r="H16" s="70"/>
      <c r="I16" s="29"/>
      <c r="J16" s="30"/>
      <c r="K16" s="31"/>
      <c r="L16" s="31"/>
      <c r="M16" s="32"/>
      <c r="N16" s="33"/>
      <c r="O16" s="32"/>
      <c r="P16" s="34"/>
      <c r="Q16" s="34"/>
      <c r="R16" s="35"/>
      <c r="S16" s="25"/>
      <c r="T16" s="35"/>
      <c r="U16" s="35"/>
      <c r="V16" s="35"/>
      <c r="W16" s="36"/>
      <c r="X16" s="71"/>
      <c r="Y16" s="35"/>
      <c r="Z16" s="38"/>
      <c r="AA16" s="39"/>
      <c r="AB16" s="39"/>
      <c r="AC16" s="39"/>
      <c r="AD16" s="40" t="e">
        <f t="shared" si="17"/>
        <v>#DIV/0!</v>
      </c>
      <c r="AE16" s="41"/>
      <c r="AF16" s="41"/>
      <c r="AG16" s="45"/>
      <c r="AH16" s="43"/>
      <c r="AI16" s="43"/>
      <c r="AJ16" s="44"/>
      <c r="AK16" s="44"/>
    </row>
    <row r="17" spans="1:37" ht="37.5" customHeight="1">
      <c r="A17" s="25"/>
      <c r="B17" s="25"/>
      <c r="C17" s="26"/>
      <c r="D17" s="27"/>
      <c r="E17" s="27"/>
      <c r="F17" s="27"/>
      <c r="G17" s="72"/>
      <c r="H17" s="70"/>
      <c r="I17" s="29"/>
      <c r="J17" s="30"/>
      <c r="K17" s="31"/>
      <c r="L17" s="31"/>
      <c r="M17" s="32"/>
      <c r="N17" s="33"/>
      <c r="O17" s="32"/>
      <c r="P17" s="34"/>
      <c r="Q17" s="34"/>
      <c r="R17" s="35"/>
      <c r="S17" s="25"/>
      <c r="T17" s="35"/>
      <c r="U17" s="35"/>
      <c r="V17" s="35"/>
      <c r="W17" s="36"/>
      <c r="X17" s="71"/>
      <c r="Y17" s="35"/>
      <c r="Z17" s="38"/>
      <c r="AA17" s="39"/>
      <c r="AB17" s="39"/>
      <c r="AC17" s="39"/>
      <c r="AD17" s="40" t="e">
        <f t="shared" si="17"/>
        <v>#DIV/0!</v>
      </c>
      <c r="AE17" s="41"/>
      <c r="AF17" s="41"/>
      <c r="AG17" s="45"/>
      <c r="AH17" s="43"/>
      <c r="AI17" s="43"/>
      <c r="AJ17" s="44"/>
      <c r="AK17" s="44"/>
    </row>
    <row r="18" spans="1:37" ht="37.5" customHeight="1">
      <c r="A18" s="25"/>
      <c r="B18" s="25"/>
      <c r="C18" s="26"/>
      <c r="D18" s="27"/>
      <c r="E18" s="27"/>
      <c r="F18" s="27"/>
      <c r="G18" s="72"/>
      <c r="H18" s="70"/>
      <c r="I18" s="29"/>
      <c r="J18" s="30"/>
      <c r="K18" s="31"/>
      <c r="L18" s="31"/>
      <c r="M18" s="32"/>
      <c r="N18" s="34"/>
      <c r="O18" s="32"/>
      <c r="P18" s="34"/>
      <c r="Q18" s="34"/>
      <c r="R18" s="35"/>
      <c r="S18" s="25"/>
      <c r="T18" s="35"/>
      <c r="U18" s="35"/>
      <c r="V18" s="35"/>
      <c r="W18" s="36"/>
      <c r="X18" s="71"/>
      <c r="Y18" s="35"/>
      <c r="Z18" s="38"/>
      <c r="AA18" s="39"/>
      <c r="AB18" s="39"/>
      <c r="AC18" s="39"/>
      <c r="AD18" s="40"/>
      <c r="AE18" s="41"/>
      <c r="AF18" s="41"/>
      <c r="AG18" s="45"/>
      <c r="AH18" s="43"/>
      <c r="AI18" s="43"/>
      <c r="AJ18" s="44"/>
      <c r="AK18" s="44"/>
    </row>
    <row r="19" spans="1:37" ht="37.5" customHeight="1">
      <c r="A19" s="25"/>
      <c r="B19" s="25"/>
      <c r="C19" s="26"/>
      <c r="D19" s="27"/>
      <c r="E19" s="27"/>
      <c r="F19" s="27"/>
      <c r="G19" s="72"/>
      <c r="H19" s="70"/>
      <c r="I19" s="29"/>
      <c r="J19" s="30"/>
      <c r="K19" s="31"/>
      <c r="L19" s="31"/>
      <c r="M19" s="32"/>
      <c r="N19" s="34"/>
      <c r="O19" s="32"/>
      <c r="P19" s="34"/>
      <c r="Q19" s="34"/>
      <c r="R19" s="35"/>
      <c r="S19" s="25"/>
      <c r="T19" s="35"/>
      <c r="U19" s="35"/>
      <c r="V19" s="35"/>
      <c r="W19" s="36"/>
      <c r="X19" s="71"/>
      <c r="Y19" s="35"/>
      <c r="Z19" s="38"/>
      <c r="AA19" s="39"/>
      <c r="AB19" s="39"/>
      <c r="AC19" s="39"/>
      <c r="AD19" s="40"/>
      <c r="AE19" s="41"/>
      <c r="AF19" s="41"/>
      <c r="AG19" s="45"/>
      <c r="AH19" s="43"/>
      <c r="AI19" s="43"/>
      <c r="AJ19" s="44"/>
      <c r="AK19" s="44"/>
    </row>
    <row r="20" spans="1:37" ht="37.5" customHeight="1">
      <c r="A20" s="25"/>
      <c r="B20" s="25"/>
      <c r="C20" s="26"/>
      <c r="D20" s="27"/>
      <c r="E20" s="27"/>
      <c r="F20" s="27"/>
      <c r="G20" s="72"/>
      <c r="H20" s="70"/>
      <c r="I20" s="29"/>
      <c r="J20" s="30"/>
      <c r="K20" s="31"/>
      <c r="L20" s="31"/>
      <c r="M20" s="32"/>
      <c r="N20" s="34"/>
      <c r="O20" s="32"/>
      <c r="P20" s="34"/>
      <c r="Q20" s="34"/>
      <c r="R20" s="35"/>
      <c r="S20" s="25"/>
      <c r="T20" s="35"/>
      <c r="U20" s="35"/>
      <c r="V20" s="35"/>
      <c r="W20" s="36"/>
      <c r="X20" s="71"/>
      <c r="Y20" s="35"/>
      <c r="Z20" s="38"/>
      <c r="AA20" s="39"/>
      <c r="AB20" s="39"/>
      <c r="AC20" s="39"/>
      <c r="AD20" s="40"/>
      <c r="AE20" s="41"/>
      <c r="AF20" s="41"/>
      <c r="AG20" s="45"/>
      <c r="AH20" s="43"/>
      <c r="AI20" s="43"/>
      <c r="AJ20" s="44"/>
      <c r="AK20" s="44"/>
    </row>
    <row r="21" spans="1:37" ht="37.5" customHeight="1">
      <c r="A21" s="25"/>
      <c r="B21" s="25"/>
      <c r="C21" s="26"/>
      <c r="D21" s="27"/>
      <c r="E21" s="27"/>
      <c r="F21" s="27"/>
      <c r="G21" s="72"/>
      <c r="H21" s="70"/>
      <c r="I21" s="29"/>
      <c r="J21" s="30"/>
      <c r="K21" s="31"/>
      <c r="L21" s="31"/>
      <c r="M21" s="32"/>
      <c r="N21" s="34"/>
      <c r="O21" s="32"/>
      <c r="P21" s="34"/>
      <c r="Q21" s="34"/>
      <c r="R21" s="35"/>
      <c r="S21" s="25"/>
      <c r="T21" s="35"/>
      <c r="U21" s="35"/>
      <c r="V21" s="35"/>
      <c r="W21" s="36"/>
      <c r="X21" s="71"/>
      <c r="Y21" s="35"/>
      <c r="Z21" s="38"/>
      <c r="AA21" s="39"/>
      <c r="AB21" s="39"/>
      <c r="AC21" s="39"/>
      <c r="AD21" s="40"/>
      <c r="AE21" s="41"/>
      <c r="AF21" s="41"/>
      <c r="AG21" s="45"/>
      <c r="AH21" s="43"/>
      <c r="AI21" s="43"/>
      <c r="AJ21" s="44"/>
      <c r="AK21" s="44"/>
    </row>
    <row r="22" spans="1:37" ht="37.5" customHeight="1">
      <c r="A22" s="25"/>
      <c r="B22" s="25"/>
      <c r="C22" s="26"/>
      <c r="D22" s="27"/>
      <c r="E22" s="27"/>
      <c r="F22" s="27"/>
      <c r="G22" s="72"/>
      <c r="H22" s="70"/>
      <c r="I22" s="29"/>
      <c r="J22" s="30"/>
      <c r="K22" s="31"/>
      <c r="L22" s="31"/>
      <c r="M22" s="32"/>
      <c r="N22" s="34"/>
      <c r="O22" s="32"/>
      <c r="P22" s="34"/>
      <c r="Q22" s="34"/>
      <c r="R22" s="35"/>
      <c r="S22" s="25"/>
      <c r="T22" s="35"/>
      <c r="U22" s="35"/>
      <c r="V22" s="35"/>
      <c r="W22" s="36"/>
      <c r="X22" s="71"/>
      <c r="Y22" s="35"/>
      <c r="Z22" s="38"/>
      <c r="AA22" s="39"/>
      <c r="AB22" s="39"/>
      <c r="AC22" s="39"/>
      <c r="AD22" s="40"/>
      <c r="AE22" s="41"/>
      <c r="AF22" s="41"/>
      <c r="AG22" s="45"/>
      <c r="AH22" s="43"/>
      <c r="AI22" s="43"/>
      <c r="AJ22" s="44"/>
      <c r="AK22" s="44"/>
    </row>
    <row r="23" spans="1:37" ht="37.5" customHeight="1">
      <c r="A23" s="25"/>
      <c r="B23" s="25"/>
      <c r="C23" s="26"/>
      <c r="D23" s="27"/>
      <c r="E23" s="27"/>
      <c r="F23" s="27"/>
      <c r="G23" s="72"/>
      <c r="H23" s="70"/>
      <c r="I23" s="29"/>
      <c r="J23" s="30"/>
      <c r="K23" s="31"/>
      <c r="L23" s="31"/>
      <c r="M23" s="32"/>
      <c r="N23" s="34"/>
      <c r="O23" s="32"/>
      <c r="P23" s="34"/>
      <c r="Q23" s="34"/>
      <c r="R23" s="35"/>
      <c r="S23" s="25"/>
      <c r="T23" s="35"/>
      <c r="U23" s="35"/>
      <c r="V23" s="35"/>
      <c r="W23" s="36"/>
      <c r="X23" s="71"/>
      <c r="Y23" s="35"/>
      <c r="Z23" s="38"/>
      <c r="AA23" s="39"/>
      <c r="AB23" s="39"/>
      <c r="AC23" s="39"/>
      <c r="AD23" s="40"/>
      <c r="AE23" s="41"/>
      <c r="AF23" s="41"/>
      <c r="AG23" s="45"/>
      <c r="AH23" s="43"/>
      <c r="AI23" s="43"/>
      <c r="AJ23" s="44"/>
      <c r="AK23" s="44"/>
    </row>
    <row r="24" spans="1:37" ht="37.5" customHeight="1">
      <c r="A24" s="52"/>
      <c r="B24" s="52"/>
      <c r="C24" s="52"/>
      <c r="D24" s="53"/>
      <c r="E24" s="53"/>
      <c r="F24" s="53"/>
      <c r="G24" s="52"/>
      <c r="H24" s="52"/>
      <c r="I24" s="52"/>
      <c r="J24" s="52"/>
      <c r="K24" s="52"/>
      <c r="L24" s="52"/>
      <c r="M24" s="52"/>
      <c r="N24" s="52"/>
      <c r="O24" s="52"/>
      <c r="P24" s="52"/>
      <c r="Q24" s="52"/>
      <c r="R24" s="52"/>
      <c r="S24" s="52"/>
      <c r="T24" s="52"/>
      <c r="U24" s="52"/>
      <c r="V24" s="52"/>
      <c r="W24" s="56"/>
      <c r="X24" s="52"/>
      <c r="Y24" s="52"/>
      <c r="Z24" s="52"/>
      <c r="AA24" s="52"/>
      <c r="AB24" s="52"/>
      <c r="AC24" s="52"/>
      <c r="AD24" s="57"/>
      <c r="AE24" s="3"/>
      <c r="AF24" s="58"/>
      <c r="AG24" s="4"/>
      <c r="AH24" s="58"/>
      <c r="AI24" s="4"/>
      <c r="AJ24" s="4"/>
      <c r="AK24" s="4"/>
    </row>
    <row r="25" spans="1:37" ht="37.5" customHeight="1">
      <c r="A25" s="52"/>
      <c r="B25" s="52"/>
      <c r="C25" s="52"/>
      <c r="D25" s="53"/>
      <c r="E25" s="53"/>
      <c r="F25" s="53"/>
      <c r="G25" s="52"/>
      <c r="H25" s="52"/>
      <c r="I25" s="52"/>
      <c r="J25" s="52"/>
      <c r="K25" s="52"/>
      <c r="L25" s="52"/>
      <c r="M25" s="52"/>
      <c r="N25" s="52"/>
      <c r="O25" s="52"/>
      <c r="P25" s="52"/>
      <c r="Q25" s="52"/>
      <c r="R25" s="52"/>
      <c r="S25" s="52"/>
      <c r="T25" s="52"/>
      <c r="U25" s="52"/>
      <c r="V25" s="52"/>
      <c r="W25" s="56"/>
      <c r="X25" s="52"/>
      <c r="Y25" s="52"/>
      <c r="Z25" s="52"/>
      <c r="AA25" s="52"/>
      <c r="AB25" s="52"/>
      <c r="AC25" s="52"/>
      <c r="AD25" s="57"/>
      <c r="AE25" s="3"/>
      <c r="AF25" s="58"/>
      <c r="AG25" s="4"/>
      <c r="AH25" s="58"/>
      <c r="AI25" s="4"/>
      <c r="AJ25" s="4"/>
      <c r="AK25" s="4"/>
    </row>
    <row r="26" spans="1:37" ht="37.5" customHeight="1">
      <c r="A26" s="52"/>
      <c r="B26" s="52"/>
      <c r="C26" s="52"/>
      <c r="D26" s="53"/>
      <c r="E26" s="53"/>
      <c r="F26" s="53"/>
      <c r="G26" s="52"/>
      <c r="H26" s="52"/>
      <c r="I26" s="52"/>
      <c r="J26" s="52"/>
      <c r="K26" s="52"/>
      <c r="L26" s="52"/>
      <c r="M26" s="52"/>
      <c r="N26" s="52"/>
      <c r="O26" s="52"/>
      <c r="P26" s="52"/>
      <c r="Q26" s="52"/>
      <c r="R26" s="52"/>
      <c r="S26" s="52"/>
      <c r="T26" s="52"/>
      <c r="U26" s="52"/>
      <c r="V26" s="52"/>
      <c r="W26" s="56"/>
      <c r="X26" s="52"/>
      <c r="Y26" s="52"/>
      <c r="Z26" s="52"/>
      <c r="AA26" s="52"/>
      <c r="AB26" s="52"/>
      <c r="AC26" s="52"/>
      <c r="AD26" s="57"/>
      <c r="AE26" s="3"/>
      <c r="AF26" s="58"/>
      <c r="AG26" s="4"/>
      <c r="AH26" s="58"/>
      <c r="AI26" s="4"/>
      <c r="AJ26" s="4"/>
      <c r="AK26" s="4"/>
    </row>
    <row r="27" spans="1:37" ht="37.5" customHeight="1">
      <c r="A27" s="52"/>
      <c r="B27" s="52"/>
      <c r="C27" s="52"/>
      <c r="D27" s="53"/>
      <c r="E27" s="53"/>
      <c r="F27" s="53"/>
      <c r="G27" s="52"/>
      <c r="H27" s="52"/>
      <c r="I27" s="52"/>
      <c r="J27" s="52"/>
      <c r="K27" s="52"/>
      <c r="L27" s="52"/>
      <c r="M27" s="52"/>
      <c r="N27" s="52"/>
      <c r="O27" s="52"/>
      <c r="P27" s="52"/>
      <c r="Q27" s="52"/>
      <c r="R27" s="52"/>
      <c r="S27" s="52"/>
      <c r="T27" s="52"/>
      <c r="U27" s="52"/>
      <c r="V27" s="52"/>
      <c r="W27" s="56"/>
      <c r="X27" s="52"/>
      <c r="Y27" s="52"/>
      <c r="Z27" s="52"/>
      <c r="AA27" s="52"/>
      <c r="AB27" s="52"/>
      <c r="AC27" s="52"/>
      <c r="AD27" s="57"/>
      <c r="AE27" s="3"/>
      <c r="AF27" s="58"/>
      <c r="AG27" s="4"/>
      <c r="AH27" s="58"/>
      <c r="AI27" s="4"/>
      <c r="AJ27" s="4"/>
      <c r="AK27" s="4"/>
    </row>
    <row r="28" spans="1:37" ht="37.5" customHeight="1">
      <c r="A28" s="52"/>
      <c r="B28" s="52"/>
      <c r="C28" s="52"/>
      <c r="D28" s="53"/>
      <c r="E28" s="53"/>
      <c r="F28" s="53"/>
      <c r="G28" s="52"/>
      <c r="H28" s="52"/>
      <c r="I28" s="52"/>
      <c r="J28" s="52"/>
      <c r="K28" s="52"/>
      <c r="L28" s="52"/>
      <c r="M28" s="52"/>
      <c r="N28" s="52"/>
      <c r="O28" s="52"/>
      <c r="P28" s="52"/>
      <c r="Q28" s="52"/>
      <c r="R28" s="52"/>
      <c r="S28" s="52"/>
      <c r="T28" s="52"/>
      <c r="U28" s="52"/>
      <c r="V28" s="52"/>
      <c r="W28" s="56"/>
      <c r="X28" s="52"/>
      <c r="Y28" s="52"/>
      <c r="Z28" s="52"/>
      <c r="AA28" s="52"/>
      <c r="AB28" s="52"/>
      <c r="AC28" s="52"/>
      <c r="AD28" s="57"/>
      <c r="AE28" s="3"/>
      <c r="AF28" s="58"/>
      <c r="AG28" s="4"/>
      <c r="AH28" s="58"/>
      <c r="AI28" s="4"/>
      <c r="AJ28" s="4"/>
      <c r="AK28" s="4"/>
    </row>
    <row r="29" spans="1:37" ht="37.5" customHeight="1">
      <c r="A29" s="52"/>
      <c r="B29" s="52"/>
      <c r="C29" s="52"/>
      <c r="D29" s="53"/>
      <c r="E29" s="53"/>
      <c r="F29" s="53"/>
      <c r="G29" s="52"/>
      <c r="H29" s="52"/>
      <c r="I29" s="52"/>
      <c r="J29" s="52"/>
      <c r="K29" s="52"/>
      <c r="L29" s="52"/>
      <c r="M29" s="52"/>
      <c r="N29" s="52"/>
      <c r="O29" s="52"/>
      <c r="P29" s="52"/>
      <c r="Q29" s="52"/>
      <c r="R29" s="52"/>
      <c r="S29" s="52"/>
      <c r="T29" s="52"/>
      <c r="U29" s="52"/>
      <c r="V29" s="52"/>
      <c r="W29" s="56"/>
      <c r="X29" s="52"/>
      <c r="Y29" s="52"/>
      <c r="Z29" s="52"/>
      <c r="AA29" s="52"/>
      <c r="AB29" s="52"/>
      <c r="AC29" s="52"/>
      <c r="AD29" s="57"/>
      <c r="AE29" s="3"/>
      <c r="AF29" s="58"/>
      <c r="AG29" s="4"/>
      <c r="AH29" s="58"/>
      <c r="AI29" s="4"/>
      <c r="AJ29" s="4"/>
      <c r="AK29" s="4"/>
    </row>
    <row r="30" spans="1:37" ht="37.5" customHeight="1">
      <c r="A30" s="52"/>
      <c r="B30" s="52"/>
      <c r="C30" s="52"/>
      <c r="D30" s="53"/>
      <c r="E30" s="53"/>
      <c r="F30" s="53"/>
      <c r="G30" s="52"/>
      <c r="H30" s="52"/>
      <c r="I30" s="52"/>
      <c r="J30" s="52"/>
      <c r="K30" s="52"/>
      <c r="L30" s="52"/>
      <c r="M30" s="52"/>
      <c r="N30" s="52"/>
      <c r="O30" s="52"/>
      <c r="P30" s="52"/>
      <c r="Q30" s="52"/>
      <c r="R30" s="52"/>
      <c r="S30" s="52"/>
      <c r="T30" s="52"/>
      <c r="U30" s="52"/>
      <c r="V30" s="52"/>
      <c r="W30" s="56"/>
      <c r="X30" s="52"/>
      <c r="Y30" s="52"/>
      <c r="Z30" s="52"/>
      <c r="AA30" s="52"/>
      <c r="AB30" s="52"/>
      <c r="AC30" s="52"/>
      <c r="AD30" s="57"/>
      <c r="AE30" s="3"/>
      <c r="AF30" s="58"/>
      <c r="AG30" s="4"/>
      <c r="AH30" s="58"/>
      <c r="AI30" s="4"/>
      <c r="AJ30" s="4"/>
      <c r="AK30" s="4"/>
    </row>
    <row r="31" spans="1:37" ht="37.5" customHeight="1">
      <c r="A31" s="52"/>
      <c r="B31" s="52"/>
      <c r="C31" s="52"/>
      <c r="D31" s="53"/>
      <c r="E31" s="53"/>
      <c r="F31" s="53"/>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row>
    <row r="32" spans="1:37" ht="14.25">
      <c r="A32" s="52"/>
      <c r="B32" s="52"/>
      <c r="C32" s="52"/>
      <c r="D32" s="53"/>
      <c r="E32" s="53"/>
      <c r="F32" s="53"/>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row>
    <row r="33" spans="1:37" ht="14.25">
      <c r="A33" s="52"/>
      <c r="B33" s="52"/>
      <c r="C33" s="52"/>
      <c r="D33" s="53"/>
      <c r="E33" s="53"/>
      <c r="F33" s="53"/>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14.25">
      <c r="A34" s="52"/>
      <c r="B34" s="52"/>
      <c r="C34" s="52"/>
      <c r="D34" s="53"/>
      <c r="E34" s="53"/>
      <c r="F34" s="53"/>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14.25">
      <c r="A35" s="52"/>
      <c r="B35" s="52"/>
      <c r="C35" s="52"/>
      <c r="D35" s="53"/>
      <c r="E35" s="53"/>
      <c r="F35" s="53"/>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14.25">
      <c r="A36" s="52"/>
      <c r="B36" s="52"/>
      <c r="C36" s="52"/>
      <c r="D36" s="53"/>
      <c r="E36" s="53"/>
      <c r="F36" s="53"/>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3"/>
      <c r="AG36" s="4"/>
      <c r="AH36" s="4"/>
      <c r="AI36" s="4"/>
      <c r="AJ36" s="4"/>
      <c r="AK36" s="4"/>
    </row>
    <row r="37" spans="1:37" ht="14.25">
      <c r="A37" s="52"/>
      <c r="B37" s="52"/>
      <c r="C37" s="52"/>
      <c r="D37" s="53"/>
      <c r="E37" s="53"/>
      <c r="F37" s="53"/>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3"/>
      <c r="AG37" s="4"/>
      <c r="AH37" s="4"/>
      <c r="AI37" s="4"/>
      <c r="AJ37" s="4"/>
      <c r="AK37" s="4"/>
    </row>
    <row r="38" spans="1:37" ht="14.25">
      <c r="A38" s="52"/>
      <c r="B38" s="52"/>
      <c r="C38" s="52"/>
      <c r="D38" s="53"/>
      <c r="E38" s="53"/>
      <c r="F38" s="53"/>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3"/>
      <c r="AG38" s="4"/>
      <c r="AH38" s="4"/>
      <c r="AI38" s="4"/>
      <c r="AJ38" s="4"/>
      <c r="AK38" s="4"/>
    </row>
    <row r="39" spans="1:37" ht="14.25">
      <c r="A39" s="52"/>
      <c r="B39" s="52"/>
      <c r="C39" s="52"/>
      <c r="D39" s="53"/>
      <c r="E39" s="53"/>
      <c r="F39" s="53"/>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3"/>
      <c r="AG39" s="4"/>
      <c r="AH39" s="4"/>
      <c r="AI39" s="4"/>
      <c r="AJ39" s="4"/>
      <c r="AK39" s="4"/>
    </row>
    <row r="40" spans="1:37" ht="14.25">
      <c r="A40" s="52"/>
      <c r="B40" s="52"/>
      <c r="C40" s="52"/>
      <c r="D40" s="53"/>
      <c r="E40" s="53"/>
      <c r="F40" s="53"/>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3"/>
      <c r="AG40" s="4"/>
      <c r="AH40" s="4"/>
      <c r="AI40" s="4"/>
      <c r="AJ40" s="4"/>
      <c r="AK40" s="4"/>
    </row>
    <row r="41" spans="1:37" ht="14.25">
      <c r="A41" s="52"/>
      <c r="B41" s="52"/>
      <c r="C41" s="52"/>
      <c r="D41" s="53"/>
      <c r="E41" s="53"/>
      <c r="F41" s="53"/>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3"/>
      <c r="AG41" s="4"/>
      <c r="AH41" s="4"/>
      <c r="AI41" s="4"/>
      <c r="AJ41" s="4"/>
      <c r="AK41" s="4"/>
    </row>
    <row r="42" spans="1:37" ht="14.25">
      <c r="A42" s="52"/>
      <c r="B42" s="52"/>
      <c r="C42" s="52"/>
      <c r="D42" s="53"/>
      <c r="E42" s="53"/>
      <c r="F42" s="53"/>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3"/>
      <c r="AG42" s="4"/>
      <c r="AH42" s="4"/>
      <c r="AI42" s="4"/>
      <c r="AJ42" s="4"/>
      <c r="AK42" s="4"/>
    </row>
    <row r="43" spans="1:37" ht="14.25">
      <c r="A43" s="52"/>
      <c r="B43" s="52"/>
      <c r="C43" s="52"/>
      <c r="D43" s="53"/>
      <c r="E43" s="53"/>
      <c r="F43" s="53"/>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3"/>
      <c r="E44" s="53"/>
      <c r="F44" s="53"/>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3"/>
      <c r="E45" s="53"/>
      <c r="F45" s="53"/>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3"/>
      <c r="E46" s="53"/>
      <c r="F46" s="53"/>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3"/>
      <c r="E47" s="53"/>
      <c r="F47" s="53"/>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3"/>
      <c r="E48" s="53"/>
      <c r="F48" s="53"/>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3"/>
      <c r="E49" s="53"/>
      <c r="F49" s="53"/>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3"/>
      <c r="E50" s="53"/>
      <c r="F50" s="53"/>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3"/>
      <c r="E51" s="53"/>
      <c r="F51" s="53"/>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3"/>
      <c r="E52" s="53"/>
      <c r="F52" s="53"/>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3"/>
      <c r="E53" s="53"/>
      <c r="F53" s="53"/>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3"/>
      <c r="E54" s="53"/>
      <c r="F54" s="53"/>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3"/>
      <c r="E55" s="53"/>
      <c r="F55" s="53"/>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3"/>
      <c r="E56" s="53"/>
      <c r="F56" s="53"/>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3"/>
      <c r="E57" s="53"/>
      <c r="F57" s="53"/>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3"/>
      <c r="E58" s="53"/>
      <c r="F58" s="53"/>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3"/>
      <c r="E59" s="53"/>
      <c r="F59" s="53"/>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3"/>
      <c r="E60" s="53"/>
      <c r="F60" s="53"/>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3"/>
      <c r="E61" s="53"/>
      <c r="F61" s="53"/>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3"/>
      <c r="E62" s="53"/>
      <c r="F62" s="53"/>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3"/>
      <c r="E63" s="53"/>
      <c r="F63" s="53"/>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3"/>
      <c r="E64" s="53"/>
      <c r="F64" s="53"/>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3"/>
      <c r="E65" s="53"/>
      <c r="F65" s="53"/>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3"/>
      <c r="E66" s="53"/>
      <c r="F66" s="53"/>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3"/>
      <c r="E67" s="53"/>
      <c r="F67" s="53"/>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3"/>
      <c r="E68" s="53"/>
      <c r="F68" s="53"/>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3"/>
      <c r="E69" s="53"/>
      <c r="F69" s="53"/>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3"/>
      <c r="E70" s="53"/>
      <c r="F70" s="53"/>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3"/>
      <c r="E71" s="53"/>
      <c r="F71" s="53"/>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3"/>
      <c r="E72" s="53"/>
      <c r="F72" s="53"/>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3"/>
      <c r="E73" s="53"/>
      <c r="F73" s="53"/>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3"/>
      <c r="E74" s="53"/>
      <c r="F74" s="53"/>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3"/>
      <c r="E75" s="53"/>
      <c r="F75" s="53"/>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3"/>
      <c r="E76" s="53"/>
      <c r="F76" s="53"/>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3"/>
      <c r="E77" s="53"/>
      <c r="F77" s="53"/>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3"/>
      <c r="E78" s="53"/>
      <c r="F78" s="53"/>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3"/>
      <c r="E79" s="53"/>
      <c r="F79" s="53"/>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3"/>
      <c r="E80" s="53"/>
      <c r="F80" s="53"/>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3"/>
      <c r="E81" s="53"/>
      <c r="F81" s="53"/>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3"/>
      <c r="E82" s="53"/>
      <c r="F82" s="53"/>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3"/>
      <c r="E83" s="53"/>
      <c r="F83" s="53"/>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3"/>
      <c r="E84" s="53"/>
      <c r="F84" s="53"/>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3"/>
      <c r="E85" s="53"/>
      <c r="F85" s="53"/>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3"/>
      <c r="E86" s="53"/>
      <c r="F86" s="53"/>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3"/>
      <c r="E87" s="53"/>
      <c r="F87" s="53"/>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3"/>
      <c r="E88" s="53"/>
      <c r="F88" s="53"/>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3"/>
      <c r="E89" s="53"/>
      <c r="F89" s="53"/>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3"/>
      <c r="E90" s="53"/>
      <c r="F90" s="53"/>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3"/>
      <c r="E91" s="53"/>
      <c r="F91" s="53"/>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3"/>
      <c r="E92" s="53"/>
      <c r="F92" s="53"/>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3"/>
      <c r="E93" s="53"/>
      <c r="F93" s="53"/>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3"/>
      <c r="E94" s="53"/>
      <c r="F94" s="53"/>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3"/>
      <c r="E95" s="53"/>
      <c r="F95" s="53"/>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3"/>
      <c r="E96" s="53"/>
      <c r="F96" s="53"/>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3"/>
      <c r="E97" s="53"/>
      <c r="F97" s="53"/>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3"/>
      <c r="E98" s="53"/>
      <c r="F98" s="53"/>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3"/>
      <c r="E99" s="53"/>
      <c r="F99" s="53"/>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2.75">
      <c r="D100" s="49"/>
      <c r="E100" s="49"/>
      <c r="F100" s="49"/>
      <c r="W100" s="59"/>
    </row>
    <row r="101" spans="1:37" ht="12.75">
      <c r="D101" s="49"/>
      <c r="E101" s="49"/>
      <c r="F101" s="49"/>
      <c r="W101" s="59"/>
    </row>
    <row r="102" spans="1:37" ht="12.75">
      <c r="D102" s="49"/>
      <c r="E102" s="49"/>
      <c r="F102" s="49"/>
      <c r="W102" s="59"/>
    </row>
    <row r="103" spans="1:37" ht="12.75">
      <c r="D103" s="49"/>
      <c r="E103" s="49"/>
      <c r="F103" s="49"/>
      <c r="W103" s="59"/>
    </row>
    <row r="104" spans="1:37" ht="12.75">
      <c r="D104" s="49"/>
      <c r="E104" s="49"/>
      <c r="F104" s="49"/>
      <c r="W104" s="59"/>
    </row>
    <row r="105" spans="1:37" ht="12.75">
      <c r="D105" s="49"/>
      <c r="E105" s="49"/>
      <c r="F105" s="49"/>
      <c r="W105" s="59"/>
    </row>
    <row r="106" spans="1:37" ht="12.75">
      <c r="D106" s="49"/>
      <c r="E106" s="49"/>
      <c r="F106" s="49"/>
      <c r="W106" s="59"/>
    </row>
    <row r="107" spans="1:37" ht="12.75">
      <c r="D107" s="49"/>
      <c r="E107" s="49"/>
      <c r="F107" s="49"/>
      <c r="W107" s="59"/>
    </row>
    <row r="108" spans="1:37" ht="12.75">
      <c r="D108" s="49"/>
      <c r="E108" s="49"/>
      <c r="F108" s="49"/>
      <c r="W108" s="59"/>
    </row>
    <row r="109" spans="1:37" ht="12.75">
      <c r="D109" s="49"/>
      <c r="E109" s="49"/>
      <c r="F109" s="49"/>
      <c r="W109" s="59"/>
    </row>
    <row r="110" spans="1:37" ht="12.75">
      <c r="D110" s="49"/>
      <c r="E110" s="49"/>
      <c r="F110" s="49"/>
      <c r="W110" s="59"/>
    </row>
    <row r="111" spans="1:37" ht="12.75">
      <c r="D111" s="49"/>
      <c r="E111" s="49"/>
      <c r="F111" s="49"/>
      <c r="W111" s="59"/>
    </row>
    <row r="112" spans="1:37" ht="12.75">
      <c r="D112" s="49"/>
      <c r="E112" s="49"/>
      <c r="F112" s="49"/>
      <c r="W112" s="59"/>
    </row>
    <row r="113" spans="4:23" ht="12.75">
      <c r="D113" s="49"/>
      <c r="E113" s="49"/>
      <c r="F113" s="49"/>
      <c r="W113" s="59"/>
    </row>
    <row r="114" spans="4:23" ht="12.75">
      <c r="D114" s="49"/>
      <c r="E114" s="49"/>
      <c r="F114" s="49"/>
      <c r="W114" s="59"/>
    </row>
    <row r="115" spans="4:23" ht="12.75">
      <c r="D115" s="49"/>
      <c r="E115" s="49"/>
      <c r="F115" s="49"/>
      <c r="W115" s="59"/>
    </row>
    <row r="116" spans="4:23" ht="12.75">
      <c r="D116" s="49"/>
      <c r="E116" s="49"/>
      <c r="F116" s="49"/>
      <c r="W116" s="59"/>
    </row>
    <row r="117" spans="4:23" ht="12.75">
      <c r="D117" s="49"/>
      <c r="E117" s="49"/>
      <c r="F117" s="49"/>
      <c r="W117" s="59"/>
    </row>
    <row r="118" spans="4:23" ht="12.75">
      <c r="D118" s="49"/>
      <c r="E118" s="49"/>
      <c r="F118" s="49"/>
      <c r="W118" s="59"/>
    </row>
    <row r="119" spans="4:23" ht="12.75">
      <c r="D119" s="49"/>
      <c r="E119" s="49"/>
      <c r="F119" s="49"/>
      <c r="W119" s="59"/>
    </row>
    <row r="120" spans="4:23" ht="12.75">
      <c r="D120" s="49"/>
      <c r="E120" s="49"/>
      <c r="F120" s="49"/>
      <c r="W120" s="59"/>
    </row>
    <row r="121" spans="4:23" ht="12.75">
      <c r="D121" s="49"/>
      <c r="E121" s="49"/>
      <c r="F121" s="49"/>
      <c r="W121" s="59"/>
    </row>
    <row r="122" spans="4:23" ht="12.75">
      <c r="D122" s="49"/>
      <c r="E122" s="49"/>
      <c r="F122" s="49"/>
      <c r="W122" s="59"/>
    </row>
    <row r="123" spans="4:23" ht="12.75">
      <c r="D123" s="49"/>
      <c r="E123" s="49"/>
      <c r="F123" s="49"/>
      <c r="W123" s="59"/>
    </row>
    <row r="124" spans="4:23" ht="12.75">
      <c r="D124" s="49"/>
      <c r="E124" s="49"/>
      <c r="F124" s="49"/>
      <c r="W124" s="59"/>
    </row>
    <row r="125" spans="4:23" ht="12.75">
      <c r="D125" s="49"/>
      <c r="E125" s="49"/>
      <c r="F125" s="49"/>
      <c r="W125" s="59"/>
    </row>
    <row r="126" spans="4:23" ht="12.75">
      <c r="D126" s="49"/>
      <c r="E126" s="49"/>
      <c r="F126" s="49"/>
      <c r="W126" s="59"/>
    </row>
    <row r="127" spans="4:23" ht="12.75">
      <c r="D127" s="49"/>
      <c r="E127" s="49"/>
      <c r="F127" s="49"/>
      <c r="W127" s="59"/>
    </row>
    <row r="128" spans="4:23" ht="12.75">
      <c r="D128" s="49"/>
      <c r="E128" s="49"/>
      <c r="F128" s="49"/>
      <c r="W128" s="59"/>
    </row>
    <row r="129" spans="4:23" ht="12.75">
      <c r="D129" s="49"/>
      <c r="E129" s="49"/>
      <c r="F129" s="49"/>
      <c r="W129" s="59"/>
    </row>
    <row r="130" spans="4:23" ht="12.75">
      <c r="D130" s="49"/>
      <c r="E130" s="49"/>
      <c r="F130" s="49"/>
      <c r="W130" s="59"/>
    </row>
    <row r="131" spans="4:23" ht="12.75">
      <c r="D131" s="49"/>
      <c r="E131" s="49"/>
      <c r="F131" s="49"/>
      <c r="W131" s="59"/>
    </row>
    <row r="132" spans="4:23" ht="12.75">
      <c r="D132" s="49"/>
      <c r="E132" s="49"/>
      <c r="F132" s="49"/>
      <c r="W132" s="59"/>
    </row>
    <row r="133" spans="4:23" ht="12.75">
      <c r="D133" s="49"/>
      <c r="E133" s="49"/>
      <c r="F133" s="49"/>
      <c r="W133" s="59"/>
    </row>
    <row r="134" spans="4:23" ht="12.75">
      <c r="D134" s="49"/>
      <c r="E134" s="49"/>
      <c r="F134" s="49"/>
      <c r="W134" s="59"/>
    </row>
    <row r="135" spans="4:23" ht="12.75">
      <c r="D135" s="49"/>
      <c r="E135" s="49"/>
      <c r="F135" s="49"/>
      <c r="W135" s="59"/>
    </row>
    <row r="136" spans="4:23" ht="12.75">
      <c r="D136" s="49"/>
      <c r="E136" s="49"/>
      <c r="F136" s="49"/>
      <c r="W136" s="59"/>
    </row>
    <row r="137" spans="4:23" ht="12.75">
      <c r="D137" s="49"/>
      <c r="E137" s="49"/>
      <c r="F137" s="49"/>
      <c r="W137" s="59"/>
    </row>
    <row r="138" spans="4:23" ht="12.75">
      <c r="D138" s="49"/>
      <c r="E138" s="49"/>
      <c r="F138" s="49"/>
      <c r="W138" s="59"/>
    </row>
    <row r="139" spans="4:23" ht="12.75">
      <c r="D139" s="49"/>
      <c r="E139" s="49"/>
      <c r="F139" s="49"/>
      <c r="W139" s="59"/>
    </row>
    <row r="140" spans="4:23" ht="12.75">
      <c r="D140" s="49"/>
      <c r="E140" s="49"/>
      <c r="F140" s="49"/>
      <c r="W140" s="59"/>
    </row>
    <row r="141" spans="4:23" ht="12.75">
      <c r="D141" s="49"/>
      <c r="E141" s="49"/>
      <c r="F141" s="49"/>
      <c r="W141" s="59"/>
    </row>
    <row r="142" spans="4:23" ht="12.75">
      <c r="D142" s="49"/>
      <c r="E142" s="49"/>
      <c r="F142" s="49"/>
      <c r="W142" s="59"/>
    </row>
    <row r="143" spans="4:23" ht="12.75">
      <c r="D143" s="49"/>
      <c r="E143" s="49"/>
      <c r="F143" s="49"/>
      <c r="W143" s="59"/>
    </row>
    <row r="144" spans="4:23" ht="12.75">
      <c r="D144" s="49"/>
      <c r="E144" s="49"/>
      <c r="F144" s="49"/>
      <c r="W144" s="59"/>
    </row>
    <row r="145" spans="4:23" ht="12.75">
      <c r="D145" s="49"/>
      <c r="E145" s="49"/>
      <c r="F145" s="49"/>
      <c r="W145" s="59"/>
    </row>
    <row r="146" spans="4:23" ht="12.75">
      <c r="D146" s="49"/>
      <c r="E146" s="49"/>
      <c r="F146" s="49"/>
      <c r="W146" s="59"/>
    </row>
    <row r="147" spans="4:23" ht="12.75">
      <c r="D147" s="49"/>
      <c r="E147" s="49"/>
      <c r="F147" s="49"/>
      <c r="W147" s="59"/>
    </row>
    <row r="148" spans="4:23" ht="12.75">
      <c r="D148" s="49"/>
      <c r="E148" s="49"/>
      <c r="F148" s="49"/>
      <c r="W148" s="59"/>
    </row>
    <row r="149" spans="4:23" ht="12.75">
      <c r="D149" s="49"/>
      <c r="E149" s="49"/>
      <c r="F149" s="49"/>
      <c r="W149" s="59"/>
    </row>
    <row r="150" spans="4:23" ht="12.75">
      <c r="D150" s="49"/>
      <c r="E150" s="49"/>
      <c r="F150" s="49"/>
      <c r="W150" s="59"/>
    </row>
    <row r="151" spans="4:23" ht="12.75">
      <c r="D151" s="49"/>
      <c r="E151" s="49"/>
      <c r="F151" s="49"/>
      <c r="W151" s="59"/>
    </row>
    <row r="152" spans="4:23" ht="12.75">
      <c r="D152" s="49"/>
      <c r="E152" s="49"/>
      <c r="F152" s="49"/>
      <c r="W152" s="59"/>
    </row>
    <row r="153" spans="4:23" ht="12.75">
      <c r="D153" s="49"/>
      <c r="E153" s="49"/>
      <c r="F153" s="49"/>
      <c r="W153" s="59"/>
    </row>
    <row r="154" spans="4:23" ht="12.75">
      <c r="D154" s="49"/>
      <c r="E154" s="49"/>
      <c r="F154" s="49"/>
      <c r="W154" s="59"/>
    </row>
    <row r="155" spans="4:23" ht="12.75">
      <c r="D155" s="49"/>
      <c r="E155" s="49"/>
      <c r="F155" s="49"/>
      <c r="W155" s="59"/>
    </row>
    <row r="156" spans="4:23" ht="12.75">
      <c r="D156" s="49"/>
      <c r="E156" s="49"/>
      <c r="F156" s="49"/>
      <c r="W156" s="59"/>
    </row>
    <row r="157" spans="4:23" ht="12.75">
      <c r="D157" s="49"/>
      <c r="E157" s="49"/>
      <c r="F157" s="49"/>
      <c r="W157" s="59"/>
    </row>
    <row r="158" spans="4:23" ht="12.75">
      <c r="D158" s="49"/>
      <c r="E158" s="49"/>
      <c r="F158" s="49"/>
      <c r="W158" s="59"/>
    </row>
    <row r="159" spans="4:23" ht="12.75">
      <c r="D159" s="49"/>
      <c r="E159" s="49"/>
      <c r="F159" s="49"/>
      <c r="W159" s="59"/>
    </row>
    <row r="160" spans="4:23" ht="12.75">
      <c r="D160" s="49"/>
      <c r="E160" s="49"/>
      <c r="F160" s="49"/>
      <c r="W160" s="59"/>
    </row>
    <row r="161" spans="4:23" ht="12.75">
      <c r="D161" s="49"/>
      <c r="E161" s="49"/>
      <c r="F161" s="49"/>
      <c r="W161" s="59"/>
    </row>
    <row r="162" spans="4:23" ht="12.75">
      <c r="D162" s="49"/>
      <c r="E162" s="49"/>
      <c r="F162" s="49"/>
      <c r="W162" s="59"/>
    </row>
    <row r="163" spans="4:23" ht="12.75">
      <c r="D163" s="49"/>
      <c r="E163" s="49"/>
      <c r="F163" s="49"/>
      <c r="W163" s="59"/>
    </row>
    <row r="164" spans="4:23" ht="12.75">
      <c r="D164" s="49"/>
      <c r="E164" s="49"/>
      <c r="F164" s="49"/>
      <c r="W164" s="59"/>
    </row>
    <row r="165" spans="4:23" ht="12.75">
      <c r="D165" s="49"/>
      <c r="E165" s="49"/>
      <c r="F165" s="49"/>
      <c r="W165" s="59"/>
    </row>
    <row r="166" spans="4:23" ht="12.75">
      <c r="D166" s="49"/>
      <c r="E166" s="49"/>
      <c r="F166" s="49"/>
      <c r="W166" s="59"/>
    </row>
    <row r="167" spans="4:23" ht="12.75">
      <c r="D167" s="49"/>
      <c r="E167" s="49"/>
      <c r="F167" s="49"/>
      <c r="W167" s="59"/>
    </row>
    <row r="168" spans="4:23" ht="12.75">
      <c r="D168" s="49"/>
      <c r="E168" s="49"/>
      <c r="F168" s="49"/>
      <c r="W168" s="59"/>
    </row>
    <row r="169" spans="4:23" ht="12.75">
      <c r="D169" s="49"/>
      <c r="E169" s="49"/>
      <c r="F169" s="49"/>
      <c r="W169" s="59"/>
    </row>
    <row r="170" spans="4:23" ht="12.75">
      <c r="D170" s="49"/>
      <c r="E170" s="49"/>
      <c r="F170" s="49"/>
      <c r="W170" s="59"/>
    </row>
    <row r="171" spans="4:23" ht="12.75">
      <c r="D171" s="49"/>
      <c r="E171" s="49"/>
      <c r="F171" s="49"/>
      <c r="W171" s="59"/>
    </row>
    <row r="172" spans="4:23" ht="12.75">
      <c r="D172" s="49"/>
      <c r="E172" s="49"/>
      <c r="F172" s="49"/>
      <c r="W172" s="59"/>
    </row>
    <row r="173" spans="4:23" ht="12.75">
      <c r="D173" s="49"/>
      <c r="E173" s="49"/>
      <c r="F173" s="49"/>
      <c r="W173" s="59"/>
    </row>
    <row r="174" spans="4:23" ht="12.75">
      <c r="D174" s="49"/>
      <c r="E174" s="49"/>
      <c r="F174" s="49"/>
      <c r="W174" s="59"/>
    </row>
    <row r="175" spans="4:23" ht="12.75">
      <c r="D175" s="49"/>
      <c r="E175" s="49"/>
      <c r="F175" s="49"/>
      <c r="W175" s="59"/>
    </row>
    <row r="176" spans="4:23" ht="12.75">
      <c r="D176" s="49"/>
      <c r="E176" s="49"/>
      <c r="F176" s="49"/>
      <c r="W176" s="59"/>
    </row>
    <row r="177" spans="4:23" ht="12.75">
      <c r="D177" s="49"/>
      <c r="E177" s="49"/>
      <c r="F177" s="49"/>
      <c r="W177" s="59"/>
    </row>
    <row r="178" spans="4:23" ht="12.75">
      <c r="D178" s="49"/>
      <c r="E178" s="49"/>
      <c r="F178" s="49"/>
      <c r="W178" s="59"/>
    </row>
    <row r="179" spans="4:23" ht="12.75">
      <c r="D179" s="49"/>
      <c r="E179" s="49"/>
      <c r="F179" s="49"/>
      <c r="W179" s="59"/>
    </row>
    <row r="180" spans="4:23" ht="12.75">
      <c r="D180" s="49"/>
      <c r="E180" s="49"/>
      <c r="F180" s="49"/>
      <c r="W180" s="59"/>
    </row>
    <row r="181" spans="4:23" ht="12.75">
      <c r="D181" s="49"/>
      <c r="E181" s="49"/>
      <c r="F181" s="49"/>
      <c r="W181" s="59"/>
    </row>
    <row r="182" spans="4:23" ht="12.75">
      <c r="D182" s="49"/>
      <c r="E182" s="49"/>
      <c r="F182" s="49"/>
      <c r="W182" s="59"/>
    </row>
    <row r="183" spans="4:23" ht="12.75">
      <c r="D183" s="49"/>
      <c r="E183" s="49"/>
      <c r="F183" s="49"/>
      <c r="W183" s="59"/>
    </row>
    <row r="184" spans="4:23" ht="12.75">
      <c r="D184" s="49"/>
      <c r="E184" s="49"/>
      <c r="F184" s="49"/>
      <c r="W184" s="59"/>
    </row>
    <row r="185" spans="4:23" ht="12.75">
      <c r="D185" s="49"/>
      <c r="E185" s="49"/>
      <c r="F185" s="49"/>
      <c r="W185" s="59"/>
    </row>
    <row r="186" spans="4:23" ht="12.75">
      <c r="D186" s="49"/>
      <c r="E186" s="49"/>
      <c r="F186" s="49"/>
      <c r="W186" s="59"/>
    </row>
    <row r="187" spans="4:23" ht="12.75">
      <c r="D187" s="49"/>
      <c r="E187" s="49"/>
      <c r="F187" s="49"/>
      <c r="W187" s="59"/>
    </row>
    <row r="188" spans="4:23" ht="12.75">
      <c r="D188" s="49"/>
      <c r="E188" s="49"/>
      <c r="F188" s="49"/>
      <c r="W188" s="59"/>
    </row>
    <row r="189" spans="4:23" ht="12.75">
      <c r="D189" s="49"/>
      <c r="E189" s="49"/>
      <c r="F189" s="49"/>
      <c r="W189" s="59"/>
    </row>
    <row r="190" spans="4:23" ht="12.75">
      <c r="D190" s="49"/>
      <c r="E190" s="49"/>
      <c r="F190" s="49"/>
      <c r="W190" s="59"/>
    </row>
    <row r="191" spans="4:23" ht="12.75">
      <c r="D191" s="49"/>
      <c r="E191" s="49"/>
      <c r="F191" s="49"/>
      <c r="W191" s="59"/>
    </row>
    <row r="192" spans="4:23" ht="12.75">
      <c r="D192" s="49"/>
      <c r="E192" s="49"/>
      <c r="F192" s="49"/>
      <c r="W192" s="59"/>
    </row>
    <row r="193" spans="4:23" ht="12.75">
      <c r="D193" s="49"/>
      <c r="E193" s="49"/>
      <c r="F193" s="49"/>
      <c r="W193" s="59"/>
    </row>
    <row r="194" spans="4:23" ht="12.75">
      <c r="D194" s="49"/>
      <c r="E194" s="49"/>
      <c r="F194" s="49"/>
      <c r="W194" s="59"/>
    </row>
    <row r="195" spans="4:23" ht="12.75">
      <c r="D195" s="49"/>
      <c r="E195" s="49"/>
      <c r="F195" s="49"/>
      <c r="W195" s="59"/>
    </row>
    <row r="196" spans="4:23" ht="12.75">
      <c r="D196" s="49"/>
      <c r="E196" s="49"/>
      <c r="F196" s="49"/>
      <c r="W196" s="59"/>
    </row>
    <row r="197" spans="4:23" ht="12.75">
      <c r="D197" s="49"/>
      <c r="E197" s="49"/>
      <c r="F197" s="49"/>
      <c r="W197" s="59"/>
    </row>
    <row r="198" spans="4:23" ht="12.75">
      <c r="D198" s="49"/>
      <c r="E198" s="49"/>
      <c r="F198" s="49"/>
      <c r="W198" s="59"/>
    </row>
    <row r="199" spans="4:23" ht="12.75">
      <c r="D199" s="49"/>
      <c r="E199" s="49"/>
      <c r="F199" s="49"/>
      <c r="W199" s="59"/>
    </row>
    <row r="200" spans="4:23" ht="12.75">
      <c r="D200" s="49"/>
      <c r="E200" s="49"/>
      <c r="F200" s="49"/>
      <c r="W200" s="59"/>
    </row>
    <row r="201" spans="4:23" ht="12.75">
      <c r="D201" s="49"/>
      <c r="E201" s="49"/>
      <c r="F201" s="49"/>
      <c r="W201" s="59"/>
    </row>
    <row r="202" spans="4:23" ht="12.75">
      <c r="D202" s="49"/>
      <c r="E202" s="49"/>
      <c r="F202" s="49"/>
      <c r="W202" s="59"/>
    </row>
    <row r="203" spans="4:23" ht="12.75">
      <c r="D203" s="49"/>
      <c r="E203" s="49"/>
      <c r="F203" s="49"/>
      <c r="W203" s="59"/>
    </row>
    <row r="204" spans="4:23" ht="12.75">
      <c r="D204" s="49"/>
      <c r="E204" s="49"/>
      <c r="F204" s="49"/>
      <c r="W204" s="59"/>
    </row>
    <row r="205" spans="4:23" ht="12.75">
      <c r="D205" s="49"/>
      <c r="E205" s="49"/>
      <c r="F205" s="49"/>
      <c r="W205" s="59"/>
    </row>
    <row r="206" spans="4:23" ht="12.75">
      <c r="D206" s="49"/>
      <c r="E206" s="49"/>
      <c r="F206" s="49"/>
      <c r="W206" s="59"/>
    </row>
    <row r="207" spans="4:23" ht="12.75">
      <c r="D207" s="49"/>
      <c r="E207" s="49"/>
      <c r="F207" s="49"/>
      <c r="W207" s="59"/>
    </row>
    <row r="208" spans="4:23" ht="12.75">
      <c r="D208" s="49"/>
      <c r="E208" s="49"/>
      <c r="F208" s="49"/>
      <c r="W208" s="59"/>
    </row>
    <row r="209" spans="4:23" ht="12.75">
      <c r="D209" s="49"/>
      <c r="E209" s="49"/>
      <c r="F209" s="49"/>
      <c r="W209" s="59"/>
    </row>
    <row r="210" spans="4:23" ht="12.75">
      <c r="D210" s="49"/>
      <c r="E210" s="49"/>
      <c r="F210" s="49"/>
      <c r="W210" s="59"/>
    </row>
    <row r="211" spans="4:23" ht="12.75">
      <c r="D211" s="49"/>
      <c r="E211" s="49"/>
      <c r="F211" s="49"/>
      <c r="W211" s="59"/>
    </row>
    <row r="212" spans="4:23" ht="12.75">
      <c r="D212" s="49"/>
      <c r="E212" s="49"/>
      <c r="F212" s="49"/>
      <c r="W212" s="59"/>
    </row>
    <row r="213" spans="4:23" ht="12.75">
      <c r="D213" s="49"/>
      <c r="E213" s="49"/>
      <c r="F213" s="49"/>
      <c r="W213" s="59"/>
    </row>
    <row r="214" spans="4:23" ht="12.75">
      <c r="D214" s="49"/>
      <c r="E214" s="49"/>
      <c r="F214" s="49"/>
      <c r="W214" s="59"/>
    </row>
    <row r="215" spans="4:23" ht="12.75">
      <c r="D215" s="49"/>
      <c r="E215" s="49"/>
      <c r="F215" s="49"/>
      <c r="W215" s="59"/>
    </row>
    <row r="216" spans="4:23" ht="12.75">
      <c r="D216" s="49"/>
      <c r="E216" s="49"/>
      <c r="F216" s="49"/>
      <c r="W216" s="59"/>
    </row>
    <row r="217" spans="4:23" ht="12.75">
      <c r="D217" s="49"/>
      <c r="E217" s="49"/>
      <c r="F217" s="49"/>
      <c r="W217" s="59"/>
    </row>
    <row r="218" spans="4:23" ht="12.75">
      <c r="D218" s="49"/>
      <c r="E218" s="49"/>
      <c r="F218" s="49"/>
      <c r="W218" s="59"/>
    </row>
    <row r="219" spans="4:23" ht="12.75">
      <c r="D219" s="49"/>
      <c r="E219" s="49"/>
      <c r="F219" s="49"/>
      <c r="W219" s="59"/>
    </row>
    <row r="220" spans="4:23" ht="12.75">
      <c r="D220" s="49"/>
      <c r="E220" s="49"/>
      <c r="F220" s="49"/>
      <c r="W220" s="59"/>
    </row>
    <row r="221" spans="4:23" ht="12.75">
      <c r="D221" s="49"/>
      <c r="E221" s="49"/>
      <c r="F221" s="49"/>
      <c r="W221" s="59"/>
    </row>
    <row r="222" spans="4:23" ht="12.75">
      <c r="D222" s="49"/>
      <c r="E222" s="49"/>
      <c r="F222" s="49"/>
      <c r="W222" s="59"/>
    </row>
    <row r="223" spans="4:23" ht="12.75">
      <c r="D223" s="49"/>
      <c r="E223" s="49"/>
      <c r="F223" s="49"/>
      <c r="W223" s="59"/>
    </row>
    <row r="224" spans="4:23" ht="12.75">
      <c r="D224" s="49"/>
      <c r="E224" s="49"/>
      <c r="F224" s="49"/>
      <c r="W224" s="59"/>
    </row>
    <row r="225" spans="4:23" ht="12.75">
      <c r="D225" s="49"/>
      <c r="E225" s="49"/>
      <c r="F225" s="49"/>
      <c r="W225" s="59"/>
    </row>
    <row r="226" spans="4:23" ht="12.75">
      <c r="D226" s="49"/>
      <c r="E226" s="49"/>
      <c r="F226" s="49"/>
      <c r="W226" s="59"/>
    </row>
    <row r="227" spans="4:23" ht="12.75">
      <c r="D227" s="49"/>
      <c r="E227" s="49"/>
      <c r="F227" s="49"/>
      <c r="W227" s="59"/>
    </row>
    <row r="228" spans="4:23" ht="12.75">
      <c r="D228" s="49"/>
      <c r="E228" s="49"/>
      <c r="F228" s="49"/>
      <c r="W228" s="59"/>
    </row>
    <row r="229" spans="4:23" ht="12.75">
      <c r="D229" s="49"/>
      <c r="E229" s="49"/>
      <c r="F229" s="49"/>
      <c r="W229" s="59"/>
    </row>
    <row r="230" spans="4:23" ht="12.75">
      <c r="D230" s="49"/>
      <c r="E230" s="49"/>
      <c r="F230" s="49"/>
      <c r="W230" s="59"/>
    </row>
    <row r="231" spans="4:23" ht="12.75">
      <c r="D231" s="49"/>
      <c r="E231" s="49"/>
      <c r="F231" s="49"/>
      <c r="W231" s="59"/>
    </row>
    <row r="232" spans="4:23" ht="12.75">
      <c r="D232" s="49"/>
      <c r="E232" s="49"/>
      <c r="F232" s="49"/>
      <c r="W232" s="59"/>
    </row>
    <row r="233" spans="4:23" ht="12.75">
      <c r="D233" s="49"/>
      <c r="E233" s="49"/>
      <c r="F233" s="49"/>
      <c r="W233" s="59"/>
    </row>
    <row r="234" spans="4:23" ht="12.75">
      <c r="D234" s="49"/>
      <c r="E234" s="49"/>
      <c r="F234" s="49"/>
      <c r="W234" s="59"/>
    </row>
    <row r="235" spans="4:23" ht="12.75">
      <c r="D235" s="49"/>
      <c r="E235" s="49"/>
      <c r="F235" s="49"/>
      <c r="W235" s="59"/>
    </row>
    <row r="236" spans="4:23" ht="12.75">
      <c r="D236" s="49"/>
      <c r="E236" s="49"/>
      <c r="F236" s="49"/>
      <c r="W236" s="59"/>
    </row>
    <row r="237" spans="4:23" ht="12.75">
      <c r="D237" s="49"/>
      <c r="E237" s="49"/>
      <c r="F237" s="49"/>
      <c r="W237" s="59"/>
    </row>
    <row r="238" spans="4:23" ht="12.75">
      <c r="D238" s="49"/>
      <c r="E238" s="49"/>
      <c r="F238" s="49"/>
      <c r="W238" s="59"/>
    </row>
    <row r="239" spans="4:23" ht="12.75">
      <c r="D239" s="49"/>
      <c r="E239" s="49"/>
      <c r="F239" s="49"/>
      <c r="W239" s="59"/>
    </row>
    <row r="240" spans="4:23" ht="12.75">
      <c r="D240" s="49"/>
      <c r="E240" s="49"/>
      <c r="F240" s="49"/>
      <c r="W240" s="59"/>
    </row>
    <row r="241" spans="4:23" ht="12.75">
      <c r="D241" s="49"/>
      <c r="E241" s="49"/>
      <c r="F241" s="49"/>
      <c r="W241" s="59"/>
    </row>
    <row r="242" spans="4:23" ht="12.75">
      <c r="D242" s="49"/>
      <c r="E242" s="49"/>
      <c r="F242" s="49"/>
      <c r="W242" s="59"/>
    </row>
    <row r="243" spans="4:23" ht="12.75">
      <c r="D243" s="49"/>
      <c r="E243" s="49"/>
      <c r="F243" s="49"/>
      <c r="W243" s="59"/>
    </row>
    <row r="244" spans="4:23" ht="12.75">
      <c r="D244" s="49"/>
      <c r="E244" s="49"/>
      <c r="F244" s="49"/>
      <c r="W244" s="59"/>
    </row>
    <row r="245" spans="4:23" ht="12.75">
      <c r="D245" s="49"/>
      <c r="E245" s="49"/>
      <c r="F245" s="49"/>
      <c r="W245" s="59"/>
    </row>
    <row r="246" spans="4:23" ht="12.75">
      <c r="D246" s="49"/>
      <c r="E246" s="49"/>
      <c r="F246" s="49"/>
      <c r="W246" s="59"/>
    </row>
    <row r="247" spans="4:23" ht="12.75">
      <c r="D247" s="49"/>
      <c r="E247" s="49"/>
      <c r="F247" s="49"/>
      <c r="W247" s="59"/>
    </row>
    <row r="248" spans="4:23" ht="12.75">
      <c r="D248" s="49"/>
      <c r="E248" s="49"/>
      <c r="F248" s="49"/>
      <c r="W248" s="59"/>
    </row>
    <row r="249" spans="4:23" ht="12.75">
      <c r="D249" s="49"/>
      <c r="E249" s="49"/>
      <c r="F249" s="49"/>
      <c r="W249" s="59"/>
    </row>
    <row r="250" spans="4:23" ht="12.75">
      <c r="D250" s="49"/>
      <c r="E250" s="49"/>
      <c r="F250" s="49"/>
      <c r="W250" s="59"/>
    </row>
    <row r="251" spans="4:23" ht="12.75">
      <c r="D251" s="49"/>
      <c r="E251" s="49"/>
      <c r="F251" s="49"/>
      <c r="W251" s="59"/>
    </row>
    <row r="252" spans="4:23" ht="12.75">
      <c r="D252" s="49"/>
      <c r="E252" s="49"/>
      <c r="F252" s="49"/>
      <c r="W252" s="59"/>
    </row>
    <row r="253" spans="4:23" ht="12.75">
      <c r="D253" s="49"/>
      <c r="E253" s="49"/>
      <c r="F253" s="49"/>
      <c r="W253" s="59"/>
    </row>
    <row r="254" spans="4:23" ht="12.75">
      <c r="D254" s="49"/>
      <c r="E254" s="49"/>
      <c r="F254" s="49"/>
      <c r="W254" s="59"/>
    </row>
    <row r="255" spans="4:23" ht="12.75">
      <c r="D255" s="49"/>
      <c r="E255" s="49"/>
      <c r="F255" s="49"/>
      <c r="W255" s="59"/>
    </row>
    <row r="256" spans="4:23" ht="12.75">
      <c r="D256" s="49"/>
      <c r="E256" s="49"/>
      <c r="F256" s="49"/>
      <c r="W256" s="59"/>
    </row>
    <row r="257" spans="4:23" ht="12.75">
      <c r="D257" s="49"/>
      <c r="E257" s="49"/>
      <c r="F257" s="49"/>
      <c r="W257" s="59"/>
    </row>
    <row r="258" spans="4:23" ht="12.75">
      <c r="D258" s="49"/>
      <c r="E258" s="49"/>
      <c r="F258" s="49"/>
      <c r="W258" s="59"/>
    </row>
    <row r="259" spans="4:23" ht="12.75">
      <c r="D259" s="49"/>
      <c r="E259" s="49"/>
      <c r="F259" s="49"/>
      <c r="W259" s="59"/>
    </row>
    <row r="260" spans="4:23" ht="12.75">
      <c r="D260" s="49"/>
      <c r="E260" s="49"/>
      <c r="F260" s="49"/>
      <c r="W260" s="59"/>
    </row>
    <row r="261" spans="4:23" ht="12.75">
      <c r="D261" s="49"/>
      <c r="E261" s="49"/>
      <c r="F261" s="49"/>
      <c r="W261" s="59"/>
    </row>
    <row r="262" spans="4:23" ht="12.75">
      <c r="D262" s="49"/>
      <c r="E262" s="49"/>
      <c r="F262" s="49"/>
      <c r="W262" s="59"/>
    </row>
    <row r="263" spans="4:23" ht="12.75">
      <c r="D263" s="49"/>
      <c r="E263" s="49"/>
      <c r="F263" s="49"/>
      <c r="W263" s="59"/>
    </row>
    <row r="264" spans="4:23" ht="12.75">
      <c r="D264" s="49"/>
      <c r="E264" s="49"/>
      <c r="F264" s="49"/>
      <c r="W264" s="59"/>
    </row>
    <row r="265" spans="4:23" ht="12.75">
      <c r="D265" s="49"/>
      <c r="E265" s="49"/>
      <c r="F265" s="49"/>
      <c r="W265" s="59"/>
    </row>
    <row r="266" spans="4:23" ht="12.75">
      <c r="D266" s="49"/>
      <c r="E266" s="49"/>
      <c r="F266" s="49"/>
      <c r="W266" s="59"/>
    </row>
    <row r="267" spans="4:23" ht="12.75">
      <c r="D267" s="49"/>
      <c r="E267" s="49"/>
      <c r="F267" s="49"/>
      <c r="W267" s="59"/>
    </row>
    <row r="268" spans="4:23" ht="12.75">
      <c r="D268" s="49"/>
      <c r="E268" s="49"/>
      <c r="F268" s="49"/>
      <c r="W268" s="59"/>
    </row>
    <row r="269" spans="4:23" ht="12.75">
      <c r="D269" s="49"/>
      <c r="E269" s="49"/>
      <c r="F269" s="49"/>
      <c r="W269" s="59"/>
    </row>
    <row r="270" spans="4:23" ht="12.75">
      <c r="D270" s="49"/>
      <c r="E270" s="49"/>
      <c r="F270" s="49"/>
      <c r="W270" s="59"/>
    </row>
    <row r="271" spans="4:23" ht="12.75">
      <c r="D271" s="49"/>
      <c r="E271" s="49"/>
      <c r="F271" s="49"/>
      <c r="W271" s="59"/>
    </row>
    <row r="272" spans="4:23" ht="12.75">
      <c r="D272" s="49"/>
      <c r="E272" s="49"/>
      <c r="F272" s="49"/>
      <c r="W272" s="59"/>
    </row>
    <row r="273" spans="4:23" ht="12.75">
      <c r="D273" s="49"/>
      <c r="E273" s="49"/>
      <c r="F273" s="49"/>
      <c r="W273" s="59"/>
    </row>
    <row r="274" spans="4:23" ht="12.75">
      <c r="D274" s="49"/>
      <c r="E274" s="49"/>
      <c r="F274" s="49"/>
      <c r="W274" s="59"/>
    </row>
    <row r="275" spans="4:23" ht="12.75">
      <c r="D275" s="49"/>
      <c r="E275" s="49"/>
      <c r="F275" s="49"/>
      <c r="W275" s="59"/>
    </row>
    <row r="276" spans="4:23" ht="12.75">
      <c r="D276" s="49"/>
      <c r="E276" s="49"/>
      <c r="F276" s="49"/>
      <c r="W276" s="59"/>
    </row>
    <row r="277" spans="4:23" ht="12.75">
      <c r="D277" s="49"/>
      <c r="E277" s="49"/>
      <c r="F277" s="49"/>
      <c r="W277" s="59"/>
    </row>
    <row r="278" spans="4:23" ht="12.75">
      <c r="D278" s="49"/>
      <c r="E278" s="49"/>
      <c r="F278" s="49"/>
      <c r="W278" s="59"/>
    </row>
    <row r="279" spans="4:23" ht="12.75">
      <c r="D279" s="49"/>
      <c r="E279" s="49"/>
      <c r="F279" s="49"/>
      <c r="W279" s="59"/>
    </row>
    <row r="280" spans="4:23" ht="12.75">
      <c r="D280" s="49"/>
      <c r="E280" s="49"/>
      <c r="F280" s="49"/>
      <c r="W280" s="59"/>
    </row>
    <row r="281" spans="4:23" ht="12.75">
      <c r="D281" s="49"/>
      <c r="E281" s="49"/>
      <c r="F281" s="49"/>
      <c r="W281" s="59"/>
    </row>
    <row r="282" spans="4:23" ht="12.75">
      <c r="D282" s="49"/>
      <c r="E282" s="49"/>
      <c r="F282" s="49"/>
      <c r="W282" s="59"/>
    </row>
    <row r="283" spans="4:23" ht="12.75">
      <c r="D283" s="49"/>
      <c r="E283" s="49"/>
      <c r="F283" s="49"/>
      <c r="W283" s="59"/>
    </row>
    <row r="284" spans="4:23" ht="12.75">
      <c r="D284" s="49"/>
      <c r="E284" s="49"/>
      <c r="F284" s="49"/>
      <c r="W284" s="59"/>
    </row>
    <row r="285" spans="4:23" ht="12.75">
      <c r="D285" s="49"/>
      <c r="E285" s="49"/>
      <c r="F285" s="49"/>
      <c r="W285" s="59"/>
    </row>
    <row r="286" spans="4:23" ht="12.75">
      <c r="D286" s="49"/>
      <c r="E286" s="49"/>
      <c r="F286" s="49"/>
      <c r="W286" s="59"/>
    </row>
    <row r="287" spans="4:23" ht="12.75">
      <c r="D287" s="49"/>
      <c r="E287" s="49"/>
      <c r="F287" s="49"/>
      <c r="W287" s="59"/>
    </row>
    <row r="288" spans="4:23" ht="12.75">
      <c r="D288" s="49"/>
      <c r="E288" s="49"/>
      <c r="F288" s="49"/>
      <c r="W288" s="59"/>
    </row>
    <row r="289" spans="4:23" ht="12.75">
      <c r="D289" s="49"/>
      <c r="E289" s="49"/>
      <c r="F289" s="49"/>
      <c r="W289" s="59"/>
    </row>
    <row r="290" spans="4:23" ht="12.75">
      <c r="D290" s="49"/>
      <c r="E290" s="49"/>
      <c r="F290" s="49"/>
      <c r="W290" s="59"/>
    </row>
    <row r="291" spans="4:23" ht="12.75">
      <c r="D291" s="49"/>
      <c r="E291" s="49"/>
      <c r="F291" s="49"/>
      <c r="W291" s="59"/>
    </row>
    <row r="292" spans="4:23" ht="12.75">
      <c r="D292" s="49"/>
      <c r="E292" s="49"/>
      <c r="F292" s="49"/>
      <c r="W292" s="59"/>
    </row>
    <row r="293" spans="4:23" ht="12.75">
      <c r="D293" s="49"/>
      <c r="E293" s="49"/>
      <c r="F293" s="49"/>
      <c r="W293" s="59"/>
    </row>
    <row r="294" spans="4:23" ht="12.75">
      <c r="D294" s="49"/>
      <c r="E294" s="49"/>
      <c r="F294" s="49"/>
      <c r="W294" s="59"/>
    </row>
    <row r="295" spans="4:23" ht="12.75">
      <c r="D295" s="49"/>
      <c r="E295" s="49"/>
      <c r="F295" s="49"/>
      <c r="W295" s="59"/>
    </row>
    <row r="296" spans="4:23" ht="12.75">
      <c r="D296" s="49"/>
      <c r="E296" s="49"/>
      <c r="F296" s="49"/>
      <c r="W296" s="59"/>
    </row>
    <row r="297" spans="4:23" ht="12.75">
      <c r="D297" s="49"/>
      <c r="E297" s="49"/>
      <c r="F297" s="49"/>
      <c r="W297" s="59"/>
    </row>
    <row r="298" spans="4:23" ht="12.75">
      <c r="D298" s="49"/>
      <c r="E298" s="49"/>
      <c r="F298" s="49"/>
      <c r="W298" s="59"/>
    </row>
    <row r="299" spans="4:23" ht="12.75">
      <c r="D299" s="49"/>
      <c r="E299" s="49"/>
      <c r="F299" s="49"/>
      <c r="W299" s="59"/>
    </row>
    <row r="300" spans="4:23" ht="12.75">
      <c r="D300" s="49"/>
      <c r="E300" s="49"/>
      <c r="F300" s="49"/>
      <c r="W300" s="59"/>
    </row>
    <row r="301" spans="4:23" ht="12.75">
      <c r="D301" s="49"/>
      <c r="E301" s="49"/>
      <c r="F301" s="49"/>
      <c r="W301" s="59"/>
    </row>
    <row r="302" spans="4:23" ht="12.75">
      <c r="D302" s="49"/>
      <c r="E302" s="49"/>
      <c r="F302" s="49"/>
      <c r="W302" s="59"/>
    </row>
    <row r="303" spans="4:23" ht="12.75">
      <c r="D303" s="49"/>
      <c r="E303" s="49"/>
      <c r="F303" s="49"/>
      <c r="W303" s="59"/>
    </row>
    <row r="304" spans="4:23" ht="12.75">
      <c r="D304" s="49"/>
      <c r="E304" s="49"/>
      <c r="F304" s="49"/>
      <c r="W304" s="59"/>
    </row>
    <row r="305" spans="4:23" ht="12.75">
      <c r="D305" s="49"/>
      <c r="E305" s="49"/>
      <c r="F305" s="49"/>
      <c r="W305" s="59"/>
    </row>
    <row r="306" spans="4:23" ht="12.75">
      <c r="D306" s="49"/>
      <c r="E306" s="49"/>
      <c r="F306" s="49"/>
      <c r="W306" s="59"/>
    </row>
    <row r="307" spans="4:23" ht="12.75">
      <c r="D307" s="49"/>
      <c r="E307" s="49"/>
      <c r="F307" s="49"/>
      <c r="W307" s="59"/>
    </row>
    <row r="308" spans="4:23" ht="12.75">
      <c r="D308" s="49"/>
      <c r="E308" s="49"/>
      <c r="F308" s="49"/>
      <c r="W308" s="59"/>
    </row>
    <row r="309" spans="4:23" ht="12.75">
      <c r="D309" s="49"/>
      <c r="E309" s="49"/>
      <c r="F309" s="49"/>
      <c r="W309" s="59"/>
    </row>
    <row r="310" spans="4:23" ht="12.75">
      <c r="D310" s="49"/>
      <c r="E310" s="49"/>
      <c r="F310" s="49"/>
      <c r="W310" s="59"/>
    </row>
    <row r="311" spans="4:23" ht="12.75">
      <c r="D311" s="49"/>
      <c r="E311" s="49"/>
      <c r="F311" s="49"/>
      <c r="W311" s="59"/>
    </row>
    <row r="312" spans="4:23" ht="12.75">
      <c r="D312" s="49"/>
      <c r="E312" s="49"/>
      <c r="F312" s="49"/>
      <c r="W312" s="59"/>
    </row>
    <row r="313" spans="4:23" ht="12.75">
      <c r="D313" s="49"/>
      <c r="E313" s="49"/>
      <c r="F313" s="49"/>
      <c r="W313" s="59"/>
    </row>
    <row r="314" spans="4:23" ht="12.75">
      <c r="D314" s="49"/>
      <c r="E314" s="49"/>
      <c r="F314" s="49"/>
      <c r="W314" s="59"/>
    </row>
    <row r="315" spans="4:23" ht="12.75">
      <c r="D315" s="49"/>
      <c r="E315" s="49"/>
      <c r="F315" s="49"/>
      <c r="W315" s="59"/>
    </row>
    <row r="316" spans="4:23" ht="12.75">
      <c r="D316" s="49"/>
      <c r="E316" s="49"/>
      <c r="F316" s="49"/>
      <c r="W316" s="59"/>
    </row>
    <row r="317" spans="4:23" ht="12.75">
      <c r="D317" s="49"/>
      <c r="E317" s="49"/>
      <c r="F317" s="49"/>
      <c r="W317" s="59"/>
    </row>
    <row r="318" spans="4:23" ht="12.75">
      <c r="D318" s="49"/>
      <c r="E318" s="49"/>
      <c r="F318" s="49"/>
      <c r="W318" s="59"/>
    </row>
    <row r="319" spans="4:23" ht="12.75">
      <c r="D319" s="49"/>
      <c r="E319" s="49"/>
      <c r="F319" s="49"/>
      <c r="W319" s="59"/>
    </row>
    <row r="320" spans="4:23" ht="12.75">
      <c r="D320" s="49"/>
      <c r="E320" s="49"/>
      <c r="F320" s="49"/>
      <c r="W320" s="59"/>
    </row>
    <row r="321" spans="4:23" ht="12.75">
      <c r="D321" s="49"/>
      <c r="E321" s="49"/>
      <c r="F321" s="49"/>
      <c r="W321" s="59"/>
    </row>
    <row r="322" spans="4:23" ht="12.75">
      <c r="D322" s="49"/>
      <c r="E322" s="49"/>
      <c r="F322" s="49"/>
      <c r="W322" s="59"/>
    </row>
    <row r="323" spans="4:23" ht="12.75">
      <c r="D323" s="49"/>
      <c r="E323" s="49"/>
      <c r="F323" s="49"/>
      <c r="W323" s="59"/>
    </row>
    <row r="324" spans="4:23" ht="12.75">
      <c r="D324" s="49"/>
      <c r="E324" s="49"/>
      <c r="F324" s="49"/>
      <c r="W324" s="59"/>
    </row>
    <row r="325" spans="4:23" ht="12.75">
      <c r="D325" s="49"/>
      <c r="E325" s="49"/>
      <c r="F325" s="49"/>
      <c r="W325" s="59"/>
    </row>
    <row r="326" spans="4:23" ht="12.75">
      <c r="D326" s="49"/>
      <c r="E326" s="49"/>
      <c r="F326" s="49"/>
      <c r="W326" s="59"/>
    </row>
    <row r="327" spans="4:23" ht="12.75">
      <c r="D327" s="49"/>
      <c r="E327" s="49"/>
      <c r="F327" s="49"/>
      <c r="W327" s="59"/>
    </row>
    <row r="328" spans="4:23" ht="12.75">
      <c r="D328" s="49"/>
      <c r="E328" s="49"/>
      <c r="F328" s="49"/>
      <c r="W328" s="59"/>
    </row>
    <row r="329" spans="4:23" ht="12.75">
      <c r="D329" s="49"/>
      <c r="E329" s="49"/>
      <c r="F329" s="49"/>
      <c r="W329" s="59"/>
    </row>
    <row r="330" spans="4:23" ht="12.75">
      <c r="D330" s="49"/>
      <c r="E330" s="49"/>
      <c r="F330" s="49"/>
      <c r="W330" s="59"/>
    </row>
    <row r="331" spans="4:23" ht="12.75">
      <c r="D331" s="49"/>
      <c r="E331" s="49"/>
      <c r="F331" s="49"/>
      <c r="W331" s="59"/>
    </row>
    <row r="332" spans="4:23" ht="12.75">
      <c r="D332" s="49"/>
      <c r="E332" s="49"/>
      <c r="F332" s="49"/>
      <c r="W332" s="59"/>
    </row>
    <row r="333" spans="4:23" ht="12.75">
      <c r="D333" s="49"/>
      <c r="E333" s="49"/>
      <c r="F333" s="49"/>
      <c r="W333" s="59"/>
    </row>
    <row r="334" spans="4:23" ht="12.75">
      <c r="D334" s="49"/>
      <c r="E334" s="49"/>
      <c r="F334" s="49"/>
      <c r="W334" s="59"/>
    </row>
    <row r="335" spans="4:23" ht="12.75">
      <c r="D335" s="49"/>
      <c r="E335" s="49"/>
      <c r="F335" s="49"/>
      <c r="W335" s="59"/>
    </row>
    <row r="336" spans="4:23" ht="12.75">
      <c r="D336" s="49"/>
      <c r="E336" s="49"/>
      <c r="F336" s="49"/>
      <c r="W336" s="59"/>
    </row>
    <row r="337" spans="4:23" ht="12.75">
      <c r="D337" s="49"/>
      <c r="E337" s="49"/>
      <c r="F337" s="49"/>
      <c r="W337" s="59"/>
    </row>
    <row r="338" spans="4:23" ht="12.75">
      <c r="D338" s="49"/>
      <c r="E338" s="49"/>
      <c r="F338" s="49"/>
      <c r="W338" s="59"/>
    </row>
    <row r="339" spans="4:23" ht="12.75">
      <c r="D339" s="49"/>
      <c r="E339" s="49"/>
      <c r="F339" s="49"/>
      <c r="W339" s="59"/>
    </row>
    <row r="340" spans="4:23" ht="12.75">
      <c r="D340" s="49"/>
      <c r="E340" s="49"/>
      <c r="F340" s="49"/>
      <c r="W340" s="59"/>
    </row>
    <row r="341" spans="4:23" ht="12.75">
      <c r="D341" s="49"/>
      <c r="E341" s="49"/>
      <c r="F341" s="49"/>
      <c r="W341" s="59"/>
    </row>
    <row r="342" spans="4:23" ht="12.75">
      <c r="D342" s="49"/>
      <c r="E342" s="49"/>
      <c r="F342" s="49"/>
      <c r="W342" s="59"/>
    </row>
    <row r="343" spans="4:23" ht="12.75">
      <c r="D343" s="49"/>
      <c r="E343" s="49"/>
      <c r="F343" s="49"/>
      <c r="W343" s="59"/>
    </row>
    <row r="344" spans="4:23" ht="12.75">
      <c r="D344" s="49"/>
      <c r="E344" s="49"/>
      <c r="F344" s="49"/>
      <c r="W344" s="59"/>
    </row>
    <row r="345" spans="4:23" ht="12.75">
      <c r="D345" s="49"/>
      <c r="E345" s="49"/>
      <c r="F345" s="49"/>
      <c r="W345" s="59"/>
    </row>
    <row r="346" spans="4:23" ht="12.75">
      <c r="D346" s="49"/>
      <c r="E346" s="49"/>
      <c r="F346" s="49"/>
      <c r="W346" s="59"/>
    </row>
    <row r="347" spans="4:23" ht="12.75">
      <c r="D347" s="49"/>
      <c r="E347" s="49"/>
      <c r="F347" s="49"/>
      <c r="W347" s="59"/>
    </row>
    <row r="348" spans="4:23" ht="12.75">
      <c r="D348" s="49"/>
      <c r="E348" s="49"/>
      <c r="F348" s="49"/>
      <c r="W348" s="59"/>
    </row>
    <row r="349" spans="4:23" ht="12.75">
      <c r="D349" s="49"/>
      <c r="E349" s="49"/>
      <c r="F349" s="49"/>
      <c r="W349" s="59"/>
    </row>
    <row r="350" spans="4:23" ht="12.75">
      <c r="D350" s="49"/>
      <c r="E350" s="49"/>
      <c r="F350" s="49"/>
      <c r="W350" s="59"/>
    </row>
    <row r="351" spans="4:23" ht="12.75">
      <c r="D351" s="49"/>
      <c r="E351" s="49"/>
      <c r="F351" s="49"/>
      <c r="W351" s="59"/>
    </row>
    <row r="352" spans="4:23" ht="12.75">
      <c r="D352" s="49"/>
      <c r="E352" s="49"/>
      <c r="F352" s="49"/>
      <c r="W352" s="59"/>
    </row>
    <row r="353" spans="4:23" ht="12.75">
      <c r="D353" s="49"/>
      <c r="E353" s="49"/>
      <c r="F353" s="49"/>
      <c r="W353" s="59"/>
    </row>
    <row r="354" spans="4:23" ht="12.75">
      <c r="D354" s="49"/>
      <c r="E354" s="49"/>
      <c r="F354" s="49"/>
      <c r="W354" s="59"/>
    </row>
    <row r="355" spans="4:23" ht="12.75">
      <c r="D355" s="49"/>
      <c r="E355" s="49"/>
      <c r="F355" s="49"/>
      <c r="W355" s="59"/>
    </row>
    <row r="356" spans="4:23" ht="12.75">
      <c r="D356" s="49"/>
      <c r="E356" s="49"/>
      <c r="F356" s="49"/>
      <c r="W356" s="59"/>
    </row>
    <row r="357" spans="4:23" ht="12.75">
      <c r="D357" s="49"/>
      <c r="E357" s="49"/>
      <c r="F357" s="49"/>
      <c r="W357" s="59"/>
    </row>
    <row r="358" spans="4:23" ht="12.75">
      <c r="D358" s="49"/>
      <c r="E358" s="49"/>
      <c r="F358" s="49"/>
      <c r="W358" s="59"/>
    </row>
    <row r="359" spans="4:23" ht="12.75">
      <c r="D359" s="49"/>
      <c r="E359" s="49"/>
      <c r="F359" s="49"/>
      <c r="W359" s="59"/>
    </row>
    <row r="360" spans="4:23" ht="12.75">
      <c r="D360" s="49"/>
      <c r="E360" s="49"/>
      <c r="F360" s="49"/>
      <c r="W360" s="59"/>
    </row>
    <row r="361" spans="4:23" ht="12.75">
      <c r="D361" s="49"/>
      <c r="E361" s="49"/>
      <c r="F361" s="49"/>
      <c r="W361" s="59"/>
    </row>
    <row r="362" spans="4:23" ht="12.75">
      <c r="D362" s="49"/>
      <c r="E362" s="49"/>
      <c r="F362" s="49"/>
      <c r="W362" s="59"/>
    </row>
    <row r="363" spans="4:23" ht="12.75">
      <c r="D363" s="49"/>
      <c r="E363" s="49"/>
      <c r="F363" s="49"/>
      <c r="W363" s="59"/>
    </row>
    <row r="364" spans="4:23" ht="12.75">
      <c r="D364" s="49"/>
      <c r="E364" s="49"/>
      <c r="F364" s="49"/>
      <c r="W364" s="59"/>
    </row>
    <row r="365" spans="4:23" ht="12.75">
      <c r="D365" s="49"/>
      <c r="E365" s="49"/>
      <c r="F365" s="49"/>
      <c r="W365" s="59"/>
    </row>
    <row r="366" spans="4:23" ht="12.75">
      <c r="D366" s="49"/>
      <c r="E366" s="49"/>
      <c r="F366" s="49"/>
      <c r="W366" s="59"/>
    </row>
    <row r="367" spans="4:23" ht="12.75">
      <c r="D367" s="49"/>
      <c r="E367" s="49"/>
      <c r="F367" s="49"/>
      <c r="W367" s="59"/>
    </row>
    <row r="368" spans="4:23" ht="12.75">
      <c r="D368" s="49"/>
      <c r="E368" s="49"/>
      <c r="F368" s="49"/>
      <c r="W368" s="59"/>
    </row>
    <row r="369" spans="4:23" ht="12.75">
      <c r="D369" s="49"/>
      <c r="E369" s="49"/>
      <c r="F369" s="49"/>
      <c r="W369" s="59"/>
    </row>
    <row r="370" spans="4:23" ht="12.75">
      <c r="D370" s="49"/>
      <c r="E370" s="49"/>
      <c r="F370" s="49"/>
      <c r="W370" s="59"/>
    </row>
    <row r="371" spans="4:23" ht="12.75">
      <c r="D371" s="49"/>
      <c r="E371" s="49"/>
      <c r="F371" s="49"/>
      <c r="W371" s="59"/>
    </row>
    <row r="372" spans="4:23" ht="12.75">
      <c r="D372" s="49"/>
      <c r="E372" s="49"/>
      <c r="F372" s="49"/>
      <c r="W372" s="59"/>
    </row>
    <row r="373" spans="4:23" ht="12.75">
      <c r="D373" s="49"/>
      <c r="E373" s="49"/>
      <c r="F373" s="49"/>
      <c r="W373" s="59"/>
    </row>
    <row r="374" spans="4:23" ht="12.75">
      <c r="D374" s="49"/>
      <c r="E374" s="49"/>
      <c r="F374" s="49"/>
      <c r="W374" s="59"/>
    </row>
    <row r="375" spans="4:23" ht="12.75">
      <c r="D375" s="49"/>
      <c r="E375" s="49"/>
      <c r="F375" s="49"/>
      <c r="W375" s="59"/>
    </row>
    <row r="376" spans="4:23" ht="12.75">
      <c r="D376" s="49"/>
      <c r="E376" s="49"/>
      <c r="F376" s="49"/>
      <c r="W376" s="59"/>
    </row>
    <row r="377" spans="4:23" ht="12.75">
      <c r="D377" s="49"/>
      <c r="E377" s="49"/>
      <c r="F377" s="49"/>
      <c r="W377" s="59"/>
    </row>
    <row r="378" spans="4:23" ht="12.75">
      <c r="D378" s="49"/>
      <c r="E378" s="49"/>
      <c r="F378" s="49"/>
      <c r="W378" s="59"/>
    </row>
    <row r="379" spans="4:23" ht="12.75">
      <c r="D379" s="49"/>
      <c r="E379" s="49"/>
      <c r="F379" s="49"/>
      <c r="W379" s="59"/>
    </row>
    <row r="380" spans="4:23" ht="12.75">
      <c r="D380" s="49"/>
      <c r="E380" s="49"/>
      <c r="F380" s="49"/>
      <c r="W380" s="59"/>
    </row>
    <row r="381" spans="4:23" ht="12.75">
      <c r="D381" s="49"/>
      <c r="E381" s="49"/>
      <c r="F381" s="49"/>
      <c r="W381" s="59"/>
    </row>
    <row r="382" spans="4:23" ht="12.75">
      <c r="D382" s="49"/>
      <c r="E382" s="49"/>
      <c r="F382" s="49"/>
      <c r="W382" s="59"/>
    </row>
    <row r="383" spans="4:23" ht="12.75">
      <c r="D383" s="49"/>
      <c r="E383" s="49"/>
      <c r="F383" s="49"/>
      <c r="W383" s="59"/>
    </row>
    <row r="384" spans="4:23" ht="12.75">
      <c r="D384" s="49"/>
      <c r="E384" s="49"/>
      <c r="F384" s="49"/>
      <c r="W384" s="59"/>
    </row>
    <row r="385" spans="4:23" ht="12.75">
      <c r="D385" s="49"/>
      <c r="E385" s="49"/>
      <c r="F385" s="49"/>
      <c r="W385" s="59"/>
    </row>
    <row r="386" spans="4:23" ht="12.75">
      <c r="D386" s="49"/>
      <c r="E386" s="49"/>
      <c r="F386" s="49"/>
      <c r="W386" s="59"/>
    </row>
    <row r="387" spans="4:23" ht="12.75">
      <c r="D387" s="49"/>
      <c r="E387" s="49"/>
      <c r="F387" s="49"/>
      <c r="W387" s="59"/>
    </row>
    <row r="388" spans="4:23" ht="12.75">
      <c r="D388" s="49"/>
      <c r="E388" s="49"/>
      <c r="F388" s="49"/>
      <c r="W388" s="59"/>
    </row>
    <row r="389" spans="4:23" ht="12.75">
      <c r="D389" s="49"/>
      <c r="E389" s="49"/>
      <c r="F389" s="49"/>
      <c r="W389" s="59"/>
    </row>
    <row r="390" spans="4:23" ht="12.75">
      <c r="D390" s="49"/>
      <c r="E390" s="49"/>
      <c r="F390" s="49"/>
      <c r="W390" s="59"/>
    </row>
    <row r="391" spans="4:23" ht="12.75">
      <c r="D391" s="49"/>
      <c r="E391" s="49"/>
      <c r="F391" s="49"/>
      <c r="W391" s="59"/>
    </row>
    <row r="392" spans="4:23" ht="12.75">
      <c r="D392" s="49"/>
      <c r="E392" s="49"/>
      <c r="F392" s="49"/>
      <c r="W392" s="59"/>
    </row>
    <row r="393" spans="4:23" ht="12.75">
      <c r="D393" s="49"/>
      <c r="E393" s="49"/>
      <c r="F393" s="49"/>
      <c r="W393" s="59"/>
    </row>
    <row r="394" spans="4:23" ht="12.75">
      <c r="D394" s="49"/>
      <c r="E394" s="49"/>
      <c r="F394" s="49"/>
      <c r="W394" s="59"/>
    </row>
    <row r="395" spans="4:23" ht="12.75">
      <c r="D395" s="49"/>
      <c r="E395" s="49"/>
      <c r="F395" s="49"/>
      <c r="W395" s="59"/>
    </row>
    <row r="396" spans="4:23" ht="12.75">
      <c r="D396" s="49"/>
      <c r="E396" s="49"/>
      <c r="F396" s="49"/>
      <c r="W396" s="59"/>
    </row>
    <row r="397" spans="4:23" ht="12.75">
      <c r="D397" s="49"/>
      <c r="E397" s="49"/>
      <c r="F397" s="49"/>
      <c r="W397" s="59"/>
    </row>
    <row r="398" spans="4:23" ht="12.75">
      <c r="D398" s="49"/>
      <c r="E398" s="49"/>
      <c r="F398" s="49"/>
      <c r="W398" s="59"/>
    </row>
    <row r="399" spans="4:23" ht="12.75">
      <c r="D399" s="49"/>
      <c r="E399" s="49"/>
      <c r="F399" s="49"/>
      <c r="W399" s="59"/>
    </row>
    <row r="400" spans="4:23" ht="12.75">
      <c r="D400" s="49"/>
      <c r="E400" s="49"/>
      <c r="F400" s="49"/>
      <c r="W400" s="59"/>
    </row>
    <row r="401" spans="4:23" ht="12.75">
      <c r="D401" s="49"/>
      <c r="E401" s="49"/>
      <c r="F401" s="49"/>
      <c r="W401" s="59"/>
    </row>
    <row r="402" spans="4:23" ht="12.75">
      <c r="D402" s="49"/>
      <c r="E402" s="49"/>
      <c r="F402" s="49"/>
      <c r="W402" s="59"/>
    </row>
    <row r="403" spans="4:23" ht="12.75">
      <c r="D403" s="49"/>
      <c r="E403" s="49"/>
      <c r="F403" s="49"/>
      <c r="W403" s="59"/>
    </row>
    <row r="404" spans="4:23" ht="12.75">
      <c r="D404" s="49"/>
      <c r="E404" s="49"/>
      <c r="F404" s="49"/>
      <c r="W404" s="59"/>
    </row>
    <row r="405" spans="4:23" ht="12.75">
      <c r="D405" s="49"/>
      <c r="E405" s="49"/>
      <c r="F405" s="49"/>
      <c r="W405" s="59"/>
    </row>
    <row r="406" spans="4:23" ht="12.75">
      <c r="D406" s="49"/>
      <c r="E406" s="49"/>
      <c r="F406" s="49"/>
      <c r="W406" s="59"/>
    </row>
    <row r="407" spans="4:23" ht="12.75">
      <c r="D407" s="49"/>
      <c r="E407" s="49"/>
      <c r="F407" s="49"/>
      <c r="W407" s="59"/>
    </row>
    <row r="408" spans="4:23" ht="12.75">
      <c r="D408" s="49"/>
      <c r="E408" s="49"/>
      <c r="F408" s="49"/>
      <c r="W408" s="59"/>
    </row>
    <row r="409" spans="4:23" ht="12.75">
      <c r="D409" s="49"/>
      <c r="E409" s="49"/>
      <c r="F409" s="49"/>
      <c r="W409" s="59"/>
    </row>
    <row r="410" spans="4:23" ht="12.75">
      <c r="D410" s="49"/>
      <c r="E410" s="49"/>
      <c r="F410" s="49"/>
      <c r="W410" s="59"/>
    </row>
    <row r="411" spans="4:23" ht="12.75">
      <c r="D411" s="49"/>
      <c r="E411" s="49"/>
      <c r="F411" s="49"/>
      <c r="W411" s="59"/>
    </row>
    <row r="412" spans="4:23" ht="12.75">
      <c r="D412" s="49"/>
      <c r="E412" s="49"/>
      <c r="F412" s="49"/>
      <c r="W412" s="59"/>
    </row>
    <row r="413" spans="4:23" ht="12.75">
      <c r="D413" s="49"/>
      <c r="E413" s="49"/>
      <c r="F413" s="49"/>
      <c r="W413" s="59"/>
    </row>
    <row r="414" spans="4:23" ht="12.75">
      <c r="D414" s="49"/>
      <c r="E414" s="49"/>
      <c r="F414" s="49"/>
      <c r="W414" s="59"/>
    </row>
    <row r="415" spans="4:23" ht="12.75">
      <c r="D415" s="49"/>
      <c r="E415" s="49"/>
      <c r="F415" s="49"/>
      <c r="W415" s="59"/>
    </row>
    <row r="416" spans="4:23" ht="12.75">
      <c r="D416" s="49"/>
      <c r="E416" s="49"/>
      <c r="F416" s="49"/>
      <c r="W416" s="59"/>
    </row>
    <row r="417" spans="4:23" ht="12.75">
      <c r="D417" s="49"/>
      <c r="E417" s="49"/>
      <c r="F417" s="49"/>
      <c r="W417" s="59"/>
    </row>
    <row r="418" spans="4:23" ht="12.75">
      <c r="D418" s="49"/>
      <c r="E418" s="49"/>
      <c r="F418" s="49"/>
      <c r="W418" s="59"/>
    </row>
    <row r="419" spans="4:23" ht="12.75">
      <c r="D419" s="49"/>
      <c r="E419" s="49"/>
      <c r="F419" s="49"/>
      <c r="W419" s="59"/>
    </row>
    <row r="420" spans="4:23" ht="12.75">
      <c r="D420" s="49"/>
      <c r="E420" s="49"/>
      <c r="F420" s="49"/>
      <c r="W420" s="59"/>
    </row>
    <row r="421" spans="4:23" ht="12.75">
      <c r="D421" s="49"/>
      <c r="E421" s="49"/>
      <c r="F421" s="49"/>
      <c r="W421" s="59"/>
    </row>
    <row r="422" spans="4:23" ht="12.75">
      <c r="D422" s="49"/>
      <c r="E422" s="49"/>
      <c r="F422" s="49"/>
      <c r="W422" s="59"/>
    </row>
    <row r="423" spans="4:23" ht="12.75">
      <c r="D423" s="49"/>
      <c r="E423" s="49"/>
      <c r="F423" s="49"/>
      <c r="W423" s="59"/>
    </row>
    <row r="424" spans="4:23" ht="12.75">
      <c r="D424" s="49"/>
      <c r="E424" s="49"/>
      <c r="F424" s="49"/>
      <c r="W424" s="59"/>
    </row>
    <row r="425" spans="4:23" ht="12.75">
      <c r="D425" s="49"/>
      <c r="E425" s="49"/>
      <c r="F425" s="49"/>
      <c r="W425" s="59"/>
    </row>
    <row r="426" spans="4:23" ht="12.75">
      <c r="D426" s="49"/>
      <c r="E426" s="49"/>
      <c r="F426" s="49"/>
      <c r="W426" s="59"/>
    </row>
    <row r="427" spans="4:23" ht="12.75">
      <c r="D427" s="49"/>
      <c r="E427" s="49"/>
      <c r="F427" s="49"/>
      <c r="W427" s="59"/>
    </row>
    <row r="428" spans="4:23" ht="12.75">
      <c r="D428" s="49"/>
      <c r="E428" s="49"/>
      <c r="F428" s="49"/>
      <c r="W428" s="59"/>
    </row>
    <row r="429" spans="4:23" ht="12.75">
      <c r="D429" s="49"/>
      <c r="E429" s="49"/>
      <c r="F429" s="49"/>
      <c r="W429" s="59"/>
    </row>
    <row r="430" spans="4:23" ht="12.75">
      <c r="D430" s="49"/>
      <c r="E430" s="49"/>
      <c r="F430" s="49"/>
      <c r="W430" s="59"/>
    </row>
    <row r="431" spans="4:23" ht="12.75">
      <c r="D431" s="49"/>
      <c r="E431" s="49"/>
      <c r="F431" s="49"/>
      <c r="W431" s="59"/>
    </row>
    <row r="432" spans="4:23" ht="12.75">
      <c r="D432" s="49"/>
      <c r="E432" s="49"/>
      <c r="F432" s="49"/>
      <c r="W432" s="59"/>
    </row>
    <row r="433" spans="4:23" ht="12.75">
      <c r="D433" s="49"/>
      <c r="E433" s="49"/>
      <c r="F433" s="49"/>
      <c r="W433" s="59"/>
    </row>
    <row r="434" spans="4:23" ht="12.75">
      <c r="D434" s="49"/>
      <c r="E434" s="49"/>
      <c r="F434" s="49"/>
      <c r="W434" s="59"/>
    </row>
    <row r="435" spans="4:23" ht="12.75">
      <c r="D435" s="49"/>
      <c r="E435" s="49"/>
      <c r="F435" s="49"/>
      <c r="W435" s="59"/>
    </row>
    <row r="436" spans="4:23" ht="12.75">
      <c r="D436" s="49"/>
      <c r="E436" s="49"/>
      <c r="F436" s="49"/>
      <c r="W436" s="59"/>
    </row>
    <row r="437" spans="4:23" ht="12.75">
      <c r="D437" s="49"/>
      <c r="E437" s="49"/>
      <c r="F437" s="49"/>
      <c r="W437" s="59"/>
    </row>
    <row r="438" spans="4:23" ht="12.75">
      <c r="D438" s="49"/>
      <c r="E438" s="49"/>
      <c r="F438" s="49"/>
      <c r="W438" s="59"/>
    </row>
    <row r="439" spans="4:23" ht="12.75">
      <c r="D439" s="49"/>
      <c r="E439" s="49"/>
      <c r="F439" s="49"/>
      <c r="W439" s="59"/>
    </row>
    <row r="440" spans="4:23" ht="12.75">
      <c r="D440" s="49"/>
      <c r="E440" s="49"/>
      <c r="F440" s="49"/>
      <c r="W440" s="59"/>
    </row>
    <row r="441" spans="4:23" ht="12.75">
      <c r="D441" s="49"/>
      <c r="E441" s="49"/>
      <c r="F441" s="49"/>
      <c r="W441" s="59"/>
    </row>
    <row r="442" spans="4:23" ht="12.75">
      <c r="D442" s="49"/>
      <c r="E442" s="49"/>
      <c r="F442" s="49"/>
      <c r="W442" s="59"/>
    </row>
    <row r="443" spans="4:23" ht="12.75">
      <c r="D443" s="49"/>
      <c r="E443" s="49"/>
      <c r="F443" s="49"/>
      <c r="W443" s="59"/>
    </row>
    <row r="444" spans="4:23" ht="12.75">
      <c r="D444" s="49"/>
      <c r="E444" s="49"/>
      <c r="F444" s="49"/>
      <c r="W444" s="59"/>
    </row>
    <row r="445" spans="4:23" ht="12.75">
      <c r="D445" s="49"/>
      <c r="E445" s="49"/>
      <c r="F445" s="49"/>
      <c r="W445" s="59"/>
    </row>
    <row r="446" spans="4:23" ht="12.75">
      <c r="D446" s="49"/>
      <c r="E446" s="49"/>
      <c r="F446" s="49"/>
      <c r="W446" s="59"/>
    </row>
    <row r="447" spans="4:23" ht="12.75">
      <c r="D447" s="49"/>
      <c r="E447" s="49"/>
      <c r="F447" s="49"/>
      <c r="W447" s="59"/>
    </row>
    <row r="448" spans="4:23" ht="12.75">
      <c r="D448" s="49"/>
      <c r="E448" s="49"/>
      <c r="F448" s="49"/>
      <c r="W448" s="59"/>
    </row>
    <row r="449" spans="4:23" ht="12.75">
      <c r="D449" s="49"/>
      <c r="E449" s="49"/>
      <c r="F449" s="49"/>
      <c r="W449" s="59"/>
    </row>
    <row r="450" spans="4:23" ht="12.75">
      <c r="D450" s="49"/>
      <c r="E450" s="49"/>
      <c r="F450" s="49"/>
      <c r="W450" s="59"/>
    </row>
    <row r="451" spans="4:23" ht="12.75">
      <c r="D451" s="49"/>
      <c r="E451" s="49"/>
      <c r="F451" s="49"/>
      <c r="W451" s="59"/>
    </row>
    <row r="452" spans="4:23" ht="12.75">
      <c r="D452" s="49"/>
      <c r="E452" s="49"/>
      <c r="F452" s="49"/>
      <c r="W452" s="59"/>
    </row>
    <row r="453" spans="4:23" ht="12.75">
      <c r="D453" s="49"/>
      <c r="E453" s="49"/>
      <c r="F453" s="49"/>
      <c r="W453" s="59"/>
    </row>
    <row r="454" spans="4:23" ht="12.75">
      <c r="D454" s="49"/>
      <c r="E454" s="49"/>
      <c r="F454" s="49"/>
      <c r="W454" s="59"/>
    </row>
    <row r="455" spans="4:23" ht="12.75">
      <c r="D455" s="49"/>
      <c r="E455" s="49"/>
      <c r="F455" s="49"/>
      <c r="W455" s="59"/>
    </row>
    <row r="456" spans="4:23" ht="12.75">
      <c r="D456" s="49"/>
      <c r="E456" s="49"/>
      <c r="F456" s="49"/>
      <c r="W456" s="59"/>
    </row>
    <row r="457" spans="4:23" ht="12.75">
      <c r="D457" s="49"/>
      <c r="E457" s="49"/>
      <c r="F457" s="49"/>
      <c r="W457" s="59"/>
    </row>
    <row r="458" spans="4:23" ht="12.75">
      <c r="D458" s="49"/>
      <c r="E458" s="49"/>
      <c r="F458" s="49"/>
      <c r="W458" s="59"/>
    </row>
    <row r="459" spans="4:23" ht="12.75">
      <c r="D459" s="49"/>
      <c r="E459" s="49"/>
      <c r="F459" s="49"/>
      <c r="W459" s="59"/>
    </row>
    <row r="460" spans="4:23" ht="12.75">
      <c r="D460" s="49"/>
      <c r="E460" s="49"/>
      <c r="F460" s="49"/>
      <c r="W460" s="59"/>
    </row>
    <row r="461" spans="4:23" ht="12.75">
      <c r="D461" s="49"/>
      <c r="E461" s="49"/>
      <c r="F461" s="49"/>
      <c r="W461" s="59"/>
    </row>
    <row r="462" spans="4:23" ht="12.75">
      <c r="D462" s="49"/>
      <c r="E462" s="49"/>
      <c r="F462" s="49"/>
      <c r="W462" s="59"/>
    </row>
    <row r="463" spans="4:23" ht="12.75">
      <c r="D463" s="49"/>
      <c r="E463" s="49"/>
      <c r="F463" s="49"/>
      <c r="W463" s="59"/>
    </row>
    <row r="464" spans="4:23" ht="12.75">
      <c r="D464" s="49"/>
      <c r="E464" s="49"/>
      <c r="F464" s="49"/>
      <c r="W464" s="59"/>
    </row>
    <row r="465" spans="4:23" ht="12.75">
      <c r="D465" s="49"/>
      <c r="E465" s="49"/>
      <c r="F465" s="49"/>
      <c r="W465" s="59"/>
    </row>
    <row r="466" spans="4:23" ht="12.75">
      <c r="D466" s="49"/>
      <c r="E466" s="49"/>
      <c r="F466" s="49"/>
      <c r="W466" s="59"/>
    </row>
    <row r="467" spans="4:23" ht="12.75">
      <c r="D467" s="49"/>
      <c r="E467" s="49"/>
      <c r="F467" s="49"/>
      <c r="W467" s="59"/>
    </row>
    <row r="468" spans="4:23" ht="12.75">
      <c r="D468" s="49"/>
      <c r="E468" s="49"/>
      <c r="F468" s="49"/>
      <c r="W468" s="59"/>
    </row>
    <row r="469" spans="4:23" ht="12.75">
      <c r="D469" s="49"/>
      <c r="E469" s="49"/>
      <c r="F469" s="49"/>
      <c r="W469" s="59"/>
    </row>
    <row r="470" spans="4:23" ht="12.75">
      <c r="D470" s="49"/>
      <c r="E470" s="49"/>
      <c r="F470" s="49"/>
      <c r="W470" s="59"/>
    </row>
    <row r="471" spans="4:23" ht="12.75">
      <c r="D471" s="49"/>
      <c r="E471" s="49"/>
      <c r="F471" s="49"/>
      <c r="W471" s="59"/>
    </row>
    <row r="472" spans="4:23" ht="12.75">
      <c r="D472" s="49"/>
      <c r="E472" s="49"/>
      <c r="F472" s="49"/>
      <c r="W472" s="59"/>
    </row>
    <row r="473" spans="4:23" ht="12.75">
      <c r="D473" s="49"/>
      <c r="E473" s="49"/>
      <c r="F473" s="49"/>
      <c r="W473" s="59"/>
    </row>
    <row r="474" spans="4:23" ht="12.75">
      <c r="D474" s="49"/>
      <c r="E474" s="49"/>
      <c r="F474" s="49"/>
      <c r="W474" s="59"/>
    </row>
    <row r="475" spans="4:23" ht="12.75">
      <c r="D475" s="49"/>
      <c r="E475" s="49"/>
      <c r="F475" s="49"/>
      <c r="W475" s="59"/>
    </row>
    <row r="476" spans="4:23" ht="12.75">
      <c r="D476" s="49"/>
      <c r="E476" s="49"/>
      <c r="F476" s="49"/>
      <c r="W476" s="59"/>
    </row>
    <row r="477" spans="4:23" ht="12.75">
      <c r="D477" s="49"/>
      <c r="E477" s="49"/>
      <c r="F477" s="49"/>
      <c r="W477" s="59"/>
    </row>
    <row r="478" spans="4:23" ht="12.75">
      <c r="D478" s="49"/>
      <c r="E478" s="49"/>
      <c r="F478" s="49"/>
      <c r="W478" s="59"/>
    </row>
    <row r="479" spans="4:23" ht="12.75">
      <c r="D479" s="49"/>
      <c r="E479" s="49"/>
      <c r="F479" s="49"/>
      <c r="W479" s="59"/>
    </row>
    <row r="480" spans="4:23" ht="12.75">
      <c r="D480" s="49"/>
      <c r="E480" s="49"/>
      <c r="F480" s="49"/>
      <c r="W480" s="59"/>
    </row>
    <row r="481" spans="4:23" ht="12.75">
      <c r="D481" s="49"/>
      <c r="E481" s="49"/>
      <c r="F481" s="49"/>
      <c r="W481" s="59"/>
    </row>
    <row r="482" spans="4:23" ht="12.75">
      <c r="D482" s="49"/>
      <c r="E482" s="49"/>
      <c r="F482" s="49"/>
      <c r="W482" s="59"/>
    </row>
    <row r="483" spans="4:23" ht="12.75">
      <c r="D483" s="49"/>
      <c r="E483" s="49"/>
      <c r="F483" s="49"/>
      <c r="W483" s="59"/>
    </row>
    <row r="484" spans="4:23" ht="12.75">
      <c r="D484" s="49"/>
      <c r="E484" s="49"/>
      <c r="F484" s="49"/>
      <c r="W484" s="59"/>
    </row>
    <row r="485" spans="4:23" ht="12.75">
      <c r="D485" s="49"/>
      <c r="E485" s="49"/>
      <c r="F485" s="49"/>
      <c r="W485" s="59"/>
    </row>
    <row r="486" spans="4:23" ht="12.75">
      <c r="D486" s="49"/>
      <c r="E486" s="49"/>
      <c r="F486" s="49"/>
      <c r="W486" s="59"/>
    </row>
    <row r="487" spans="4:23" ht="12.75">
      <c r="D487" s="49"/>
      <c r="E487" s="49"/>
      <c r="F487" s="49"/>
      <c r="W487" s="59"/>
    </row>
    <row r="488" spans="4:23" ht="12.75">
      <c r="D488" s="49"/>
      <c r="E488" s="49"/>
      <c r="F488" s="49"/>
      <c r="W488" s="59"/>
    </row>
    <row r="489" spans="4:23" ht="12.75">
      <c r="D489" s="49"/>
      <c r="E489" s="49"/>
      <c r="F489" s="49"/>
      <c r="W489" s="59"/>
    </row>
    <row r="490" spans="4:23" ht="12.75">
      <c r="D490" s="49"/>
      <c r="E490" s="49"/>
      <c r="F490" s="49"/>
      <c r="W490" s="59"/>
    </row>
    <row r="491" spans="4:23" ht="12.75">
      <c r="D491" s="49"/>
      <c r="E491" s="49"/>
      <c r="F491" s="49"/>
      <c r="W491" s="59"/>
    </row>
    <row r="492" spans="4:23" ht="12.75">
      <c r="D492" s="49"/>
      <c r="E492" s="49"/>
      <c r="F492" s="49"/>
      <c r="W492" s="59"/>
    </row>
    <row r="493" spans="4:23" ht="12.75">
      <c r="D493" s="49"/>
      <c r="E493" s="49"/>
      <c r="F493" s="49"/>
      <c r="W493" s="59"/>
    </row>
    <row r="494" spans="4:23" ht="12.75">
      <c r="D494" s="49"/>
      <c r="E494" s="49"/>
      <c r="F494" s="49"/>
      <c r="W494" s="59"/>
    </row>
    <row r="495" spans="4:23" ht="12.75">
      <c r="D495" s="49"/>
      <c r="E495" s="49"/>
      <c r="F495" s="49"/>
      <c r="W495" s="59"/>
    </row>
    <row r="496" spans="4:23" ht="12.75">
      <c r="D496" s="49"/>
      <c r="E496" s="49"/>
      <c r="F496" s="49"/>
      <c r="W496" s="59"/>
    </row>
    <row r="497" spans="4:23" ht="12.75">
      <c r="D497" s="49"/>
      <c r="E497" s="49"/>
      <c r="F497" s="49"/>
      <c r="W497" s="59"/>
    </row>
    <row r="498" spans="4:23" ht="12.75">
      <c r="D498" s="49"/>
      <c r="E498" s="49"/>
      <c r="F498" s="49"/>
      <c r="W498" s="59"/>
    </row>
    <row r="499" spans="4:23" ht="12.75">
      <c r="D499" s="49"/>
      <c r="E499" s="49"/>
      <c r="F499" s="49"/>
      <c r="W499" s="59"/>
    </row>
    <row r="500" spans="4:23" ht="12.75">
      <c r="D500" s="49"/>
      <c r="E500" s="49"/>
      <c r="F500" s="49"/>
      <c r="W500" s="59"/>
    </row>
    <row r="501" spans="4:23" ht="12.75">
      <c r="D501" s="49"/>
      <c r="E501" s="49"/>
      <c r="F501" s="49"/>
      <c r="W501" s="59"/>
    </row>
    <row r="502" spans="4:23" ht="12.75">
      <c r="D502" s="49"/>
      <c r="E502" s="49"/>
      <c r="F502" s="49"/>
      <c r="W502" s="59"/>
    </row>
    <row r="503" spans="4:23" ht="12.75">
      <c r="D503" s="49"/>
      <c r="E503" s="49"/>
      <c r="F503" s="49"/>
      <c r="W503" s="59"/>
    </row>
    <row r="504" spans="4:23" ht="12.75">
      <c r="D504" s="49"/>
      <c r="E504" s="49"/>
      <c r="F504" s="49"/>
      <c r="W504" s="59"/>
    </row>
    <row r="505" spans="4:23" ht="12.75">
      <c r="D505" s="49"/>
      <c r="E505" s="49"/>
      <c r="F505" s="49"/>
      <c r="W505" s="59"/>
    </row>
    <row r="506" spans="4:23" ht="12.75">
      <c r="D506" s="49"/>
      <c r="E506" s="49"/>
      <c r="F506" s="49"/>
      <c r="W506" s="59"/>
    </row>
    <row r="507" spans="4:23" ht="12.75">
      <c r="D507" s="49"/>
      <c r="E507" s="49"/>
      <c r="F507" s="49"/>
      <c r="W507" s="59"/>
    </row>
    <row r="508" spans="4:23" ht="12.75">
      <c r="D508" s="49"/>
      <c r="E508" s="49"/>
      <c r="F508" s="49"/>
      <c r="W508" s="59"/>
    </row>
    <row r="509" spans="4:23" ht="12.75">
      <c r="D509" s="49"/>
      <c r="E509" s="49"/>
      <c r="F509" s="49"/>
      <c r="W509" s="59"/>
    </row>
    <row r="510" spans="4:23" ht="12.75">
      <c r="D510" s="49"/>
      <c r="E510" s="49"/>
      <c r="F510" s="49"/>
      <c r="W510" s="59"/>
    </row>
    <row r="511" spans="4:23" ht="12.75">
      <c r="D511" s="49"/>
      <c r="E511" s="49"/>
      <c r="F511" s="49"/>
      <c r="W511" s="59"/>
    </row>
    <row r="512" spans="4:23" ht="12.75">
      <c r="D512" s="49"/>
      <c r="E512" s="49"/>
      <c r="F512" s="49"/>
      <c r="W512" s="59"/>
    </row>
    <row r="513" spans="4:23" ht="12.75">
      <c r="D513" s="49"/>
      <c r="E513" s="49"/>
      <c r="F513" s="49"/>
      <c r="W513" s="59"/>
    </row>
    <row r="514" spans="4:23" ht="12.75">
      <c r="D514" s="49"/>
      <c r="E514" s="49"/>
      <c r="F514" s="49"/>
      <c r="W514" s="59"/>
    </row>
    <row r="515" spans="4:23" ht="12.75">
      <c r="D515" s="49"/>
      <c r="E515" s="49"/>
      <c r="F515" s="49"/>
      <c r="W515" s="59"/>
    </row>
    <row r="516" spans="4:23" ht="12.75">
      <c r="D516" s="49"/>
      <c r="E516" s="49"/>
      <c r="F516" s="49"/>
      <c r="W516" s="59"/>
    </row>
    <row r="517" spans="4:23" ht="12.75">
      <c r="D517" s="49"/>
      <c r="E517" s="49"/>
      <c r="F517" s="49"/>
      <c r="W517" s="59"/>
    </row>
    <row r="518" spans="4:23" ht="12.75">
      <c r="D518" s="49"/>
      <c r="E518" s="49"/>
      <c r="F518" s="49"/>
      <c r="W518" s="59"/>
    </row>
    <row r="519" spans="4:23" ht="12.75">
      <c r="D519" s="49"/>
      <c r="E519" s="49"/>
      <c r="F519" s="49"/>
      <c r="W519" s="59"/>
    </row>
    <row r="520" spans="4:23" ht="12.75">
      <c r="D520" s="49"/>
      <c r="E520" s="49"/>
      <c r="F520" s="49"/>
      <c r="W520" s="59"/>
    </row>
    <row r="521" spans="4:23" ht="12.75">
      <c r="D521" s="49"/>
      <c r="E521" s="49"/>
      <c r="F521" s="49"/>
      <c r="W521" s="59"/>
    </row>
    <row r="522" spans="4:23" ht="12.75">
      <c r="D522" s="49"/>
      <c r="E522" s="49"/>
      <c r="F522" s="49"/>
      <c r="W522" s="59"/>
    </row>
    <row r="523" spans="4:23" ht="12.75">
      <c r="D523" s="49"/>
      <c r="E523" s="49"/>
      <c r="F523" s="49"/>
      <c r="W523" s="59"/>
    </row>
    <row r="524" spans="4:23" ht="12.75">
      <c r="D524" s="49"/>
      <c r="E524" s="49"/>
      <c r="F524" s="49"/>
      <c r="W524" s="59"/>
    </row>
    <row r="525" spans="4:23" ht="12.75">
      <c r="D525" s="49"/>
      <c r="E525" s="49"/>
      <c r="F525" s="49"/>
      <c r="W525" s="59"/>
    </row>
    <row r="526" spans="4:23" ht="12.75">
      <c r="D526" s="49"/>
      <c r="E526" s="49"/>
      <c r="F526" s="49"/>
      <c r="W526" s="59"/>
    </row>
    <row r="527" spans="4:23" ht="12.75">
      <c r="D527" s="49"/>
      <c r="E527" s="49"/>
      <c r="F527" s="49"/>
      <c r="W527" s="59"/>
    </row>
    <row r="528" spans="4:23" ht="12.75">
      <c r="D528" s="49"/>
      <c r="E528" s="49"/>
      <c r="F528" s="49"/>
      <c r="W528" s="59"/>
    </row>
    <row r="529" spans="4:23" ht="12.75">
      <c r="D529" s="49"/>
      <c r="E529" s="49"/>
      <c r="F529" s="49"/>
      <c r="W529" s="59"/>
    </row>
    <row r="530" spans="4:23" ht="12.75">
      <c r="D530" s="49"/>
      <c r="E530" s="49"/>
      <c r="F530" s="49"/>
      <c r="W530" s="59"/>
    </row>
    <row r="531" spans="4:23" ht="12.75">
      <c r="D531" s="49"/>
      <c r="E531" s="49"/>
      <c r="F531" s="49"/>
      <c r="W531" s="59"/>
    </row>
    <row r="532" spans="4:23" ht="12.75">
      <c r="D532" s="49"/>
      <c r="E532" s="49"/>
      <c r="F532" s="49"/>
      <c r="W532" s="59"/>
    </row>
    <row r="533" spans="4:23" ht="12.75">
      <c r="D533" s="49"/>
      <c r="E533" s="49"/>
      <c r="F533" s="49"/>
      <c r="W533" s="59"/>
    </row>
    <row r="534" spans="4:23" ht="12.75">
      <c r="D534" s="49"/>
      <c r="E534" s="49"/>
      <c r="F534" s="49"/>
      <c r="W534" s="59"/>
    </row>
    <row r="535" spans="4:23" ht="12.75">
      <c r="D535" s="49"/>
      <c r="E535" s="49"/>
      <c r="F535" s="49"/>
      <c r="W535" s="59"/>
    </row>
    <row r="536" spans="4:23" ht="12.75">
      <c r="D536" s="49"/>
      <c r="E536" s="49"/>
      <c r="F536" s="49"/>
      <c r="W536" s="59"/>
    </row>
    <row r="537" spans="4:23" ht="12.75">
      <c r="D537" s="49"/>
      <c r="E537" s="49"/>
      <c r="F537" s="49"/>
      <c r="W537" s="59"/>
    </row>
    <row r="538" spans="4:23" ht="12.75">
      <c r="D538" s="49"/>
      <c r="E538" s="49"/>
      <c r="F538" s="49"/>
      <c r="W538" s="59"/>
    </row>
    <row r="539" spans="4:23" ht="12.75">
      <c r="D539" s="49"/>
      <c r="E539" s="49"/>
      <c r="F539" s="49"/>
      <c r="W539" s="59"/>
    </row>
    <row r="540" spans="4:23" ht="12.75">
      <c r="D540" s="49"/>
      <c r="E540" s="49"/>
      <c r="F540" s="49"/>
      <c r="W540" s="59"/>
    </row>
    <row r="541" spans="4:23" ht="12.75">
      <c r="D541" s="49"/>
      <c r="E541" s="49"/>
      <c r="F541" s="49"/>
      <c r="W541" s="59"/>
    </row>
    <row r="542" spans="4:23" ht="12.75">
      <c r="D542" s="49"/>
      <c r="E542" s="49"/>
      <c r="F542" s="49"/>
      <c r="W542" s="59"/>
    </row>
    <row r="543" spans="4:23" ht="12.75">
      <c r="D543" s="49"/>
      <c r="E543" s="49"/>
      <c r="F543" s="49"/>
      <c r="W543" s="59"/>
    </row>
    <row r="544" spans="4:23" ht="12.75">
      <c r="D544" s="49"/>
      <c r="E544" s="49"/>
      <c r="F544" s="49"/>
      <c r="W544" s="59"/>
    </row>
    <row r="545" spans="4:23" ht="12.75">
      <c r="D545" s="49"/>
      <c r="E545" s="49"/>
      <c r="F545" s="49"/>
      <c r="W545" s="59"/>
    </row>
    <row r="546" spans="4:23" ht="12.75">
      <c r="D546" s="49"/>
      <c r="E546" s="49"/>
      <c r="F546" s="49"/>
      <c r="W546" s="59"/>
    </row>
    <row r="547" spans="4:23" ht="12.75">
      <c r="D547" s="49"/>
      <c r="E547" s="49"/>
      <c r="F547" s="49"/>
      <c r="W547" s="59"/>
    </row>
    <row r="548" spans="4:23" ht="12.75">
      <c r="D548" s="49"/>
      <c r="E548" s="49"/>
      <c r="F548" s="49"/>
      <c r="W548" s="59"/>
    </row>
    <row r="549" spans="4:23" ht="12.75">
      <c r="D549" s="49"/>
      <c r="E549" s="49"/>
      <c r="F549" s="49"/>
      <c r="W549" s="59"/>
    </row>
    <row r="550" spans="4:23" ht="12.75">
      <c r="D550" s="49"/>
      <c r="E550" s="49"/>
      <c r="F550" s="49"/>
      <c r="W550" s="59"/>
    </row>
    <row r="551" spans="4:23" ht="12.75">
      <c r="D551" s="49"/>
      <c r="E551" s="49"/>
      <c r="F551" s="49"/>
      <c r="W551" s="59"/>
    </row>
    <row r="552" spans="4:23" ht="12.75">
      <c r="D552" s="49"/>
      <c r="E552" s="49"/>
      <c r="F552" s="49"/>
      <c r="W552" s="59"/>
    </row>
    <row r="553" spans="4:23" ht="12.75">
      <c r="D553" s="49"/>
      <c r="E553" s="49"/>
      <c r="F553" s="49"/>
      <c r="W553" s="59"/>
    </row>
    <row r="554" spans="4:23" ht="12.75">
      <c r="D554" s="49"/>
      <c r="E554" s="49"/>
      <c r="F554" s="49"/>
      <c r="W554" s="59"/>
    </row>
    <row r="555" spans="4:23" ht="12.75">
      <c r="D555" s="49"/>
      <c r="E555" s="49"/>
      <c r="F555" s="49"/>
      <c r="W555" s="59"/>
    </row>
    <row r="556" spans="4:23" ht="12.75">
      <c r="D556" s="49"/>
      <c r="E556" s="49"/>
      <c r="F556" s="49"/>
      <c r="W556" s="59"/>
    </row>
    <row r="557" spans="4:23" ht="12.75">
      <c r="D557" s="49"/>
      <c r="E557" s="49"/>
      <c r="F557" s="49"/>
      <c r="W557" s="59"/>
    </row>
    <row r="558" spans="4:23" ht="12.75">
      <c r="D558" s="49"/>
      <c r="E558" s="49"/>
      <c r="F558" s="49"/>
      <c r="W558" s="59"/>
    </row>
    <row r="559" spans="4:23" ht="12.75">
      <c r="D559" s="49"/>
      <c r="E559" s="49"/>
      <c r="F559" s="49"/>
      <c r="W559" s="59"/>
    </row>
    <row r="560" spans="4:23" ht="12.75">
      <c r="D560" s="49"/>
      <c r="E560" s="49"/>
      <c r="F560" s="49"/>
      <c r="W560" s="59"/>
    </row>
    <row r="561" spans="4:23" ht="12.75">
      <c r="D561" s="49"/>
      <c r="E561" s="49"/>
      <c r="F561" s="49"/>
      <c r="W561" s="59"/>
    </row>
    <row r="562" spans="4:23" ht="12.75">
      <c r="D562" s="49"/>
      <c r="E562" s="49"/>
      <c r="F562" s="49"/>
      <c r="W562" s="59"/>
    </row>
    <row r="563" spans="4:23" ht="12.75">
      <c r="D563" s="49"/>
      <c r="E563" s="49"/>
      <c r="F563" s="49"/>
      <c r="W563" s="59"/>
    </row>
    <row r="564" spans="4:23" ht="12.75">
      <c r="D564" s="49"/>
      <c r="E564" s="49"/>
      <c r="F564" s="49"/>
      <c r="W564" s="59"/>
    </row>
    <row r="565" spans="4:23" ht="12.75">
      <c r="D565" s="49"/>
      <c r="E565" s="49"/>
      <c r="F565" s="49"/>
      <c r="W565" s="59"/>
    </row>
    <row r="566" spans="4:23" ht="12.75">
      <c r="D566" s="49"/>
      <c r="E566" s="49"/>
      <c r="F566" s="49"/>
      <c r="W566" s="59"/>
    </row>
    <row r="567" spans="4:23" ht="12.75">
      <c r="D567" s="49"/>
      <c r="E567" s="49"/>
      <c r="F567" s="49"/>
      <c r="W567" s="59"/>
    </row>
    <row r="568" spans="4:23" ht="12.75">
      <c r="D568" s="49"/>
      <c r="E568" s="49"/>
      <c r="F568" s="49"/>
      <c r="W568" s="59"/>
    </row>
    <row r="569" spans="4:23" ht="12.75">
      <c r="D569" s="49"/>
      <c r="E569" s="49"/>
      <c r="F569" s="49"/>
      <c r="W569" s="59"/>
    </row>
    <row r="570" spans="4:23" ht="12.75">
      <c r="D570" s="49"/>
      <c r="E570" s="49"/>
      <c r="F570" s="49"/>
      <c r="W570" s="59"/>
    </row>
    <row r="571" spans="4:23" ht="12.75">
      <c r="D571" s="49"/>
      <c r="E571" s="49"/>
      <c r="F571" s="49"/>
      <c r="W571" s="59"/>
    </row>
    <row r="572" spans="4:23" ht="12.75">
      <c r="D572" s="49"/>
      <c r="E572" s="49"/>
      <c r="F572" s="49"/>
      <c r="W572" s="59"/>
    </row>
    <row r="573" spans="4:23" ht="12.75">
      <c r="D573" s="49"/>
      <c r="E573" s="49"/>
      <c r="F573" s="49"/>
      <c r="W573" s="59"/>
    </row>
    <row r="574" spans="4:23" ht="12.75">
      <c r="D574" s="49"/>
      <c r="E574" s="49"/>
      <c r="F574" s="49"/>
      <c r="W574" s="59"/>
    </row>
    <row r="575" spans="4:23" ht="12.75">
      <c r="D575" s="49"/>
      <c r="E575" s="49"/>
      <c r="F575" s="49"/>
      <c r="W575" s="59"/>
    </row>
    <row r="576" spans="4:23" ht="12.75">
      <c r="D576" s="49"/>
      <c r="E576" s="49"/>
      <c r="F576" s="49"/>
      <c r="W576" s="59"/>
    </row>
    <row r="577" spans="4:23" ht="12.75">
      <c r="D577" s="49"/>
      <c r="E577" s="49"/>
      <c r="F577" s="49"/>
      <c r="W577" s="59"/>
    </row>
    <row r="578" spans="4:23" ht="12.75">
      <c r="D578" s="49"/>
      <c r="E578" s="49"/>
      <c r="F578" s="49"/>
      <c r="W578" s="59"/>
    </row>
    <row r="579" spans="4:23" ht="12.75">
      <c r="D579" s="49"/>
      <c r="E579" s="49"/>
      <c r="F579" s="49"/>
      <c r="W579" s="59"/>
    </row>
    <row r="580" spans="4:23" ht="12.75">
      <c r="D580" s="49"/>
      <c r="E580" s="49"/>
      <c r="F580" s="49"/>
      <c r="W580" s="59"/>
    </row>
    <row r="581" spans="4:23" ht="12.75">
      <c r="D581" s="49"/>
      <c r="E581" s="49"/>
      <c r="F581" s="49"/>
      <c r="W581" s="59"/>
    </row>
    <row r="582" spans="4:23" ht="12.75">
      <c r="D582" s="49"/>
      <c r="E582" s="49"/>
      <c r="F582" s="49"/>
      <c r="W582" s="59"/>
    </row>
    <row r="583" spans="4:23" ht="12.75">
      <c r="D583" s="49"/>
      <c r="E583" s="49"/>
      <c r="F583" s="49"/>
      <c r="W583" s="59"/>
    </row>
    <row r="584" spans="4:23" ht="12.75">
      <c r="D584" s="49"/>
      <c r="E584" s="49"/>
      <c r="F584" s="49"/>
      <c r="W584" s="59"/>
    </row>
    <row r="585" spans="4:23" ht="12.75">
      <c r="D585" s="49"/>
      <c r="E585" s="49"/>
      <c r="F585" s="49"/>
      <c r="W585" s="59"/>
    </row>
    <row r="586" spans="4:23" ht="12.75">
      <c r="D586" s="49"/>
      <c r="E586" s="49"/>
      <c r="F586" s="49"/>
      <c r="W586" s="59"/>
    </row>
    <row r="587" spans="4:23" ht="12.75">
      <c r="D587" s="49"/>
      <c r="E587" s="49"/>
      <c r="F587" s="49"/>
      <c r="W587" s="59"/>
    </row>
    <row r="588" spans="4:23" ht="12.75">
      <c r="D588" s="49"/>
      <c r="E588" s="49"/>
      <c r="F588" s="49"/>
      <c r="W588" s="59"/>
    </row>
    <row r="589" spans="4:23" ht="12.75">
      <c r="D589" s="49"/>
      <c r="E589" s="49"/>
      <c r="F589" s="49"/>
      <c r="W589" s="59"/>
    </row>
    <row r="590" spans="4:23" ht="12.75">
      <c r="D590" s="49"/>
      <c r="E590" s="49"/>
      <c r="F590" s="49"/>
      <c r="W590" s="59"/>
    </row>
    <row r="591" spans="4:23" ht="12.75">
      <c r="D591" s="49"/>
      <c r="E591" s="49"/>
      <c r="F591" s="49"/>
      <c r="W591" s="59"/>
    </row>
    <row r="592" spans="4:23" ht="12.75">
      <c r="D592" s="49"/>
      <c r="E592" s="49"/>
      <c r="F592" s="49"/>
      <c r="W592" s="59"/>
    </row>
    <row r="593" spans="4:23" ht="12.75">
      <c r="D593" s="49"/>
      <c r="E593" s="49"/>
      <c r="F593" s="49"/>
      <c r="W593" s="59"/>
    </row>
    <row r="594" spans="4:23" ht="12.75">
      <c r="D594" s="49"/>
      <c r="E594" s="49"/>
      <c r="F594" s="49"/>
      <c r="W594" s="59"/>
    </row>
    <row r="595" spans="4:23" ht="12.75">
      <c r="D595" s="49"/>
      <c r="E595" s="49"/>
      <c r="F595" s="49"/>
      <c r="W595" s="59"/>
    </row>
    <row r="596" spans="4:23" ht="12.75">
      <c r="D596" s="49"/>
      <c r="E596" s="49"/>
      <c r="F596" s="49"/>
      <c r="W596" s="59"/>
    </row>
    <row r="597" spans="4:23" ht="12.75">
      <c r="D597" s="49"/>
      <c r="E597" s="49"/>
      <c r="F597" s="49"/>
      <c r="W597" s="59"/>
    </row>
    <row r="598" spans="4:23" ht="12.75">
      <c r="D598" s="49"/>
      <c r="E598" s="49"/>
      <c r="F598" s="49"/>
      <c r="W598" s="59"/>
    </row>
    <row r="599" spans="4:23" ht="12.75">
      <c r="D599" s="49"/>
      <c r="E599" s="49"/>
      <c r="F599" s="49"/>
      <c r="W599" s="59"/>
    </row>
    <row r="600" spans="4:23" ht="12.75">
      <c r="D600" s="49"/>
      <c r="E600" s="49"/>
      <c r="F600" s="49"/>
      <c r="W600" s="59"/>
    </row>
    <row r="601" spans="4:23" ht="12.75">
      <c r="D601" s="49"/>
      <c r="E601" s="49"/>
      <c r="F601" s="49"/>
      <c r="W601" s="59"/>
    </row>
    <row r="602" spans="4:23" ht="12.75">
      <c r="D602" s="49"/>
      <c r="E602" s="49"/>
      <c r="F602" s="49"/>
      <c r="W602" s="59"/>
    </row>
    <row r="603" spans="4:23" ht="12.75">
      <c r="D603" s="49"/>
      <c r="E603" s="49"/>
      <c r="F603" s="49"/>
      <c r="W603" s="59"/>
    </row>
    <row r="604" spans="4:23" ht="12.75">
      <c r="D604" s="49"/>
      <c r="E604" s="49"/>
      <c r="F604" s="49"/>
      <c r="W604" s="59"/>
    </row>
    <row r="605" spans="4:23" ht="12.75">
      <c r="D605" s="49"/>
      <c r="E605" s="49"/>
      <c r="F605" s="49"/>
      <c r="W605" s="59"/>
    </row>
    <row r="606" spans="4:23" ht="12.75">
      <c r="D606" s="49"/>
      <c r="E606" s="49"/>
      <c r="F606" s="49"/>
      <c r="W606" s="59"/>
    </row>
    <row r="607" spans="4:23" ht="12.75">
      <c r="D607" s="49"/>
      <c r="E607" s="49"/>
      <c r="F607" s="49"/>
      <c r="W607" s="59"/>
    </row>
    <row r="608" spans="4:23" ht="12.75">
      <c r="D608" s="49"/>
      <c r="E608" s="49"/>
      <c r="F608" s="49"/>
      <c r="W608" s="59"/>
    </row>
    <row r="609" spans="4:23" ht="12.75">
      <c r="D609" s="49"/>
      <c r="E609" s="49"/>
      <c r="F609" s="49"/>
      <c r="W609" s="59"/>
    </row>
    <row r="610" spans="4:23" ht="12.75">
      <c r="D610" s="49"/>
      <c r="E610" s="49"/>
      <c r="F610" s="49"/>
      <c r="W610" s="59"/>
    </row>
    <row r="611" spans="4:23" ht="12.75">
      <c r="D611" s="49"/>
      <c r="E611" s="49"/>
      <c r="F611" s="49"/>
      <c r="W611" s="59"/>
    </row>
    <row r="612" spans="4:23" ht="12.75">
      <c r="D612" s="49"/>
      <c r="E612" s="49"/>
      <c r="F612" s="49"/>
      <c r="W612" s="59"/>
    </row>
    <row r="613" spans="4:23" ht="12.75">
      <c r="D613" s="49"/>
      <c r="E613" s="49"/>
      <c r="F613" s="49"/>
      <c r="W613" s="59"/>
    </row>
    <row r="614" spans="4:23" ht="12.75">
      <c r="D614" s="49"/>
      <c r="E614" s="49"/>
      <c r="F614" s="49"/>
      <c r="W614" s="59"/>
    </row>
    <row r="615" spans="4:23" ht="12.75">
      <c r="D615" s="49"/>
      <c r="E615" s="49"/>
      <c r="F615" s="49"/>
      <c r="W615" s="59"/>
    </row>
    <row r="616" spans="4:23" ht="12.75">
      <c r="D616" s="49"/>
      <c r="E616" s="49"/>
      <c r="F616" s="49"/>
      <c r="W616" s="59"/>
    </row>
    <row r="617" spans="4:23" ht="12.75">
      <c r="D617" s="49"/>
      <c r="E617" s="49"/>
      <c r="F617" s="49"/>
      <c r="W617" s="59"/>
    </row>
    <row r="618" spans="4:23" ht="12.75">
      <c r="D618" s="49"/>
      <c r="E618" s="49"/>
      <c r="F618" s="49"/>
      <c r="W618" s="59"/>
    </row>
    <row r="619" spans="4:23" ht="12.75">
      <c r="D619" s="49"/>
      <c r="E619" s="49"/>
      <c r="F619" s="49"/>
      <c r="W619" s="59"/>
    </row>
    <row r="620" spans="4:23" ht="12.75">
      <c r="D620" s="49"/>
      <c r="E620" s="49"/>
      <c r="F620" s="49"/>
      <c r="W620" s="59"/>
    </row>
    <row r="621" spans="4:23" ht="12.75">
      <c r="D621" s="49"/>
      <c r="E621" s="49"/>
      <c r="F621" s="49"/>
      <c r="W621" s="59"/>
    </row>
    <row r="622" spans="4:23" ht="12.75">
      <c r="D622" s="49"/>
      <c r="E622" s="49"/>
      <c r="F622" s="49"/>
      <c r="W622" s="59"/>
    </row>
    <row r="623" spans="4:23" ht="12.75">
      <c r="D623" s="49"/>
      <c r="E623" s="49"/>
      <c r="F623" s="49"/>
      <c r="W623" s="59"/>
    </row>
    <row r="624" spans="4:23" ht="12.75">
      <c r="D624" s="49"/>
      <c r="E624" s="49"/>
      <c r="F624" s="49"/>
      <c r="W624" s="59"/>
    </row>
    <row r="625" spans="4:23" ht="12.75">
      <c r="D625" s="49"/>
      <c r="E625" s="49"/>
      <c r="F625" s="49"/>
      <c r="W625" s="59"/>
    </row>
    <row r="626" spans="4:23" ht="12.75">
      <c r="D626" s="49"/>
      <c r="E626" s="49"/>
      <c r="F626" s="49"/>
      <c r="W626" s="59"/>
    </row>
    <row r="627" spans="4:23" ht="12.75">
      <c r="D627" s="49"/>
      <c r="E627" s="49"/>
      <c r="F627" s="49"/>
      <c r="W627" s="59"/>
    </row>
    <row r="628" spans="4:23" ht="12.75">
      <c r="D628" s="49"/>
      <c r="E628" s="49"/>
      <c r="F628" s="49"/>
      <c r="W628" s="59"/>
    </row>
    <row r="629" spans="4:23" ht="12.75">
      <c r="D629" s="49"/>
      <c r="E629" s="49"/>
      <c r="F629" s="49"/>
      <c r="W629" s="59"/>
    </row>
    <row r="630" spans="4:23" ht="12.75">
      <c r="D630" s="49"/>
      <c r="E630" s="49"/>
      <c r="F630" s="49"/>
      <c r="W630" s="59"/>
    </row>
    <row r="631" spans="4:23" ht="12.75">
      <c r="D631" s="49"/>
      <c r="E631" s="49"/>
      <c r="F631" s="49"/>
      <c r="W631" s="59"/>
    </row>
    <row r="632" spans="4:23" ht="12.75">
      <c r="D632" s="49"/>
      <c r="E632" s="49"/>
      <c r="F632" s="49"/>
      <c r="W632" s="59"/>
    </row>
    <row r="633" spans="4:23" ht="12.75">
      <c r="D633" s="49"/>
      <c r="E633" s="49"/>
      <c r="F633" s="49"/>
      <c r="W633" s="59"/>
    </row>
    <row r="634" spans="4:23" ht="12.75">
      <c r="D634" s="49"/>
      <c r="E634" s="49"/>
      <c r="F634" s="49"/>
      <c r="W634" s="59"/>
    </row>
    <row r="635" spans="4:23" ht="12.75">
      <c r="D635" s="49"/>
      <c r="E635" s="49"/>
      <c r="F635" s="49"/>
      <c r="W635" s="59"/>
    </row>
    <row r="636" spans="4:23" ht="12.75">
      <c r="D636" s="49"/>
      <c r="E636" s="49"/>
      <c r="F636" s="49"/>
      <c r="W636" s="59"/>
    </row>
    <row r="637" spans="4:23" ht="12.75">
      <c r="D637" s="49"/>
      <c r="E637" s="49"/>
      <c r="F637" s="49"/>
      <c r="W637" s="59"/>
    </row>
    <row r="638" spans="4:23" ht="12.75">
      <c r="D638" s="49"/>
      <c r="E638" s="49"/>
      <c r="F638" s="49"/>
      <c r="W638" s="59"/>
    </row>
    <row r="639" spans="4:23" ht="12.75">
      <c r="D639" s="49"/>
      <c r="E639" s="49"/>
      <c r="F639" s="49"/>
      <c r="W639" s="59"/>
    </row>
    <row r="640" spans="4:23" ht="12.75">
      <c r="D640" s="49"/>
      <c r="E640" s="49"/>
      <c r="F640" s="49"/>
      <c r="W640" s="59"/>
    </row>
    <row r="641" spans="4:23" ht="12.75">
      <c r="D641" s="49"/>
      <c r="E641" s="49"/>
      <c r="F641" s="49"/>
      <c r="W641" s="59"/>
    </row>
    <row r="642" spans="4:23" ht="12.75">
      <c r="D642" s="49"/>
      <c r="E642" s="49"/>
      <c r="F642" s="49"/>
      <c r="W642" s="59"/>
    </row>
    <row r="643" spans="4:23" ht="12.75">
      <c r="D643" s="49"/>
      <c r="E643" s="49"/>
      <c r="F643" s="49"/>
      <c r="W643" s="59"/>
    </row>
    <row r="644" spans="4:23" ht="12.75">
      <c r="D644" s="49"/>
      <c r="E644" s="49"/>
      <c r="F644" s="49"/>
      <c r="W644" s="59"/>
    </row>
    <row r="645" spans="4:23" ht="12.75">
      <c r="D645" s="49"/>
      <c r="E645" s="49"/>
      <c r="F645" s="49"/>
      <c r="W645" s="59"/>
    </row>
    <row r="646" spans="4:23" ht="12.75">
      <c r="D646" s="49"/>
      <c r="E646" s="49"/>
      <c r="F646" s="49"/>
      <c r="W646" s="59"/>
    </row>
    <row r="647" spans="4:23" ht="12.75">
      <c r="D647" s="49"/>
      <c r="E647" s="49"/>
      <c r="F647" s="49"/>
      <c r="W647" s="59"/>
    </row>
    <row r="648" spans="4:23" ht="12.75">
      <c r="D648" s="49"/>
      <c r="E648" s="49"/>
      <c r="F648" s="49"/>
      <c r="W648" s="59"/>
    </row>
    <row r="649" spans="4:23" ht="12.75">
      <c r="D649" s="49"/>
      <c r="E649" s="49"/>
      <c r="F649" s="49"/>
      <c r="W649" s="59"/>
    </row>
    <row r="650" spans="4:23" ht="12.75">
      <c r="D650" s="49"/>
      <c r="E650" s="49"/>
      <c r="F650" s="49"/>
      <c r="W650" s="59"/>
    </row>
    <row r="651" spans="4:23" ht="12.75">
      <c r="D651" s="49"/>
      <c r="E651" s="49"/>
      <c r="F651" s="49"/>
      <c r="W651" s="59"/>
    </row>
    <row r="652" spans="4:23" ht="12.75">
      <c r="D652" s="49"/>
      <c r="E652" s="49"/>
      <c r="F652" s="49"/>
      <c r="W652" s="59"/>
    </row>
    <row r="653" spans="4:23" ht="12.75">
      <c r="D653" s="49"/>
      <c r="E653" s="49"/>
      <c r="F653" s="49"/>
      <c r="W653" s="59"/>
    </row>
    <row r="654" spans="4:23" ht="12.75">
      <c r="D654" s="49"/>
      <c r="E654" s="49"/>
      <c r="F654" s="49"/>
      <c r="W654" s="59"/>
    </row>
    <row r="655" spans="4:23" ht="12.75">
      <c r="D655" s="49"/>
      <c r="E655" s="49"/>
      <c r="F655" s="49"/>
      <c r="W655" s="59"/>
    </row>
    <row r="656" spans="4:23" ht="12.75">
      <c r="D656" s="49"/>
      <c r="E656" s="49"/>
      <c r="F656" s="49"/>
      <c r="W656" s="59"/>
    </row>
    <row r="657" spans="4:23" ht="12.75">
      <c r="D657" s="49"/>
      <c r="E657" s="49"/>
      <c r="F657" s="49"/>
      <c r="W657" s="59"/>
    </row>
    <row r="658" spans="4:23" ht="12.75">
      <c r="D658" s="49"/>
      <c r="E658" s="49"/>
      <c r="F658" s="49"/>
      <c r="W658" s="59"/>
    </row>
    <row r="659" spans="4:23" ht="12.75">
      <c r="D659" s="49"/>
      <c r="E659" s="49"/>
      <c r="F659" s="49"/>
      <c r="W659" s="59"/>
    </row>
    <row r="660" spans="4:23" ht="12.75">
      <c r="D660" s="49"/>
      <c r="E660" s="49"/>
      <c r="F660" s="49"/>
      <c r="W660" s="59"/>
    </row>
    <row r="661" spans="4:23" ht="12.75">
      <c r="D661" s="49"/>
      <c r="E661" s="49"/>
      <c r="F661" s="49"/>
      <c r="W661" s="59"/>
    </row>
    <row r="662" spans="4:23" ht="12.75">
      <c r="D662" s="49"/>
      <c r="E662" s="49"/>
      <c r="F662" s="49"/>
      <c r="W662" s="59"/>
    </row>
    <row r="663" spans="4:23" ht="12.75">
      <c r="D663" s="49"/>
      <c r="E663" s="49"/>
      <c r="F663" s="49"/>
      <c r="W663" s="59"/>
    </row>
    <row r="664" spans="4:23" ht="12.75">
      <c r="D664" s="49"/>
      <c r="E664" s="49"/>
      <c r="F664" s="49"/>
      <c r="W664" s="59"/>
    </row>
    <row r="665" spans="4:23" ht="12.75">
      <c r="D665" s="49"/>
      <c r="E665" s="49"/>
      <c r="F665" s="49"/>
      <c r="W665" s="59"/>
    </row>
    <row r="666" spans="4:23" ht="12.75">
      <c r="D666" s="49"/>
      <c r="E666" s="49"/>
      <c r="F666" s="49"/>
      <c r="W666" s="59"/>
    </row>
    <row r="667" spans="4:23" ht="12.75">
      <c r="D667" s="49"/>
      <c r="E667" s="49"/>
      <c r="F667" s="49"/>
      <c r="W667" s="59"/>
    </row>
    <row r="668" spans="4:23" ht="12.75">
      <c r="D668" s="49"/>
      <c r="E668" s="49"/>
      <c r="F668" s="49"/>
      <c r="W668" s="59"/>
    </row>
    <row r="669" spans="4:23" ht="12.75">
      <c r="D669" s="49"/>
      <c r="E669" s="49"/>
      <c r="F669" s="49"/>
      <c r="W669" s="59"/>
    </row>
    <row r="670" spans="4:23" ht="12.75">
      <c r="D670" s="49"/>
      <c r="E670" s="49"/>
      <c r="F670" s="49"/>
      <c r="W670" s="59"/>
    </row>
    <row r="671" spans="4:23" ht="12.75">
      <c r="D671" s="49"/>
      <c r="E671" s="49"/>
      <c r="F671" s="49"/>
      <c r="W671" s="59"/>
    </row>
    <row r="672" spans="4:23" ht="12.75">
      <c r="D672" s="49"/>
      <c r="E672" s="49"/>
      <c r="F672" s="49"/>
      <c r="W672" s="59"/>
    </row>
    <row r="673" spans="4:23" ht="12.75">
      <c r="D673" s="49"/>
      <c r="E673" s="49"/>
      <c r="F673" s="49"/>
      <c r="W673" s="59"/>
    </row>
    <row r="674" spans="4:23" ht="12.75">
      <c r="D674" s="49"/>
      <c r="E674" s="49"/>
      <c r="F674" s="49"/>
      <c r="W674" s="59"/>
    </row>
    <row r="675" spans="4:23" ht="12.75">
      <c r="D675" s="49"/>
      <c r="E675" s="49"/>
      <c r="F675" s="49"/>
      <c r="W675" s="59"/>
    </row>
    <row r="676" spans="4:23" ht="12.75">
      <c r="D676" s="49"/>
      <c r="E676" s="49"/>
      <c r="F676" s="49"/>
      <c r="W676" s="59"/>
    </row>
    <row r="677" spans="4:23" ht="12.75">
      <c r="D677" s="49"/>
      <c r="E677" s="49"/>
      <c r="F677" s="49"/>
      <c r="W677" s="59"/>
    </row>
    <row r="678" spans="4:23" ht="12.75">
      <c r="D678" s="49"/>
      <c r="E678" s="49"/>
      <c r="F678" s="49"/>
      <c r="W678" s="59"/>
    </row>
    <row r="679" spans="4:23" ht="12.75">
      <c r="D679" s="49"/>
      <c r="E679" s="49"/>
      <c r="F679" s="49"/>
      <c r="W679" s="59"/>
    </row>
    <row r="680" spans="4:23" ht="12.75">
      <c r="D680" s="49"/>
      <c r="E680" s="49"/>
      <c r="F680" s="49"/>
      <c r="W680" s="59"/>
    </row>
    <row r="681" spans="4:23" ht="12.75">
      <c r="D681" s="49"/>
      <c r="E681" s="49"/>
      <c r="F681" s="49"/>
      <c r="W681" s="59"/>
    </row>
    <row r="682" spans="4:23" ht="12.75">
      <c r="D682" s="49"/>
      <c r="E682" s="49"/>
      <c r="F682" s="49"/>
      <c r="W682" s="59"/>
    </row>
    <row r="683" spans="4:23" ht="12.75">
      <c r="D683" s="49"/>
      <c r="E683" s="49"/>
      <c r="F683" s="49"/>
      <c r="W683" s="59"/>
    </row>
    <row r="684" spans="4:23" ht="12.75">
      <c r="D684" s="49"/>
      <c r="E684" s="49"/>
      <c r="F684" s="49"/>
      <c r="W684" s="59"/>
    </row>
    <row r="685" spans="4:23" ht="12.75">
      <c r="D685" s="49"/>
      <c r="E685" s="49"/>
      <c r="F685" s="49"/>
      <c r="W685" s="59"/>
    </row>
    <row r="686" spans="4:23" ht="12.75">
      <c r="D686" s="49"/>
      <c r="E686" s="49"/>
      <c r="F686" s="49"/>
      <c r="W686" s="59"/>
    </row>
    <row r="687" spans="4:23" ht="12.75">
      <c r="D687" s="49"/>
      <c r="E687" s="49"/>
      <c r="F687" s="49"/>
      <c r="W687" s="59"/>
    </row>
    <row r="688" spans="4:23" ht="12.75">
      <c r="D688" s="49"/>
      <c r="E688" s="49"/>
      <c r="F688" s="49"/>
      <c r="W688" s="59"/>
    </row>
    <row r="689" spans="4:23" ht="12.75">
      <c r="D689" s="49"/>
      <c r="E689" s="49"/>
      <c r="F689" s="49"/>
      <c r="W689" s="59"/>
    </row>
    <row r="690" spans="4:23" ht="12.75">
      <c r="D690" s="49"/>
      <c r="E690" s="49"/>
      <c r="F690" s="49"/>
      <c r="W690" s="59"/>
    </row>
    <row r="691" spans="4:23" ht="12.75">
      <c r="D691" s="49"/>
      <c r="E691" s="49"/>
      <c r="F691" s="49"/>
      <c r="W691" s="59"/>
    </row>
    <row r="692" spans="4:23" ht="12.75">
      <c r="D692" s="49"/>
      <c r="E692" s="49"/>
      <c r="F692" s="49"/>
      <c r="W692" s="59"/>
    </row>
    <row r="693" spans="4:23" ht="12.75">
      <c r="D693" s="49"/>
      <c r="E693" s="49"/>
      <c r="F693" s="49"/>
      <c r="W693" s="59"/>
    </row>
    <row r="694" spans="4:23" ht="12.75">
      <c r="D694" s="49"/>
      <c r="E694" s="49"/>
      <c r="F694" s="49"/>
      <c r="W694" s="59"/>
    </row>
    <row r="695" spans="4:23" ht="12.75">
      <c r="D695" s="49"/>
      <c r="E695" s="49"/>
      <c r="F695" s="49"/>
      <c r="W695" s="59"/>
    </row>
    <row r="696" spans="4:23" ht="12.75">
      <c r="D696" s="49"/>
      <c r="E696" s="49"/>
      <c r="F696" s="49"/>
      <c r="W696" s="59"/>
    </row>
    <row r="697" spans="4:23" ht="12.75">
      <c r="D697" s="49"/>
      <c r="E697" s="49"/>
      <c r="F697" s="49"/>
      <c r="W697" s="59"/>
    </row>
    <row r="698" spans="4:23" ht="12.75">
      <c r="D698" s="49"/>
      <c r="E698" s="49"/>
      <c r="F698" s="49"/>
      <c r="W698" s="59"/>
    </row>
    <row r="699" spans="4:23" ht="12.75">
      <c r="D699" s="49"/>
      <c r="E699" s="49"/>
      <c r="F699" s="49"/>
      <c r="W699" s="59"/>
    </row>
    <row r="700" spans="4:23" ht="12.75">
      <c r="D700" s="49"/>
      <c r="E700" s="49"/>
      <c r="F700" s="49"/>
      <c r="W700" s="59"/>
    </row>
    <row r="701" spans="4:23" ht="12.75">
      <c r="D701" s="49"/>
      <c r="E701" s="49"/>
      <c r="F701" s="49"/>
      <c r="W701" s="59"/>
    </row>
    <row r="702" spans="4:23" ht="12.75">
      <c r="D702" s="49"/>
      <c r="E702" s="49"/>
      <c r="F702" s="49"/>
      <c r="W702" s="59"/>
    </row>
    <row r="703" spans="4:23" ht="12.75">
      <c r="D703" s="49"/>
      <c r="E703" s="49"/>
      <c r="F703" s="49"/>
      <c r="W703" s="59"/>
    </row>
    <row r="704" spans="4:23" ht="12.75">
      <c r="D704" s="49"/>
      <c r="E704" s="49"/>
      <c r="F704" s="49"/>
      <c r="W704" s="59"/>
    </row>
    <row r="705" spans="4:23" ht="12.75">
      <c r="D705" s="49"/>
      <c r="E705" s="49"/>
      <c r="F705" s="49"/>
      <c r="W705" s="59"/>
    </row>
    <row r="706" spans="4:23" ht="12.75">
      <c r="D706" s="49"/>
      <c r="E706" s="49"/>
      <c r="F706" s="49"/>
      <c r="W706" s="59"/>
    </row>
    <row r="707" spans="4:23" ht="12.75">
      <c r="D707" s="49"/>
      <c r="E707" s="49"/>
      <c r="F707" s="49"/>
      <c r="W707" s="59"/>
    </row>
    <row r="708" spans="4:23" ht="12.75">
      <c r="D708" s="49"/>
      <c r="E708" s="49"/>
      <c r="F708" s="49"/>
      <c r="W708" s="59"/>
    </row>
    <row r="709" spans="4:23" ht="12.75">
      <c r="D709" s="49"/>
      <c r="E709" s="49"/>
      <c r="F709" s="49"/>
      <c r="W709" s="59"/>
    </row>
    <row r="710" spans="4:23" ht="12.75">
      <c r="D710" s="49"/>
      <c r="E710" s="49"/>
      <c r="F710" s="49"/>
      <c r="W710" s="59"/>
    </row>
    <row r="711" spans="4:23" ht="12.75">
      <c r="D711" s="49"/>
      <c r="E711" s="49"/>
      <c r="F711" s="49"/>
      <c r="W711" s="59"/>
    </row>
    <row r="712" spans="4:23" ht="12.75">
      <c r="D712" s="49"/>
      <c r="E712" s="49"/>
      <c r="F712" s="49"/>
      <c r="W712" s="59"/>
    </row>
    <row r="713" spans="4:23" ht="12.75">
      <c r="D713" s="49"/>
      <c r="E713" s="49"/>
      <c r="F713" s="49"/>
      <c r="W713" s="59"/>
    </row>
    <row r="714" spans="4:23" ht="12.75">
      <c r="D714" s="49"/>
      <c r="E714" s="49"/>
      <c r="F714" s="49"/>
      <c r="W714" s="59"/>
    </row>
    <row r="715" spans="4:23" ht="12.75">
      <c r="D715" s="49"/>
      <c r="E715" s="49"/>
      <c r="F715" s="49"/>
      <c r="W715" s="59"/>
    </row>
    <row r="716" spans="4:23" ht="12.75">
      <c r="D716" s="49"/>
      <c r="E716" s="49"/>
      <c r="F716" s="49"/>
      <c r="W716" s="59"/>
    </row>
    <row r="717" spans="4:23" ht="12.75">
      <c r="D717" s="49"/>
      <c r="E717" s="49"/>
      <c r="F717" s="49"/>
      <c r="W717" s="59"/>
    </row>
    <row r="718" spans="4:23" ht="12.75">
      <c r="D718" s="49"/>
      <c r="E718" s="49"/>
      <c r="F718" s="49"/>
      <c r="W718" s="59"/>
    </row>
    <row r="719" spans="4:23" ht="12.75">
      <c r="D719" s="49"/>
      <c r="E719" s="49"/>
      <c r="F719" s="49"/>
      <c r="W719" s="59"/>
    </row>
    <row r="720" spans="4:23" ht="12.75">
      <c r="D720" s="49"/>
      <c r="E720" s="49"/>
      <c r="F720" s="49"/>
      <c r="W720" s="59"/>
    </row>
    <row r="721" spans="4:23" ht="12.75">
      <c r="D721" s="49"/>
      <c r="E721" s="49"/>
      <c r="F721" s="49"/>
      <c r="W721" s="59"/>
    </row>
    <row r="722" spans="4:23" ht="12.75">
      <c r="D722" s="49"/>
      <c r="E722" s="49"/>
      <c r="F722" s="49"/>
      <c r="W722" s="59"/>
    </row>
    <row r="723" spans="4:23" ht="12.75">
      <c r="D723" s="49"/>
      <c r="E723" s="49"/>
      <c r="F723" s="49"/>
      <c r="W723" s="59"/>
    </row>
    <row r="724" spans="4:23" ht="12.75">
      <c r="D724" s="49"/>
      <c r="E724" s="49"/>
      <c r="F724" s="49"/>
      <c r="W724" s="59"/>
    </row>
    <row r="725" spans="4:23" ht="12.75">
      <c r="D725" s="49"/>
      <c r="E725" s="49"/>
      <c r="F725" s="49"/>
      <c r="W725" s="59"/>
    </row>
    <row r="726" spans="4:23" ht="12.75">
      <c r="D726" s="49"/>
      <c r="E726" s="49"/>
      <c r="F726" s="49"/>
      <c r="W726" s="59"/>
    </row>
    <row r="727" spans="4:23" ht="12.75">
      <c r="D727" s="49"/>
      <c r="E727" s="49"/>
      <c r="F727" s="49"/>
      <c r="W727" s="59"/>
    </row>
    <row r="728" spans="4:23" ht="12.75">
      <c r="D728" s="49"/>
      <c r="E728" s="49"/>
      <c r="F728" s="49"/>
      <c r="W728" s="59"/>
    </row>
    <row r="729" spans="4:23" ht="12.75">
      <c r="D729" s="49"/>
      <c r="E729" s="49"/>
      <c r="F729" s="49"/>
      <c r="W729" s="59"/>
    </row>
    <row r="730" spans="4:23" ht="12.75">
      <c r="D730" s="49"/>
      <c r="E730" s="49"/>
      <c r="F730" s="49"/>
      <c r="W730" s="59"/>
    </row>
    <row r="731" spans="4:23" ht="12.75">
      <c r="D731" s="49"/>
      <c r="E731" s="49"/>
      <c r="F731" s="49"/>
      <c r="W731" s="59"/>
    </row>
    <row r="732" spans="4:23" ht="12.75">
      <c r="D732" s="49"/>
      <c r="E732" s="49"/>
      <c r="F732" s="49"/>
      <c r="W732" s="59"/>
    </row>
    <row r="733" spans="4:23" ht="12.75">
      <c r="D733" s="49"/>
      <c r="E733" s="49"/>
      <c r="F733" s="49"/>
      <c r="W733" s="59"/>
    </row>
    <row r="734" spans="4:23" ht="12.75">
      <c r="D734" s="49"/>
      <c r="E734" s="49"/>
      <c r="F734" s="49"/>
      <c r="W734" s="59"/>
    </row>
    <row r="735" spans="4:23" ht="12.75">
      <c r="D735" s="49"/>
      <c r="E735" s="49"/>
      <c r="F735" s="49"/>
      <c r="W735" s="59"/>
    </row>
    <row r="736" spans="4:23" ht="12.75">
      <c r="D736" s="49"/>
      <c r="E736" s="49"/>
      <c r="F736" s="49"/>
      <c r="W736" s="59"/>
    </row>
    <row r="737" spans="4:23" ht="12.75">
      <c r="D737" s="49"/>
      <c r="E737" s="49"/>
      <c r="F737" s="49"/>
      <c r="W737" s="59"/>
    </row>
    <row r="738" spans="4:23" ht="12.75">
      <c r="D738" s="49"/>
      <c r="E738" s="49"/>
      <c r="F738" s="49"/>
      <c r="W738" s="59"/>
    </row>
    <row r="739" spans="4:23" ht="12.75">
      <c r="D739" s="49"/>
      <c r="E739" s="49"/>
      <c r="F739" s="49"/>
      <c r="W739" s="59"/>
    </row>
    <row r="740" spans="4:23" ht="12.75">
      <c r="D740" s="49"/>
      <c r="E740" s="49"/>
      <c r="F740" s="49"/>
      <c r="W740" s="59"/>
    </row>
    <row r="741" spans="4:23" ht="12.75">
      <c r="D741" s="49"/>
      <c r="E741" s="49"/>
      <c r="F741" s="49"/>
      <c r="W741" s="59"/>
    </row>
    <row r="742" spans="4:23" ht="12.75">
      <c r="D742" s="49"/>
      <c r="E742" s="49"/>
      <c r="F742" s="49"/>
      <c r="W742" s="59"/>
    </row>
    <row r="743" spans="4:23" ht="12.75">
      <c r="D743" s="49"/>
      <c r="E743" s="49"/>
      <c r="F743" s="49"/>
      <c r="W743" s="59"/>
    </row>
    <row r="744" spans="4:23" ht="12.75">
      <c r="D744" s="49"/>
      <c r="E744" s="49"/>
      <c r="F744" s="49"/>
      <c r="W744" s="59"/>
    </row>
    <row r="745" spans="4:23" ht="12.75">
      <c r="D745" s="49"/>
      <c r="E745" s="49"/>
      <c r="F745" s="49"/>
      <c r="W745" s="59"/>
    </row>
    <row r="746" spans="4:23" ht="12.75">
      <c r="D746" s="49"/>
      <c r="E746" s="49"/>
      <c r="F746" s="49"/>
      <c r="W746" s="59"/>
    </row>
    <row r="747" spans="4:23" ht="12.75">
      <c r="D747" s="49"/>
      <c r="E747" s="49"/>
      <c r="F747" s="49"/>
      <c r="W747" s="59"/>
    </row>
    <row r="748" spans="4:23" ht="12.75">
      <c r="D748" s="49"/>
      <c r="E748" s="49"/>
      <c r="F748" s="49"/>
      <c r="W748" s="59"/>
    </row>
    <row r="749" spans="4:23" ht="12.75">
      <c r="D749" s="49"/>
      <c r="E749" s="49"/>
      <c r="F749" s="49"/>
      <c r="W749" s="59"/>
    </row>
    <row r="750" spans="4:23" ht="12.75">
      <c r="D750" s="49"/>
      <c r="E750" s="49"/>
      <c r="F750" s="49"/>
      <c r="W750" s="59"/>
    </row>
    <row r="751" spans="4:23" ht="12.75">
      <c r="D751" s="49"/>
      <c r="E751" s="49"/>
      <c r="F751" s="49"/>
      <c r="W751" s="59"/>
    </row>
    <row r="752" spans="4:23" ht="12.75">
      <c r="D752" s="49"/>
      <c r="E752" s="49"/>
      <c r="F752" s="49"/>
      <c r="W752" s="59"/>
    </row>
    <row r="753" spans="4:23" ht="12.75">
      <c r="D753" s="49"/>
      <c r="E753" s="49"/>
      <c r="F753" s="49"/>
      <c r="W753" s="59"/>
    </row>
    <row r="754" spans="4:23" ht="12.75">
      <c r="D754" s="49"/>
      <c r="E754" s="49"/>
      <c r="F754" s="49"/>
      <c r="W754" s="59"/>
    </row>
    <row r="755" spans="4:23" ht="12.75">
      <c r="D755" s="49"/>
      <c r="E755" s="49"/>
      <c r="F755" s="49"/>
      <c r="W755" s="59"/>
    </row>
    <row r="756" spans="4:23" ht="12.75">
      <c r="D756" s="49"/>
      <c r="E756" s="49"/>
      <c r="F756" s="49"/>
      <c r="W756" s="59"/>
    </row>
    <row r="757" spans="4:23" ht="12.75">
      <c r="D757" s="49"/>
      <c r="E757" s="49"/>
      <c r="F757" s="49"/>
      <c r="W757" s="59"/>
    </row>
    <row r="758" spans="4:23" ht="12.75">
      <c r="D758" s="49"/>
      <c r="E758" s="49"/>
      <c r="F758" s="49"/>
      <c r="W758" s="59"/>
    </row>
    <row r="759" spans="4:23" ht="12.75">
      <c r="D759" s="49"/>
      <c r="E759" s="49"/>
      <c r="F759" s="49"/>
      <c r="W759" s="59"/>
    </row>
    <row r="760" spans="4:23" ht="12.75">
      <c r="D760" s="49"/>
      <c r="E760" s="49"/>
      <c r="F760" s="49"/>
      <c r="W760" s="59"/>
    </row>
    <row r="761" spans="4:23" ht="12.75">
      <c r="D761" s="49"/>
      <c r="E761" s="49"/>
      <c r="F761" s="49"/>
      <c r="W761" s="59"/>
    </row>
    <row r="762" spans="4:23" ht="12.75">
      <c r="D762" s="49"/>
      <c r="E762" s="49"/>
      <c r="F762" s="49"/>
      <c r="W762" s="59"/>
    </row>
    <row r="763" spans="4:23" ht="12.75">
      <c r="D763" s="49"/>
      <c r="E763" s="49"/>
      <c r="F763" s="49"/>
      <c r="W763" s="59"/>
    </row>
    <row r="764" spans="4:23" ht="12.75">
      <c r="D764" s="49"/>
      <c r="E764" s="49"/>
      <c r="F764" s="49"/>
      <c r="W764" s="59"/>
    </row>
    <row r="765" spans="4:23" ht="12.75">
      <c r="D765" s="49"/>
      <c r="E765" s="49"/>
      <c r="F765" s="49"/>
      <c r="W765" s="59"/>
    </row>
    <row r="766" spans="4:23" ht="12.75">
      <c r="D766" s="49"/>
      <c r="E766" s="49"/>
      <c r="F766" s="49"/>
      <c r="W766" s="59"/>
    </row>
    <row r="767" spans="4:23" ht="12.75">
      <c r="D767" s="49"/>
      <c r="E767" s="49"/>
      <c r="F767" s="49"/>
      <c r="W767" s="59"/>
    </row>
    <row r="768" spans="4:23" ht="12.75">
      <c r="D768" s="49"/>
      <c r="E768" s="49"/>
      <c r="F768" s="49"/>
      <c r="W768" s="59"/>
    </row>
    <row r="769" spans="4:23" ht="12.75">
      <c r="D769" s="49"/>
      <c r="E769" s="49"/>
      <c r="F769" s="49"/>
      <c r="W769" s="59"/>
    </row>
    <row r="770" spans="4:23" ht="12.75">
      <c r="D770" s="49"/>
      <c r="E770" s="49"/>
      <c r="F770" s="49"/>
      <c r="W770" s="59"/>
    </row>
    <row r="771" spans="4:23" ht="12.75">
      <c r="D771" s="49"/>
      <c r="E771" s="49"/>
      <c r="F771" s="49"/>
      <c r="W771" s="59"/>
    </row>
    <row r="772" spans="4:23" ht="12.75">
      <c r="D772" s="49"/>
      <c r="E772" s="49"/>
      <c r="F772" s="49"/>
      <c r="W772" s="59"/>
    </row>
    <row r="773" spans="4:23" ht="12.75">
      <c r="D773" s="49"/>
      <c r="E773" s="49"/>
      <c r="F773" s="49"/>
      <c r="W773" s="59"/>
    </row>
    <row r="774" spans="4:23" ht="12.75">
      <c r="D774" s="49"/>
      <c r="E774" s="49"/>
      <c r="F774" s="49"/>
      <c r="W774" s="59"/>
    </row>
    <row r="775" spans="4:23" ht="12.75">
      <c r="D775" s="49"/>
      <c r="E775" s="49"/>
      <c r="F775" s="49"/>
      <c r="W775" s="59"/>
    </row>
    <row r="776" spans="4:23" ht="12.75">
      <c r="D776" s="49"/>
      <c r="E776" s="49"/>
      <c r="F776" s="49"/>
      <c r="W776" s="59"/>
    </row>
    <row r="777" spans="4:23" ht="12.75">
      <c r="D777" s="49"/>
      <c r="E777" s="49"/>
      <c r="F777" s="49"/>
      <c r="W777" s="59"/>
    </row>
    <row r="778" spans="4:23" ht="12.75">
      <c r="D778" s="49"/>
      <c r="E778" s="49"/>
      <c r="F778" s="49"/>
      <c r="W778" s="59"/>
    </row>
    <row r="779" spans="4:23" ht="12.75">
      <c r="D779" s="49"/>
      <c r="E779" s="49"/>
      <c r="F779" s="49"/>
      <c r="W779" s="59"/>
    </row>
    <row r="780" spans="4:23" ht="12.75">
      <c r="D780" s="49"/>
      <c r="E780" s="49"/>
      <c r="F780" s="49"/>
      <c r="W780" s="59"/>
    </row>
    <row r="781" spans="4:23" ht="12.75">
      <c r="D781" s="49"/>
      <c r="E781" s="49"/>
      <c r="F781" s="49"/>
      <c r="W781" s="59"/>
    </row>
    <row r="782" spans="4:23" ht="12.75">
      <c r="D782" s="49"/>
      <c r="E782" s="49"/>
      <c r="F782" s="49"/>
      <c r="W782" s="59"/>
    </row>
    <row r="783" spans="4:23" ht="12.75">
      <c r="D783" s="49"/>
      <c r="E783" s="49"/>
      <c r="F783" s="49"/>
      <c r="W783" s="59"/>
    </row>
    <row r="784" spans="4:23" ht="12.75">
      <c r="D784" s="49"/>
      <c r="E784" s="49"/>
      <c r="F784" s="49"/>
      <c r="W784" s="59"/>
    </row>
    <row r="785" spans="4:23" ht="12.75">
      <c r="D785" s="49"/>
      <c r="E785" s="49"/>
      <c r="F785" s="49"/>
      <c r="W785" s="59"/>
    </row>
    <row r="786" spans="4:23" ht="12.75">
      <c r="D786" s="49"/>
      <c r="E786" s="49"/>
      <c r="F786" s="49"/>
      <c r="W786" s="59"/>
    </row>
    <row r="787" spans="4:23" ht="12.75">
      <c r="D787" s="49"/>
      <c r="E787" s="49"/>
      <c r="F787" s="49"/>
      <c r="W787" s="59"/>
    </row>
    <row r="788" spans="4:23" ht="12.75">
      <c r="D788" s="49"/>
      <c r="E788" s="49"/>
      <c r="F788" s="49"/>
      <c r="W788" s="59"/>
    </row>
    <row r="789" spans="4:23" ht="12.75">
      <c r="D789" s="49"/>
      <c r="E789" s="49"/>
      <c r="F789" s="49"/>
      <c r="W789" s="59"/>
    </row>
    <row r="790" spans="4:23" ht="12.75">
      <c r="D790" s="49"/>
      <c r="E790" s="49"/>
      <c r="F790" s="49"/>
      <c r="W790" s="59"/>
    </row>
    <row r="791" spans="4:23" ht="12.75">
      <c r="D791" s="49"/>
      <c r="E791" s="49"/>
      <c r="F791" s="49"/>
      <c r="W791" s="59"/>
    </row>
    <row r="792" spans="4:23" ht="12.75">
      <c r="D792" s="49"/>
      <c r="E792" s="49"/>
      <c r="F792" s="49"/>
      <c r="W792" s="59"/>
    </row>
    <row r="793" spans="4:23" ht="12.75">
      <c r="D793" s="49"/>
      <c r="E793" s="49"/>
      <c r="F793" s="49"/>
      <c r="W793" s="59"/>
    </row>
    <row r="794" spans="4:23" ht="12.75">
      <c r="D794" s="49"/>
      <c r="E794" s="49"/>
      <c r="F794" s="49"/>
      <c r="W794" s="59"/>
    </row>
    <row r="795" spans="4:23" ht="12.75">
      <c r="D795" s="49"/>
      <c r="E795" s="49"/>
      <c r="F795" s="49"/>
      <c r="W795" s="59"/>
    </row>
    <row r="796" spans="4:23" ht="12.75">
      <c r="D796" s="49"/>
      <c r="E796" s="49"/>
      <c r="F796" s="49"/>
      <c r="W796" s="59"/>
    </row>
    <row r="797" spans="4:23" ht="12.75">
      <c r="D797" s="49"/>
      <c r="E797" s="49"/>
      <c r="F797" s="49"/>
      <c r="W797" s="59"/>
    </row>
    <row r="798" spans="4:23" ht="12.75">
      <c r="D798" s="49"/>
      <c r="E798" s="49"/>
      <c r="F798" s="49"/>
      <c r="W798" s="59"/>
    </row>
    <row r="799" spans="4:23" ht="12.75">
      <c r="D799" s="49"/>
      <c r="E799" s="49"/>
      <c r="F799" s="49"/>
      <c r="W799" s="59"/>
    </row>
    <row r="800" spans="4:23" ht="12.75">
      <c r="D800" s="49"/>
      <c r="E800" s="49"/>
      <c r="F800" s="49"/>
      <c r="W800" s="59"/>
    </row>
    <row r="801" spans="4:23" ht="12.75">
      <c r="D801" s="49"/>
      <c r="E801" s="49"/>
      <c r="F801" s="49"/>
      <c r="W801" s="59"/>
    </row>
    <row r="802" spans="4:23" ht="12.75">
      <c r="D802" s="49"/>
      <c r="E802" s="49"/>
      <c r="F802" s="49"/>
      <c r="W802" s="59"/>
    </row>
    <row r="803" spans="4:23" ht="12.75">
      <c r="D803" s="49"/>
      <c r="E803" s="49"/>
      <c r="F803" s="49"/>
      <c r="W803" s="59"/>
    </row>
    <row r="804" spans="4:23" ht="12.75">
      <c r="D804" s="49"/>
      <c r="E804" s="49"/>
      <c r="F804" s="49"/>
      <c r="W804" s="59"/>
    </row>
    <row r="805" spans="4:23" ht="12.75">
      <c r="D805" s="49"/>
      <c r="E805" s="49"/>
      <c r="F805" s="49"/>
      <c r="W805" s="59"/>
    </row>
    <row r="806" spans="4:23" ht="12.75">
      <c r="D806" s="49"/>
      <c r="E806" s="49"/>
      <c r="F806" s="49"/>
      <c r="W806" s="59"/>
    </row>
    <row r="807" spans="4:23" ht="12.75">
      <c r="D807" s="49"/>
      <c r="E807" s="49"/>
      <c r="F807" s="49"/>
      <c r="W807" s="59"/>
    </row>
    <row r="808" spans="4:23" ht="12.75">
      <c r="D808" s="49"/>
      <c r="E808" s="49"/>
      <c r="F808" s="49"/>
      <c r="W808" s="59"/>
    </row>
    <row r="809" spans="4:23" ht="12.75">
      <c r="D809" s="49"/>
      <c r="E809" s="49"/>
      <c r="F809" s="49"/>
      <c r="W809" s="59"/>
    </row>
    <row r="810" spans="4:23" ht="12.75">
      <c r="D810" s="49"/>
      <c r="E810" s="49"/>
      <c r="F810" s="49"/>
      <c r="W810" s="59"/>
    </row>
    <row r="811" spans="4:23" ht="12.75">
      <c r="D811" s="49"/>
      <c r="E811" s="49"/>
      <c r="F811" s="49"/>
      <c r="W811" s="59"/>
    </row>
    <row r="812" spans="4:23" ht="12.75">
      <c r="D812" s="49"/>
      <c r="E812" s="49"/>
      <c r="F812" s="49"/>
      <c r="W812" s="59"/>
    </row>
    <row r="813" spans="4:23" ht="12.75">
      <c r="D813" s="49"/>
      <c r="E813" s="49"/>
      <c r="F813" s="49"/>
      <c r="W813" s="59"/>
    </row>
    <row r="814" spans="4:23" ht="12.75">
      <c r="D814" s="49"/>
      <c r="E814" s="49"/>
      <c r="F814" s="49"/>
      <c r="W814" s="59"/>
    </row>
    <row r="815" spans="4:23" ht="12.75">
      <c r="D815" s="49"/>
      <c r="E815" s="49"/>
      <c r="F815" s="49"/>
      <c r="W815" s="59"/>
    </row>
    <row r="816" spans="4:23" ht="12.75">
      <c r="D816" s="49"/>
      <c r="E816" s="49"/>
      <c r="F816" s="49"/>
      <c r="W816" s="59"/>
    </row>
    <row r="817" spans="4:23" ht="12.75">
      <c r="D817" s="49"/>
      <c r="E817" s="49"/>
      <c r="F817" s="49"/>
      <c r="W817" s="59"/>
    </row>
    <row r="818" spans="4:23" ht="12.75">
      <c r="D818" s="49"/>
      <c r="E818" s="49"/>
      <c r="F818" s="49"/>
      <c r="W818" s="59"/>
    </row>
    <row r="819" spans="4:23" ht="12.75">
      <c r="D819" s="49"/>
      <c r="E819" s="49"/>
      <c r="F819" s="49"/>
      <c r="W819" s="59"/>
    </row>
    <row r="820" spans="4:23" ht="12.75">
      <c r="D820" s="49"/>
      <c r="E820" s="49"/>
      <c r="F820" s="49"/>
      <c r="W820" s="59"/>
    </row>
    <row r="821" spans="4:23" ht="12.75">
      <c r="D821" s="49"/>
      <c r="E821" s="49"/>
      <c r="F821" s="49"/>
      <c r="W821" s="59"/>
    </row>
    <row r="822" spans="4:23" ht="12.75">
      <c r="D822" s="49"/>
      <c r="E822" s="49"/>
      <c r="F822" s="49"/>
      <c r="W822" s="59"/>
    </row>
    <row r="823" spans="4:23" ht="12.75">
      <c r="D823" s="49"/>
      <c r="E823" s="49"/>
      <c r="F823" s="49"/>
      <c r="W823" s="59"/>
    </row>
    <row r="824" spans="4:23" ht="12.75">
      <c r="D824" s="49"/>
      <c r="E824" s="49"/>
      <c r="F824" s="49"/>
      <c r="W824" s="59"/>
    </row>
    <row r="825" spans="4:23" ht="12.75">
      <c r="D825" s="49"/>
      <c r="E825" s="49"/>
      <c r="F825" s="49"/>
      <c r="W825" s="59"/>
    </row>
    <row r="826" spans="4:23" ht="12.75">
      <c r="D826" s="49"/>
      <c r="E826" s="49"/>
      <c r="F826" s="49"/>
      <c r="W826" s="59"/>
    </row>
    <row r="827" spans="4:23" ht="12.75">
      <c r="D827" s="49"/>
      <c r="E827" s="49"/>
      <c r="F827" s="49"/>
      <c r="W827" s="59"/>
    </row>
    <row r="828" spans="4:23" ht="12.75">
      <c r="D828" s="49"/>
      <c r="E828" s="49"/>
      <c r="F828" s="49"/>
      <c r="W828" s="59"/>
    </row>
    <row r="829" spans="4:23" ht="12.75">
      <c r="D829" s="49"/>
      <c r="E829" s="49"/>
      <c r="F829" s="49"/>
      <c r="W829" s="59"/>
    </row>
    <row r="830" spans="4:23" ht="12.75">
      <c r="D830" s="49"/>
      <c r="E830" s="49"/>
      <c r="F830" s="49"/>
      <c r="W830" s="59"/>
    </row>
    <row r="831" spans="4:23" ht="12.75">
      <c r="D831" s="49"/>
      <c r="E831" s="49"/>
      <c r="F831" s="49"/>
      <c r="W831" s="59"/>
    </row>
    <row r="832" spans="4:23" ht="12.75">
      <c r="D832" s="49"/>
      <c r="E832" s="49"/>
      <c r="F832" s="49"/>
      <c r="W832" s="59"/>
    </row>
    <row r="833" spans="4:23" ht="12.75">
      <c r="D833" s="49"/>
      <c r="E833" s="49"/>
      <c r="F833" s="49"/>
      <c r="W833" s="59"/>
    </row>
    <row r="834" spans="4:23" ht="12.75">
      <c r="D834" s="49"/>
      <c r="E834" s="49"/>
      <c r="F834" s="49"/>
      <c r="W834" s="59"/>
    </row>
    <row r="835" spans="4:23" ht="12.75">
      <c r="D835" s="49"/>
      <c r="E835" s="49"/>
      <c r="F835" s="49"/>
      <c r="W835" s="59"/>
    </row>
    <row r="836" spans="4:23" ht="12.75">
      <c r="D836" s="49"/>
      <c r="E836" s="49"/>
      <c r="F836" s="49"/>
      <c r="W836" s="59"/>
    </row>
    <row r="837" spans="4:23" ht="12.75">
      <c r="D837" s="49"/>
      <c r="E837" s="49"/>
      <c r="F837" s="49"/>
      <c r="W837" s="59"/>
    </row>
    <row r="838" spans="4:23" ht="12.75">
      <c r="D838" s="49"/>
      <c r="E838" s="49"/>
      <c r="F838" s="49"/>
      <c r="W838" s="59"/>
    </row>
    <row r="839" spans="4:23" ht="12.75">
      <c r="D839" s="49"/>
      <c r="E839" s="49"/>
      <c r="F839" s="49"/>
      <c r="W839" s="59"/>
    </row>
    <row r="840" spans="4:23" ht="12.75">
      <c r="D840" s="49"/>
      <c r="E840" s="49"/>
      <c r="F840" s="49"/>
      <c r="W840" s="59"/>
    </row>
    <row r="841" spans="4:23" ht="12.75">
      <c r="D841" s="49"/>
      <c r="E841" s="49"/>
      <c r="F841" s="49"/>
      <c r="W841" s="59"/>
    </row>
    <row r="842" spans="4:23" ht="12.75">
      <c r="D842" s="49"/>
      <c r="E842" s="49"/>
      <c r="F842" s="49"/>
      <c r="W842" s="59"/>
    </row>
    <row r="843" spans="4:23" ht="12.75">
      <c r="D843" s="49"/>
      <c r="E843" s="49"/>
      <c r="F843" s="49"/>
      <c r="W843" s="59"/>
    </row>
    <row r="844" spans="4:23" ht="12.75">
      <c r="D844" s="49"/>
      <c r="E844" s="49"/>
      <c r="F844" s="49"/>
      <c r="W844" s="59"/>
    </row>
    <row r="845" spans="4:23" ht="12.75">
      <c r="D845" s="49"/>
      <c r="E845" s="49"/>
      <c r="F845" s="49"/>
      <c r="W845" s="59"/>
    </row>
    <row r="846" spans="4:23" ht="12.75">
      <c r="D846" s="49"/>
      <c r="E846" s="49"/>
      <c r="F846" s="49"/>
      <c r="W846" s="59"/>
    </row>
    <row r="847" spans="4:23" ht="12.75">
      <c r="D847" s="49"/>
      <c r="E847" s="49"/>
      <c r="F847" s="49"/>
      <c r="W847" s="59"/>
    </row>
    <row r="848" spans="4:23" ht="12.75">
      <c r="D848" s="49"/>
      <c r="E848" s="49"/>
      <c r="F848" s="49"/>
      <c r="W848" s="59"/>
    </row>
    <row r="849" spans="4:23" ht="12.75">
      <c r="D849" s="49"/>
      <c r="E849" s="49"/>
      <c r="F849" s="49"/>
      <c r="W849" s="59"/>
    </row>
    <row r="850" spans="4:23" ht="12.75">
      <c r="D850" s="49"/>
      <c r="E850" s="49"/>
      <c r="F850" s="49"/>
      <c r="W850" s="59"/>
    </row>
    <row r="851" spans="4:23" ht="12.75">
      <c r="D851" s="49"/>
      <c r="E851" s="49"/>
      <c r="F851" s="49"/>
      <c r="W851" s="59"/>
    </row>
    <row r="852" spans="4:23" ht="12.75">
      <c r="D852" s="49"/>
      <c r="E852" s="49"/>
      <c r="F852" s="49"/>
      <c r="W852" s="59"/>
    </row>
    <row r="853" spans="4:23" ht="12.75">
      <c r="D853" s="49"/>
      <c r="E853" s="49"/>
      <c r="F853" s="49"/>
      <c r="W853" s="59"/>
    </row>
    <row r="854" spans="4:23" ht="12.75">
      <c r="D854" s="49"/>
      <c r="E854" s="49"/>
      <c r="F854" s="49"/>
      <c r="W854" s="59"/>
    </row>
    <row r="855" spans="4:23" ht="12.75">
      <c r="D855" s="49"/>
      <c r="E855" s="49"/>
      <c r="F855" s="49"/>
      <c r="W855" s="59"/>
    </row>
    <row r="856" spans="4:23" ht="12.75">
      <c r="D856" s="49"/>
      <c r="E856" s="49"/>
      <c r="F856" s="49"/>
      <c r="W856" s="59"/>
    </row>
    <row r="857" spans="4:23" ht="12.75">
      <c r="D857" s="49"/>
      <c r="E857" s="49"/>
      <c r="F857" s="49"/>
      <c r="W857" s="59"/>
    </row>
    <row r="858" spans="4:23" ht="12.75">
      <c r="D858" s="49"/>
      <c r="E858" s="49"/>
      <c r="F858" s="49"/>
      <c r="W858" s="59"/>
    </row>
    <row r="859" spans="4:23" ht="12.75">
      <c r="D859" s="49"/>
      <c r="E859" s="49"/>
      <c r="F859" s="49"/>
      <c r="W859" s="59"/>
    </row>
    <row r="860" spans="4:23" ht="12.75">
      <c r="D860" s="49"/>
      <c r="E860" s="49"/>
      <c r="F860" s="49"/>
      <c r="W860" s="59"/>
    </row>
    <row r="861" spans="4:23" ht="12.75">
      <c r="D861" s="49"/>
      <c r="E861" s="49"/>
      <c r="F861" s="49"/>
      <c r="W861" s="59"/>
    </row>
    <row r="862" spans="4:23" ht="12.75">
      <c r="D862" s="49"/>
      <c r="E862" s="49"/>
      <c r="F862" s="49"/>
      <c r="W862" s="59"/>
    </row>
    <row r="863" spans="4:23" ht="12.75">
      <c r="D863" s="49"/>
      <c r="E863" s="49"/>
      <c r="F863" s="49"/>
      <c r="W863" s="59"/>
    </row>
    <row r="864" spans="4:23" ht="12.75">
      <c r="D864" s="49"/>
      <c r="E864" s="49"/>
      <c r="F864" s="49"/>
      <c r="W864" s="59"/>
    </row>
    <row r="865" spans="4:23" ht="12.75">
      <c r="D865" s="49"/>
      <c r="E865" s="49"/>
      <c r="F865" s="49"/>
      <c r="W865" s="59"/>
    </row>
    <row r="866" spans="4:23" ht="12.75">
      <c r="D866" s="49"/>
      <c r="E866" s="49"/>
      <c r="F866" s="49"/>
      <c r="W866" s="59"/>
    </row>
    <row r="867" spans="4:23" ht="12.75">
      <c r="D867" s="49"/>
      <c r="E867" s="49"/>
      <c r="F867" s="49"/>
      <c r="W867" s="59"/>
    </row>
    <row r="868" spans="4:23" ht="12.75">
      <c r="D868" s="49"/>
      <c r="E868" s="49"/>
      <c r="F868" s="49"/>
      <c r="W868" s="59"/>
    </row>
    <row r="869" spans="4:23" ht="12.75">
      <c r="D869" s="49"/>
      <c r="E869" s="49"/>
      <c r="F869" s="49"/>
      <c r="W869" s="59"/>
    </row>
    <row r="870" spans="4:23" ht="12.75">
      <c r="D870" s="49"/>
      <c r="E870" s="49"/>
      <c r="F870" s="49"/>
      <c r="W870" s="59"/>
    </row>
    <row r="871" spans="4:23" ht="12.75">
      <c r="D871" s="49"/>
      <c r="E871" s="49"/>
      <c r="F871" s="49"/>
      <c r="W871" s="59"/>
    </row>
    <row r="872" spans="4:23" ht="12.75">
      <c r="D872" s="49"/>
      <c r="E872" s="49"/>
      <c r="F872" s="49"/>
      <c r="W872" s="59"/>
    </row>
    <row r="873" spans="4:23" ht="12.75">
      <c r="D873" s="49"/>
      <c r="E873" s="49"/>
      <c r="F873" s="49"/>
      <c r="W873" s="59"/>
    </row>
    <row r="874" spans="4:23" ht="12.75">
      <c r="D874" s="49"/>
      <c r="E874" s="49"/>
      <c r="F874" s="49"/>
      <c r="W874" s="59"/>
    </row>
    <row r="875" spans="4:23" ht="12.75">
      <c r="D875" s="49"/>
      <c r="E875" s="49"/>
      <c r="F875" s="49"/>
      <c r="W875" s="59"/>
    </row>
    <row r="876" spans="4:23" ht="12.75">
      <c r="D876" s="49"/>
      <c r="E876" s="49"/>
      <c r="F876" s="49"/>
      <c r="W876" s="59"/>
    </row>
    <row r="877" spans="4:23" ht="12.75">
      <c r="D877" s="49"/>
      <c r="E877" s="49"/>
      <c r="F877" s="49"/>
      <c r="W877" s="59"/>
    </row>
    <row r="878" spans="4:23" ht="12.75">
      <c r="D878" s="49"/>
      <c r="E878" s="49"/>
      <c r="F878" s="49"/>
      <c r="W878" s="59"/>
    </row>
    <row r="879" spans="4:23" ht="12.75">
      <c r="D879" s="49"/>
      <c r="E879" s="49"/>
      <c r="F879" s="49"/>
      <c r="W879" s="59"/>
    </row>
    <row r="880" spans="4:23" ht="12.75">
      <c r="D880" s="49"/>
      <c r="E880" s="49"/>
      <c r="F880" s="49"/>
      <c r="W880" s="59"/>
    </row>
    <row r="881" spans="4:23" ht="12.75">
      <c r="D881" s="49"/>
      <c r="E881" s="49"/>
      <c r="F881" s="49"/>
      <c r="W881" s="59"/>
    </row>
    <row r="882" spans="4:23" ht="12.75">
      <c r="D882" s="49"/>
      <c r="E882" s="49"/>
      <c r="F882" s="49"/>
      <c r="W882" s="59"/>
    </row>
    <row r="883" spans="4:23" ht="12.75">
      <c r="D883" s="49"/>
      <c r="E883" s="49"/>
      <c r="F883" s="49"/>
      <c r="W883" s="59"/>
    </row>
    <row r="884" spans="4:23" ht="12.75">
      <c r="D884" s="49"/>
      <c r="E884" s="49"/>
      <c r="F884" s="49"/>
      <c r="W884" s="59"/>
    </row>
    <row r="885" spans="4:23" ht="12.75">
      <c r="D885" s="49"/>
      <c r="E885" s="49"/>
      <c r="F885" s="49"/>
      <c r="W885" s="59"/>
    </row>
    <row r="886" spans="4:23" ht="12.75">
      <c r="D886" s="49"/>
      <c r="E886" s="49"/>
      <c r="F886" s="49"/>
      <c r="W886" s="59"/>
    </row>
    <row r="887" spans="4:23" ht="12.75">
      <c r="D887" s="49"/>
      <c r="E887" s="49"/>
      <c r="F887" s="49"/>
      <c r="W887" s="59"/>
    </row>
    <row r="888" spans="4:23" ht="12.75">
      <c r="D888" s="49"/>
      <c r="E888" s="49"/>
      <c r="F888" s="49"/>
      <c r="W888" s="59"/>
    </row>
    <row r="889" spans="4:23" ht="12.75">
      <c r="D889" s="49"/>
      <c r="E889" s="49"/>
      <c r="F889" s="49"/>
      <c r="W889" s="59"/>
    </row>
    <row r="890" spans="4:23" ht="12.75">
      <c r="D890" s="49"/>
      <c r="E890" s="49"/>
      <c r="F890" s="49"/>
      <c r="W890" s="59"/>
    </row>
    <row r="891" spans="4:23" ht="12.75">
      <c r="D891" s="49"/>
      <c r="E891" s="49"/>
      <c r="F891" s="49"/>
      <c r="W891" s="59"/>
    </row>
    <row r="892" spans="4:23" ht="12.75">
      <c r="D892" s="49"/>
      <c r="E892" s="49"/>
      <c r="F892" s="49"/>
      <c r="W892" s="59"/>
    </row>
    <row r="893" spans="4:23" ht="12.75">
      <c r="D893" s="49"/>
      <c r="E893" s="49"/>
      <c r="F893" s="49"/>
      <c r="W893" s="59"/>
    </row>
    <row r="894" spans="4:23" ht="12.75">
      <c r="D894" s="49"/>
      <c r="E894" s="49"/>
      <c r="F894" s="49"/>
      <c r="W894" s="59"/>
    </row>
    <row r="895" spans="4:23" ht="12.75">
      <c r="D895" s="49"/>
      <c r="E895" s="49"/>
      <c r="F895" s="49"/>
      <c r="W895" s="59"/>
    </row>
    <row r="896" spans="4:23" ht="12.75">
      <c r="D896" s="49"/>
      <c r="E896" s="49"/>
      <c r="F896" s="49"/>
      <c r="W896" s="59"/>
    </row>
    <row r="897" spans="4:23" ht="12.75">
      <c r="D897" s="49"/>
      <c r="E897" s="49"/>
      <c r="F897" s="49"/>
      <c r="W897" s="59"/>
    </row>
    <row r="898" spans="4:23" ht="12.75">
      <c r="D898" s="49"/>
      <c r="E898" s="49"/>
      <c r="F898" s="49"/>
      <c r="W898" s="59"/>
    </row>
    <row r="899" spans="4:23" ht="12.75">
      <c r="D899" s="49"/>
      <c r="E899" s="49"/>
      <c r="F899" s="49"/>
      <c r="W899" s="59"/>
    </row>
    <row r="900" spans="4:23" ht="12.75">
      <c r="D900" s="49"/>
      <c r="E900" s="49"/>
      <c r="F900" s="49"/>
      <c r="W900" s="59"/>
    </row>
    <row r="901" spans="4:23" ht="12.75">
      <c r="D901" s="49"/>
      <c r="E901" s="49"/>
      <c r="F901" s="49"/>
      <c r="W901" s="59"/>
    </row>
    <row r="902" spans="4:23" ht="12.75">
      <c r="D902" s="49"/>
      <c r="E902" s="49"/>
      <c r="F902" s="49"/>
      <c r="W902" s="59"/>
    </row>
    <row r="903" spans="4:23" ht="12.75">
      <c r="D903" s="49"/>
      <c r="E903" s="49"/>
      <c r="F903" s="49"/>
      <c r="W903" s="59"/>
    </row>
    <row r="904" spans="4:23" ht="12.75">
      <c r="D904" s="49"/>
      <c r="E904" s="49"/>
      <c r="F904" s="49"/>
      <c r="W904" s="59"/>
    </row>
    <row r="905" spans="4:23" ht="12.75">
      <c r="D905" s="49"/>
      <c r="E905" s="49"/>
      <c r="F905" s="49"/>
      <c r="W905" s="59"/>
    </row>
    <row r="906" spans="4:23" ht="12.75">
      <c r="D906" s="49"/>
      <c r="E906" s="49"/>
      <c r="F906" s="49"/>
      <c r="W906" s="59"/>
    </row>
    <row r="907" spans="4:23" ht="12.75">
      <c r="D907" s="49"/>
      <c r="E907" s="49"/>
      <c r="F907" s="49"/>
      <c r="W907" s="59"/>
    </row>
    <row r="908" spans="4:23" ht="12.75">
      <c r="D908" s="49"/>
      <c r="E908" s="49"/>
      <c r="F908" s="49"/>
      <c r="W908" s="59"/>
    </row>
    <row r="909" spans="4:23" ht="12.75">
      <c r="D909" s="49"/>
      <c r="E909" s="49"/>
      <c r="F909" s="49"/>
      <c r="W909" s="59"/>
    </row>
    <row r="910" spans="4:23" ht="12.75">
      <c r="D910" s="49"/>
      <c r="E910" s="49"/>
      <c r="F910" s="49"/>
      <c r="W910" s="59"/>
    </row>
    <row r="911" spans="4:23" ht="12.75">
      <c r="D911" s="49"/>
      <c r="E911" s="49"/>
      <c r="F911" s="49"/>
      <c r="W911" s="59"/>
    </row>
    <row r="912" spans="4:23" ht="12.75">
      <c r="D912" s="49"/>
      <c r="E912" s="49"/>
      <c r="F912" s="49"/>
      <c r="W912" s="59"/>
    </row>
    <row r="913" spans="4:23" ht="12.75">
      <c r="D913" s="49"/>
      <c r="E913" s="49"/>
      <c r="F913" s="49"/>
      <c r="W913" s="59"/>
    </row>
    <row r="914" spans="4:23" ht="12.75">
      <c r="D914" s="49"/>
      <c r="E914" s="49"/>
      <c r="F914" s="49"/>
      <c r="W914" s="59"/>
    </row>
    <row r="915" spans="4:23" ht="12.75">
      <c r="D915" s="49"/>
      <c r="E915" s="49"/>
      <c r="F915" s="49"/>
      <c r="W915" s="59"/>
    </row>
    <row r="916" spans="4:23" ht="12.75">
      <c r="D916" s="49"/>
      <c r="E916" s="49"/>
      <c r="F916" s="49"/>
      <c r="W916" s="59"/>
    </row>
    <row r="917" spans="4:23" ht="12.75">
      <c r="D917" s="49"/>
      <c r="E917" s="49"/>
      <c r="F917" s="49"/>
      <c r="W917" s="59"/>
    </row>
    <row r="918" spans="4:23" ht="12.75">
      <c r="D918" s="49"/>
      <c r="E918" s="49"/>
      <c r="F918" s="49"/>
      <c r="W918" s="59"/>
    </row>
    <row r="919" spans="4:23" ht="12.75">
      <c r="D919" s="49"/>
      <c r="E919" s="49"/>
      <c r="F919" s="49"/>
      <c r="W919" s="59"/>
    </row>
    <row r="920" spans="4:23" ht="12.75">
      <c r="D920" s="49"/>
      <c r="E920" s="49"/>
      <c r="F920" s="49"/>
      <c r="W920" s="59"/>
    </row>
    <row r="921" spans="4:23" ht="12.75">
      <c r="D921" s="49"/>
      <c r="E921" s="49"/>
      <c r="F921" s="49"/>
      <c r="W921" s="59"/>
    </row>
    <row r="922" spans="4:23" ht="12.75">
      <c r="D922" s="49"/>
      <c r="E922" s="49"/>
      <c r="F922" s="49"/>
      <c r="W922" s="59"/>
    </row>
    <row r="923" spans="4:23" ht="12.75">
      <c r="D923" s="49"/>
      <c r="E923" s="49"/>
      <c r="F923" s="49"/>
      <c r="W923" s="59"/>
    </row>
    <row r="924" spans="4:23" ht="12.75">
      <c r="D924" s="49"/>
      <c r="E924" s="49"/>
      <c r="F924" s="49"/>
      <c r="W924" s="59"/>
    </row>
    <row r="925" spans="4:23" ht="12.75">
      <c r="D925" s="49"/>
      <c r="E925" s="49"/>
      <c r="F925" s="49"/>
      <c r="W925" s="59"/>
    </row>
    <row r="926" spans="4:23" ht="12.75">
      <c r="D926" s="49"/>
      <c r="E926" s="49"/>
      <c r="F926" s="49"/>
      <c r="W926" s="59"/>
    </row>
    <row r="927" spans="4:23" ht="12.75">
      <c r="D927" s="49"/>
      <c r="E927" s="49"/>
      <c r="F927" s="49"/>
      <c r="W927" s="59"/>
    </row>
    <row r="928" spans="4:23" ht="12.75">
      <c r="D928" s="49"/>
      <c r="E928" s="49"/>
      <c r="F928" s="49"/>
      <c r="W928" s="59"/>
    </row>
    <row r="929" spans="4:23" ht="12.75">
      <c r="D929" s="49"/>
      <c r="E929" s="49"/>
      <c r="F929" s="49"/>
      <c r="W929" s="59"/>
    </row>
    <row r="930" spans="4:23" ht="12.75">
      <c r="D930" s="49"/>
      <c r="E930" s="49"/>
      <c r="F930" s="49"/>
      <c r="W930" s="59"/>
    </row>
    <row r="931" spans="4:23" ht="12.75">
      <c r="D931" s="49"/>
      <c r="E931" s="49"/>
      <c r="F931" s="49"/>
      <c r="W931" s="59"/>
    </row>
    <row r="932" spans="4:23" ht="12.75">
      <c r="D932" s="49"/>
      <c r="E932" s="49"/>
      <c r="F932" s="49"/>
      <c r="W932" s="59"/>
    </row>
    <row r="933" spans="4:23" ht="12.75">
      <c r="D933" s="49"/>
      <c r="E933" s="49"/>
      <c r="F933" s="49"/>
      <c r="W933" s="59"/>
    </row>
    <row r="934" spans="4:23" ht="12.75">
      <c r="D934" s="49"/>
      <c r="E934" s="49"/>
      <c r="F934" s="49"/>
      <c r="W934" s="59"/>
    </row>
    <row r="935" spans="4:23" ht="12.75">
      <c r="D935" s="49"/>
      <c r="E935" s="49"/>
      <c r="F935" s="49"/>
      <c r="W935" s="59"/>
    </row>
    <row r="936" spans="4:23" ht="12.75">
      <c r="D936" s="49"/>
      <c r="E936" s="49"/>
      <c r="F936" s="49"/>
      <c r="W936" s="59"/>
    </row>
    <row r="937" spans="4:23" ht="12.75">
      <c r="D937" s="49"/>
      <c r="E937" s="49"/>
      <c r="F937" s="49"/>
      <c r="W937" s="59"/>
    </row>
    <row r="938" spans="4:23" ht="12.75">
      <c r="D938" s="49"/>
      <c r="E938" s="49"/>
      <c r="F938" s="49"/>
      <c r="W938" s="59"/>
    </row>
    <row r="939" spans="4:23" ht="12.75">
      <c r="D939" s="49"/>
      <c r="E939" s="49"/>
      <c r="F939" s="49"/>
      <c r="W939" s="59"/>
    </row>
    <row r="940" spans="4:23" ht="12.75">
      <c r="D940" s="49"/>
      <c r="E940" s="49"/>
      <c r="F940" s="49"/>
      <c r="W940" s="59"/>
    </row>
    <row r="941" spans="4:23" ht="12.75">
      <c r="D941" s="49"/>
      <c r="E941" s="49"/>
      <c r="F941" s="49"/>
      <c r="W941" s="59"/>
    </row>
    <row r="942" spans="4:23" ht="12.75">
      <c r="D942" s="49"/>
      <c r="E942" s="49"/>
      <c r="F942" s="49"/>
      <c r="W942" s="59"/>
    </row>
    <row r="943" spans="4:23" ht="12.75">
      <c r="D943" s="49"/>
      <c r="E943" s="49"/>
      <c r="F943" s="49"/>
      <c r="W943" s="59"/>
    </row>
    <row r="944" spans="4:23" ht="12.75">
      <c r="D944" s="49"/>
      <c r="E944" s="49"/>
      <c r="F944" s="49"/>
      <c r="W944" s="59"/>
    </row>
    <row r="945" spans="4:23" ht="12.75">
      <c r="D945" s="49"/>
      <c r="E945" s="49"/>
      <c r="F945" s="49"/>
      <c r="W945" s="59"/>
    </row>
    <row r="946" spans="4:23" ht="12.75">
      <c r="D946" s="49"/>
      <c r="E946" s="49"/>
      <c r="F946" s="49"/>
      <c r="W946" s="59"/>
    </row>
    <row r="947" spans="4:23" ht="12.75">
      <c r="D947" s="49"/>
      <c r="E947" s="49"/>
      <c r="F947" s="49"/>
      <c r="W947" s="59"/>
    </row>
    <row r="948" spans="4:23" ht="12.75">
      <c r="D948" s="49"/>
      <c r="E948" s="49"/>
      <c r="F948" s="49"/>
      <c r="W948" s="59"/>
    </row>
    <row r="949" spans="4:23" ht="12.75">
      <c r="D949" s="49"/>
      <c r="E949" s="49"/>
      <c r="F949" s="49"/>
      <c r="W949" s="59"/>
    </row>
    <row r="950" spans="4:23" ht="12.75">
      <c r="D950" s="49"/>
      <c r="E950" s="49"/>
      <c r="F950" s="49"/>
      <c r="W950" s="59"/>
    </row>
    <row r="951" spans="4:23" ht="12.75">
      <c r="D951" s="49"/>
      <c r="E951" s="49"/>
      <c r="F951" s="49"/>
      <c r="W951" s="59"/>
    </row>
    <row r="952" spans="4:23" ht="12.75">
      <c r="D952" s="49"/>
      <c r="E952" s="49"/>
      <c r="F952" s="49"/>
      <c r="W952" s="59"/>
    </row>
    <row r="953" spans="4:23" ht="12.75">
      <c r="D953" s="49"/>
      <c r="E953" s="49"/>
      <c r="F953" s="49"/>
      <c r="W953" s="59"/>
    </row>
    <row r="954" spans="4:23" ht="12.75">
      <c r="D954" s="49"/>
      <c r="E954" s="49"/>
      <c r="F954" s="49"/>
      <c r="W954" s="59"/>
    </row>
    <row r="955" spans="4:23" ht="12.75">
      <c r="D955" s="49"/>
      <c r="E955" s="49"/>
      <c r="F955" s="49"/>
      <c r="W955" s="59"/>
    </row>
    <row r="956" spans="4:23" ht="12.75">
      <c r="D956" s="49"/>
      <c r="E956" s="49"/>
      <c r="F956" s="49"/>
      <c r="W956" s="59"/>
    </row>
    <row r="957" spans="4:23" ht="12.75">
      <c r="D957" s="49"/>
      <c r="E957" s="49"/>
      <c r="F957" s="49"/>
      <c r="W957" s="59"/>
    </row>
    <row r="958" spans="4:23" ht="12.75">
      <c r="D958" s="49"/>
      <c r="E958" s="49"/>
      <c r="F958" s="49"/>
      <c r="W958" s="59"/>
    </row>
    <row r="959" spans="4:23" ht="12.75">
      <c r="D959" s="49"/>
      <c r="E959" s="49"/>
      <c r="F959" s="49"/>
      <c r="W959" s="59"/>
    </row>
    <row r="960" spans="4:23" ht="12.75">
      <c r="D960" s="49"/>
      <c r="E960" s="49"/>
      <c r="F960" s="49"/>
      <c r="W960" s="59"/>
    </row>
    <row r="961" spans="4:23" ht="12.75">
      <c r="D961" s="49"/>
      <c r="E961" s="49"/>
      <c r="F961" s="49"/>
      <c r="W961" s="59"/>
    </row>
    <row r="962" spans="4:23" ht="12.75">
      <c r="D962" s="49"/>
      <c r="E962" s="49"/>
      <c r="F962" s="49"/>
      <c r="W962" s="59"/>
    </row>
    <row r="963" spans="4:23" ht="12.75">
      <c r="D963" s="49"/>
      <c r="E963" s="49"/>
      <c r="F963" s="49"/>
      <c r="W963" s="59"/>
    </row>
    <row r="964" spans="4:23" ht="12.75">
      <c r="D964" s="49"/>
      <c r="E964" s="49"/>
      <c r="F964" s="49"/>
      <c r="W964" s="59"/>
    </row>
    <row r="965" spans="4:23" ht="12.75">
      <c r="D965" s="49"/>
      <c r="E965" s="49"/>
      <c r="F965" s="49"/>
      <c r="W965" s="59"/>
    </row>
    <row r="966" spans="4:23" ht="12.75">
      <c r="D966" s="49"/>
      <c r="E966" s="49"/>
      <c r="F966" s="49"/>
      <c r="W966" s="59"/>
    </row>
    <row r="967" spans="4:23" ht="12.75">
      <c r="D967" s="49"/>
      <c r="E967" s="49"/>
      <c r="F967" s="49"/>
      <c r="W967" s="59"/>
    </row>
    <row r="968" spans="4:23" ht="12.75">
      <c r="D968" s="49"/>
      <c r="E968" s="49"/>
      <c r="F968" s="49"/>
      <c r="W968" s="59"/>
    </row>
    <row r="969" spans="4:23" ht="12.75">
      <c r="D969" s="49"/>
      <c r="E969" s="49"/>
      <c r="F969" s="49"/>
      <c r="W969" s="59"/>
    </row>
    <row r="970" spans="4:23" ht="12.75">
      <c r="D970" s="49"/>
      <c r="E970" s="49"/>
      <c r="F970" s="49"/>
      <c r="W970" s="59"/>
    </row>
    <row r="971" spans="4:23" ht="12.75">
      <c r="D971" s="49"/>
      <c r="E971" s="49"/>
      <c r="F971" s="49"/>
      <c r="W971" s="59"/>
    </row>
    <row r="972" spans="4:23" ht="12.75">
      <c r="D972" s="49"/>
      <c r="E972" s="49"/>
      <c r="F972" s="49"/>
      <c r="W972" s="59"/>
    </row>
    <row r="973" spans="4:23" ht="12.75">
      <c r="D973" s="49"/>
      <c r="E973" s="49"/>
      <c r="F973" s="49"/>
      <c r="W973" s="59"/>
    </row>
    <row r="974" spans="4:23" ht="12.75">
      <c r="D974" s="49"/>
      <c r="E974" s="49"/>
      <c r="F974" s="49"/>
      <c r="W974" s="59"/>
    </row>
    <row r="975" spans="4:23" ht="12.75">
      <c r="D975" s="49"/>
      <c r="E975" s="49"/>
      <c r="F975" s="49"/>
      <c r="W975" s="59"/>
    </row>
    <row r="976" spans="4:23" ht="12.75">
      <c r="D976" s="49"/>
      <c r="E976" s="49"/>
      <c r="F976" s="49"/>
      <c r="W976" s="59"/>
    </row>
    <row r="977" spans="4:23" ht="12.75">
      <c r="D977" s="49"/>
      <c r="E977" s="49"/>
      <c r="F977" s="49"/>
      <c r="W977" s="59"/>
    </row>
    <row r="978" spans="4:23" ht="12.75">
      <c r="D978" s="49"/>
      <c r="E978" s="49"/>
      <c r="F978" s="49"/>
      <c r="W978" s="59"/>
    </row>
    <row r="979" spans="4:23" ht="12.75">
      <c r="D979" s="49"/>
      <c r="E979" s="49"/>
      <c r="F979" s="49"/>
      <c r="W979" s="59"/>
    </row>
    <row r="980" spans="4:23" ht="12.75">
      <c r="D980" s="49"/>
      <c r="E980" s="49"/>
      <c r="F980" s="49"/>
      <c r="W980" s="59"/>
    </row>
    <row r="981" spans="4:23" ht="12.75">
      <c r="D981" s="49"/>
      <c r="E981" s="49"/>
      <c r="F981" s="49"/>
      <c r="W981" s="59"/>
    </row>
    <row r="982" spans="4:23" ht="12.75">
      <c r="D982" s="49"/>
      <c r="E982" s="49"/>
      <c r="F982" s="49"/>
      <c r="W982" s="59"/>
    </row>
    <row r="983" spans="4:23" ht="12.75">
      <c r="D983" s="49"/>
      <c r="E983" s="49"/>
      <c r="F983" s="49"/>
      <c r="W983" s="59"/>
    </row>
    <row r="984" spans="4:23" ht="12.75">
      <c r="D984" s="49"/>
      <c r="E984" s="49"/>
      <c r="F984" s="49"/>
      <c r="W984" s="59"/>
    </row>
    <row r="985" spans="4:23" ht="12.75">
      <c r="D985" s="49"/>
      <c r="E985" s="49"/>
      <c r="F985" s="49"/>
      <c r="W985" s="59"/>
    </row>
    <row r="986" spans="4:23" ht="12.75">
      <c r="D986" s="49"/>
      <c r="E986" s="49"/>
      <c r="F986" s="49"/>
      <c r="W986" s="59"/>
    </row>
    <row r="987" spans="4:23" ht="12.75">
      <c r="D987" s="49"/>
      <c r="E987" s="49"/>
      <c r="F987" s="49"/>
      <c r="W987" s="59"/>
    </row>
  </sheetData>
  <mergeCells count="10">
    <mergeCell ref="V5:Y5"/>
    <mergeCell ref="Z5:AD5"/>
    <mergeCell ref="AE5:AK5"/>
    <mergeCell ref="A1:AD2"/>
    <mergeCell ref="A3:AD4"/>
    <mergeCell ref="A5:B5"/>
    <mergeCell ref="D5:F5"/>
    <mergeCell ref="G5:M5"/>
    <mergeCell ref="N5:P5"/>
    <mergeCell ref="Q5:U5"/>
  </mergeCells>
  <phoneticPr fontId="40" type="noConversion"/>
  <conditionalFormatting sqref="A7:A23">
    <cfRule type="notContainsBlanks" dxfId="7" priority="1">
      <formula>LEN(TRIM(A7))&gt;0</formula>
    </cfRule>
  </conditionalFormatting>
  <dataValidations count="1">
    <dataValidation type="list" allowBlank="1" showErrorMessage="1" sqref="A7:A23" xr:uid="{00000000-0002-0000-0300-000000000000}">
      <formula1>$AE$7:$AE$23</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K988"/>
  <sheetViews>
    <sheetView workbookViewId="0"/>
  </sheetViews>
  <sheetFormatPr defaultColWidth="12.5703125" defaultRowHeight="15.75" customHeight="1"/>
  <cols>
    <col min="2" max="2" width="18.7109375" customWidth="1"/>
    <col min="31" max="31" width="33" customWidth="1"/>
  </cols>
  <sheetData>
    <row r="1" spans="1:37" ht="14.25">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3"/>
      <c r="AF1" s="3"/>
      <c r="AG1" s="4"/>
      <c r="AH1" s="4"/>
      <c r="AI1" s="4"/>
      <c r="AJ1" s="4"/>
      <c r="AK1" s="4"/>
    </row>
    <row r="2" spans="1:37" ht="14.25">
      <c r="A2" s="249"/>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3"/>
      <c r="AF2" s="3"/>
      <c r="AG2" s="4"/>
      <c r="AH2" s="4"/>
      <c r="AI2" s="4"/>
      <c r="AJ2" s="4"/>
      <c r="AK2" s="4"/>
    </row>
    <row r="3" spans="1:37" ht="14.25">
      <c r="A3" s="251" t="s">
        <v>1</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2"/>
      <c r="AE3" s="3" t="s">
        <v>2</v>
      </c>
      <c r="AF3" s="3" t="s">
        <v>3</v>
      </c>
      <c r="AG3" s="4"/>
      <c r="AH3" s="4"/>
      <c r="AI3" s="4"/>
      <c r="AJ3" s="4"/>
      <c r="AK3" s="4"/>
    </row>
    <row r="4" spans="1:37" ht="14.2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5"/>
      <c r="AE4" s="3">
        <v>192.41</v>
      </c>
      <c r="AF4" s="3">
        <v>1385</v>
      </c>
      <c r="AG4" s="4"/>
      <c r="AH4" s="4"/>
      <c r="AI4" s="4"/>
      <c r="AJ4" s="4"/>
      <c r="AK4" s="4"/>
    </row>
    <row r="5" spans="1:37" ht="15">
      <c r="A5" s="235" t="s">
        <v>4</v>
      </c>
      <c r="B5" s="236"/>
      <c r="C5" s="12" t="s">
        <v>4</v>
      </c>
      <c r="D5" s="237"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13" t="s">
        <v>7</v>
      </c>
      <c r="B6" s="13" t="s">
        <v>8</v>
      </c>
      <c r="C6" s="14" t="s">
        <v>9</v>
      </c>
      <c r="D6" s="15" t="s">
        <v>10</v>
      </c>
      <c r="E6" s="15" t="s">
        <v>11</v>
      </c>
      <c r="F6" s="15" t="s">
        <v>12</v>
      </c>
      <c r="G6" s="14" t="s">
        <v>13</v>
      </c>
      <c r="H6" s="14" t="s">
        <v>14</v>
      </c>
      <c r="I6" s="14" t="s">
        <v>15</v>
      </c>
      <c r="J6" s="14" t="s">
        <v>16</v>
      </c>
      <c r="K6" s="14" t="s">
        <v>17</v>
      </c>
      <c r="L6" s="14" t="s">
        <v>18</v>
      </c>
      <c r="M6" s="14" t="s">
        <v>19</v>
      </c>
      <c r="N6" s="19" t="s">
        <v>20</v>
      </c>
      <c r="O6" s="19" t="s">
        <v>6</v>
      </c>
      <c r="P6" s="13" t="s">
        <v>21</v>
      </c>
      <c r="Q6" s="14" t="s">
        <v>22</v>
      </c>
      <c r="R6" s="14" t="s">
        <v>23</v>
      </c>
      <c r="S6" s="14" t="s">
        <v>24</v>
      </c>
      <c r="T6" s="14" t="s">
        <v>25</v>
      </c>
      <c r="U6" s="14" t="s">
        <v>26</v>
      </c>
      <c r="V6" s="13" t="s">
        <v>27</v>
      </c>
      <c r="W6" s="20" t="s">
        <v>28</v>
      </c>
      <c r="X6" s="13"/>
      <c r="Y6" s="13" t="s">
        <v>29</v>
      </c>
      <c r="Z6" s="21" t="s">
        <v>30</v>
      </c>
      <c r="AA6" s="21" t="s">
        <v>31</v>
      </c>
      <c r="AB6" s="21" t="s">
        <v>32</v>
      </c>
      <c r="AC6" s="21" t="s">
        <v>33</v>
      </c>
      <c r="AD6" s="22" t="s">
        <v>34</v>
      </c>
      <c r="AE6" s="23" t="s">
        <v>35</v>
      </c>
      <c r="AF6" s="24" t="s">
        <v>36</v>
      </c>
      <c r="AG6" s="23" t="s">
        <v>37</v>
      </c>
      <c r="AH6" s="23"/>
      <c r="AI6" s="23"/>
      <c r="AJ6" s="23"/>
      <c r="AK6" s="23"/>
    </row>
    <row r="7" spans="1:37" ht="37.5" customHeight="1">
      <c r="A7" s="25"/>
      <c r="B7" s="25" t="s">
        <v>107</v>
      </c>
      <c r="C7" s="26" t="s">
        <v>39</v>
      </c>
      <c r="D7" s="27">
        <v>22</v>
      </c>
      <c r="E7" s="27">
        <v>13</v>
      </c>
      <c r="F7" s="27">
        <v>5</v>
      </c>
      <c r="G7" s="72">
        <f t="shared" ref="G7:G10" si="0">PRODUCT(D7*E7*F7)</f>
        <v>1430</v>
      </c>
      <c r="H7" s="70">
        <f t="shared" ref="H7:H10" si="1">G7/1000000</f>
        <v>1.4300000000000001E-3</v>
      </c>
      <c r="I7" s="29">
        <f t="shared" ref="I7:I10" si="2">1/H7</f>
        <v>699.30069930069931</v>
      </c>
      <c r="J7" s="30">
        <f t="shared" ref="J7:J10" si="3">80/I7</f>
        <v>0.1144</v>
      </c>
      <c r="K7" s="31">
        <f t="shared" ref="K7:K10" si="4">27000/I7</f>
        <v>38.61</v>
      </c>
      <c r="L7" s="31">
        <f t="shared" ref="L7:L10" si="5">(J7*$AF$4)+K7</f>
        <v>197.05399999999997</v>
      </c>
      <c r="M7" s="32">
        <f t="shared" ref="M7:M10" si="6">T7/R7</f>
        <v>6.6565282921659599E-2</v>
      </c>
      <c r="N7" s="33">
        <v>176</v>
      </c>
      <c r="O7" s="32">
        <f t="shared" ref="O7:O10" ca="1" si="7">SUMIF($AE$6:$AG$24,$A7,$AG$6:$AG$24)</f>
        <v>0</v>
      </c>
      <c r="P7" s="34">
        <v>16</v>
      </c>
      <c r="Q7" s="34">
        <f t="shared" ref="Q7:Q10" si="8">P7*1.15</f>
        <v>18.399999999999999</v>
      </c>
      <c r="R7" s="35">
        <f t="shared" ref="R7:R10" si="9">Q7*$AE$4</f>
        <v>3540.3439999999996</v>
      </c>
      <c r="S7" s="35">
        <f t="shared" ref="S7:S10" ca="1" si="10">R7*O7</f>
        <v>0</v>
      </c>
      <c r="T7" s="35">
        <f t="shared" ref="T7:T10" si="11">L7+K7</f>
        <v>235.66399999999999</v>
      </c>
      <c r="U7" s="35">
        <f t="shared" ref="U7:U10" ca="1" si="12">R7+S7+T7</f>
        <v>3776.0079999999998</v>
      </c>
      <c r="V7" s="35">
        <v>19900</v>
      </c>
      <c r="W7" s="36">
        <v>8.1299999999999997E-2</v>
      </c>
      <c r="X7" s="71"/>
      <c r="Y7" s="35">
        <f t="shared" ref="Y7:Y10" si="13">2827+N7</f>
        <v>3003</v>
      </c>
      <c r="Z7" s="38">
        <f t="shared" ref="Z7:Z10" si="14">W7+(Y7/V7)</f>
        <v>0.23220452261306535</v>
      </c>
      <c r="AA7" s="39">
        <f t="shared" ref="AA7:AA10" si="15">V7*Z7</f>
        <v>4620.8700000000008</v>
      </c>
      <c r="AB7" s="39">
        <f t="shared" ref="AB7:AB10" ca="1" si="16">(V7)/1.1*10%-(R7+AA7+K7+S7+N7+X7)*10%</f>
        <v>971.50850909090889</v>
      </c>
      <c r="AC7" s="39">
        <f t="shared" ref="AC7:AC10" ca="1" si="17">V7-(U7+AA7+AB7+N7)</f>
        <v>10355.613490909091</v>
      </c>
      <c r="AD7" s="40">
        <f t="shared" ref="AD7:AD10" ca="1" si="18">AC7/V7</f>
        <v>0.52038258748286892</v>
      </c>
      <c r="AE7" s="41" t="s">
        <v>40</v>
      </c>
      <c r="AF7" s="41"/>
      <c r="AG7" s="42">
        <v>0.08</v>
      </c>
      <c r="AH7" s="43"/>
      <c r="AI7" s="43"/>
      <c r="AJ7" s="44"/>
      <c r="AK7" s="44"/>
    </row>
    <row r="8" spans="1:37" ht="37.5" customHeight="1">
      <c r="A8" s="25"/>
      <c r="B8" s="25" t="s">
        <v>108</v>
      </c>
      <c r="C8" s="26" t="s">
        <v>39</v>
      </c>
      <c r="D8" s="27">
        <v>22</v>
      </c>
      <c r="E8" s="27">
        <v>13</v>
      </c>
      <c r="F8" s="27">
        <v>5</v>
      </c>
      <c r="G8" s="72">
        <f t="shared" si="0"/>
        <v>1430</v>
      </c>
      <c r="H8" s="70">
        <f t="shared" si="1"/>
        <v>1.4300000000000001E-3</v>
      </c>
      <c r="I8" s="29">
        <f t="shared" si="2"/>
        <v>699.30069930069931</v>
      </c>
      <c r="J8" s="30">
        <f t="shared" si="3"/>
        <v>0.1144</v>
      </c>
      <c r="K8" s="31">
        <f t="shared" si="4"/>
        <v>38.61</v>
      </c>
      <c r="L8" s="31">
        <f t="shared" si="5"/>
        <v>197.05399999999997</v>
      </c>
      <c r="M8" s="32">
        <f t="shared" si="6"/>
        <v>6.6565282921659599E-2</v>
      </c>
      <c r="N8" s="33">
        <v>176</v>
      </c>
      <c r="O8" s="32">
        <f t="shared" ca="1" si="7"/>
        <v>0</v>
      </c>
      <c r="P8" s="34">
        <v>16</v>
      </c>
      <c r="Q8" s="34">
        <f t="shared" si="8"/>
        <v>18.399999999999999</v>
      </c>
      <c r="R8" s="35">
        <f t="shared" si="9"/>
        <v>3540.3439999999996</v>
      </c>
      <c r="S8" s="35">
        <f t="shared" ca="1" si="10"/>
        <v>0</v>
      </c>
      <c r="T8" s="35">
        <f t="shared" si="11"/>
        <v>235.66399999999999</v>
      </c>
      <c r="U8" s="35">
        <f t="shared" ca="1" si="12"/>
        <v>3776.0079999999998</v>
      </c>
      <c r="V8" s="35">
        <v>19900</v>
      </c>
      <c r="W8" s="36">
        <v>8.1299999999999997E-2</v>
      </c>
      <c r="X8" s="71"/>
      <c r="Y8" s="35">
        <f t="shared" si="13"/>
        <v>3003</v>
      </c>
      <c r="Z8" s="38">
        <f t="shared" si="14"/>
        <v>0.23220452261306535</v>
      </c>
      <c r="AA8" s="39">
        <f t="shared" si="15"/>
        <v>4620.8700000000008</v>
      </c>
      <c r="AB8" s="39">
        <f t="shared" ca="1" si="16"/>
        <v>971.50850909090889</v>
      </c>
      <c r="AC8" s="39">
        <f t="shared" ca="1" si="17"/>
        <v>10355.613490909091</v>
      </c>
      <c r="AD8" s="40">
        <f t="shared" ca="1" si="18"/>
        <v>0.52038258748286892</v>
      </c>
      <c r="AE8" s="41" t="s">
        <v>40</v>
      </c>
      <c r="AF8" s="41"/>
      <c r="AG8" s="42">
        <v>0.08</v>
      </c>
      <c r="AH8" s="43"/>
      <c r="AI8" s="43"/>
      <c r="AJ8" s="44"/>
      <c r="AK8" s="44"/>
    </row>
    <row r="9" spans="1:37" ht="37.5" customHeight="1">
      <c r="A9" s="25"/>
      <c r="B9" s="25" t="s">
        <v>109</v>
      </c>
      <c r="C9" s="26" t="s">
        <v>39</v>
      </c>
      <c r="D9" s="27">
        <v>21</v>
      </c>
      <c r="E9" s="27">
        <v>10</v>
      </c>
      <c r="F9" s="27">
        <v>8</v>
      </c>
      <c r="G9" s="72">
        <f t="shared" si="0"/>
        <v>1680</v>
      </c>
      <c r="H9" s="70">
        <f t="shared" si="1"/>
        <v>1.6800000000000001E-3</v>
      </c>
      <c r="I9" s="29">
        <f t="shared" si="2"/>
        <v>595.23809523809518</v>
      </c>
      <c r="J9" s="30">
        <f t="shared" si="3"/>
        <v>0.13440000000000002</v>
      </c>
      <c r="K9" s="31">
        <f t="shared" si="4"/>
        <v>45.360000000000007</v>
      </c>
      <c r="L9" s="31">
        <f t="shared" si="5"/>
        <v>231.50400000000005</v>
      </c>
      <c r="M9" s="32">
        <f t="shared" si="6"/>
        <v>5.9582910587219789E-2</v>
      </c>
      <c r="N9" s="33">
        <v>176</v>
      </c>
      <c r="O9" s="32">
        <f t="shared" ca="1" si="7"/>
        <v>0</v>
      </c>
      <c r="P9" s="34">
        <v>21</v>
      </c>
      <c r="Q9" s="34">
        <f t="shared" si="8"/>
        <v>24.15</v>
      </c>
      <c r="R9" s="35">
        <f t="shared" si="9"/>
        <v>4646.7014999999992</v>
      </c>
      <c r="S9" s="35">
        <f t="shared" ca="1" si="10"/>
        <v>0</v>
      </c>
      <c r="T9" s="35">
        <f t="shared" si="11"/>
        <v>276.86400000000003</v>
      </c>
      <c r="U9" s="35">
        <f t="shared" ca="1" si="12"/>
        <v>4923.5654999999988</v>
      </c>
      <c r="V9" s="35">
        <v>23900</v>
      </c>
      <c r="W9" s="36">
        <v>8.1299999999999997E-2</v>
      </c>
      <c r="X9" s="71"/>
      <c r="Y9" s="35">
        <f t="shared" si="13"/>
        <v>3003</v>
      </c>
      <c r="Z9" s="38">
        <f t="shared" si="14"/>
        <v>0.20694853556485354</v>
      </c>
      <c r="AA9" s="39">
        <f t="shared" si="15"/>
        <v>4946.07</v>
      </c>
      <c r="AB9" s="39">
        <f t="shared" ca="1" si="16"/>
        <v>1191.3141227272727</v>
      </c>
      <c r="AC9" s="39">
        <f t="shared" ca="1" si="17"/>
        <v>12663.050377272728</v>
      </c>
      <c r="AD9" s="40">
        <f t="shared" ca="1" si="18"/>
        <v>0.52983474381894258</v>
      </c>
      <c r="AE9" s="41"/>
      <c r="AF9" s="41"/>
      <c r="AG9" s="42"/>
      <c r="AH9" s="43"/>
      <c r="AI9" s="43"/>
      <c r="AJ9" s="44"/>
      <c r="AK9" s="44"/>
    </row>
    <row r="10" spans="1:37" ht="37.5" customHeight="1">
      <c r="A10" s="25"/>
      <c r="B10" s="25" t="s">
        <v>110</v>
      </c>
      <c r="C10" s="26" t="s">
        <v>39</v>
      </c>
      <c r="D10" s="27">
        <v>15</v>
      </c>
      <c r="E10" s="27">
        <v>20</v>
      </c>
      <c r="F10" s="27">
        <v>6</v>
      </c>
      <c r="G10" s="72">
        <f t="shared" si="0"/>
        <v>1800</v>
      </c>
      <c r="H10" s="70">
        <f t="shared" si="1"/>
        <v>1.8E-3</v>
      </c>
      <c r="I10" s="29">
        <f t="shared" si="2"/>
        <v>555.55555555555554</v>
      </c>
      <c r="J10" s="30">
        <f t="shared" si="3"/>
        <v>0.14400000000000002</v>
      </c>
      <c r="K10" s="31">
        <f t="shared" si="4"/>
        <v>48.6</v>
      </c>
      <c r="L10" s="31">
        <f t="shared" si="5"/>
        <v>248.04000000000002</v>
      </c>
      <c r="M10" s="32">
        <f t="shared" si="6"/>
        <v>4.1894234006638914E-2</v>
      </c>
      <c r="N10" s="33">
        <v>176</v>
      </c>
      <c r="O10" s="32">
        <f t="shared" ca="1" si="7"/>
        <v>0</v>
      </c>
      <c r="P10" s="34">
        <v>32</v>
      </c>
      <c r="Q10" s="34">
        <f t="shared" si="8"/>
        <v>36.799999999999997</v>
      </c>
      <c r="R10" s="35">
        <f t="shared" si="9"/>
        <v>7080.6879999999992</v>
      </c>
      <c r="S10" s="35">
        <f t="shared" ca="1" si="10"/>
        <v>0</v>
      </c>
      <c r="T10" s="35">
        <f t="shared" si="11"/>
        <v>296.64000000000004</v>
      </c>
      <c r="U10" s="35">
        <f t="shared" ca="1" si="12"/>
        <v>7377.3279999999995</v>
      </c>
      <c r="V10" s="35">
        <v>26900</v>
      </c>
      <c r="W10" s="36">
        <v>8.1299999999999997E-2</v>
      </c>
      <c r="X10" s="71"/>
      <c r="Y10" s="35">
        <f t="shared" si="13"/>
        <v>3003</v>
      </c>
      <c r="Z10" s="38">
        <f t="shared" si="14"/>
        <v>0.19293568773234199</v>
      </c>
      <c r="AA10" s="39">
        <f t="shared" si="15"/>
        <v>5189.9699999999993</v>
      </c>
      <c r="AB10" s="39">
        <f t="shared" ca="1" si="16"/>
        <v>1195.9287454545454</v>
      </c>
      <c r="AC10" s="39">
        <f t="shared" ca="1" si="17"/>
        <v>12960.773254545456</v>
      </c>
      <c r="AD10" s="40">
        <f t="shared" ca="1" si="18"/>
        <v>0.48181313213923632</v>
      </c>
      <c r="AE10" s="41"/>
      <c r="AF10" s="41"/>
      <c r="AG10" s="42"/>
      <c r="AH10" s="43"/>
      <c r="AI10" s="43"/>
      <c r="AJ10" s="44"/>
      <c r="AK10" s="44"/>
    </row>
    <row r="11" spans="1:37" ht="37.5" customHeight="1">
      <c r="A11" s="25"/>
      <c r="B11" s="25"/>
      <c r="C11" s="26"/>
      <c r="D11" s="27"/>
      <c r="E11" s="27"/>
      <c r="F11" s="27"/>
      <c r="G11" s="72"/>
      <c r="H11" s="70"/>
      <c r="I11" s="29"/>
      <c r="J11" s="30"/>
      <c r="K11" s="31"/>
      <c r="L11" s="31"/>
      <c r="M11" s="32"/>
      <c r="N11" s="33"/>
      <c r="O11" s="32"/>
      <c r="P11" s="34"/>
      <c r="Q11" s="34"/>
      <c r="R11" s="35"/>
      <c r="S11" s="25"/>
      <c r="T11" s="35"/>
      <c r="U11" s="35"/>
      <c r="V11" s="35"/>
      <c r="W11" s="36"/>
      <c r="X11" s="71"/>
      <c r="Y11" s="35"/>
      <c r="Z11" s="38"/>
      <c r="AA11" s="39"/>
      <c r="AB11" s="39"/>
      <c r="AC11" s="39"/>
      <c r="AD11" s="40"/>
      <c r="AE11" s="41"/>
      <c r="AF11" s="41"/>
      <c r="AG11" s="45"/>
      <c r="AH11" s="43"/>
      <c r="AI11" s="43"/>
      <c r="AJ11" s="44"/>
      <c r="AK11" s="44"/>
    </row>
    <row r="12" spans="1:37" ht="37.5" customHeight="1">
      <c r="A12" s="25"/>
      <c r="B12" s="25"/>
      <c r="C12" s="26"/>
      <c r="D12" s="27"/>
      <c r="E12" s="27"/>
      <c r="F12" s="27"/>
      <c r="G12" s="72"/>
      <c r="H12" s="70"/>
      <c r="I12" s="29"/>
      <c r="J12" s="30"/>
      <c r="K12" s="31"/>
      <c r="L12" s="31"/>
      <c r="M12" s="32"/>
      <c r="N12" s="33"/>
      <c r="O12" s="32"/>
      <c r="P12" s="34"/>
      <c r="Q12" s="34"/>
      <c r="R12" s="35"/>
      <c r="S12" s="25"/>
      <c r="T12" s="35"/>
      <c r="U12" s="35"/>
      <c r="V12" s="35"/>
      <c r="W12" s="36"/>
      <c r="X12" s="71"/>
      <c r="Y12" s="35"/>
      <c r="Z12" s="38"/>
      <c r="AA12" s="39"/>
      <c r="AB12" s="39"/>
      <c r="AC12" s="39"/>
      <c r="AD12" s="40"/>
      <c r="AE12" s="41"/>
      <c r="AF12" s="41"/>
      <c r="AG12" s="45"/>
      <c r="AH12" s="43"/>
      <c r="AI12" s="43"/>
      <c r="AJ12" s="44"/>
      <c r="AK12" s="44"/>
    </row>
    <row r="13" spans="1:37" ht="37.5" customHeight="1">
      <c r="A13" s="25"/>
      <c r="B13" s="25"/>
      <c r="C13" s="26"/>
      <c r="D13" s="27"/>
      <c r="E13" s="27"/>
      <c r="F13" s="27"/>
      <c r="G13" s="72"/>
      <c r="H13" s="70"/>
      <c r="I13" s="29"/>
      <c r="J13" s="30"/>
      <c r="K13" s="31"/>
      <c r="L13" s="31"/>
      <c r="M13" s="32"/>
      <c r="N13" s="33"/>
      <c r="O13" s="32"/>
      <c r="P13" s="34"/>
      <c r="Q13" s="34"/>
      <c r="R13" s="35"/>
      <c r="S13" s="25"/>
      <c r="T13" s="35"/>
      <c r="U13" s="35"/>
      <c r="V13" s="35"/>
      <c r="W13" s="36"/>
      <c r="X13" s="71"/>
      <c r="Y13" s="35"/>
      <c r="Z13" s="38"/>
      <c r="AA13" s="39"/>
      <c r="AB13" s="39"/>
      <c r="AC13" s="39"/>
      <c r="AD13" s="40"/>
      <c r="AE13" s="41"/>
      <c r="AF13" s="41"/>
      <c r="AG13" s="45"/>
      <c r="AH13" s="43"/>
      <c r="AI13" s="43"/>
      <c r="AJ13" s="44"/>
      <c r="AK13" s="44"/>
    </row>
    <row r="14" spans="1:37" ht="37.5" customHeight="1">
      <c r="A14" s="25"/>
      <c r="B14" s="25"/>
      <c r="C14" s="26"/>
      <c r="D14" s="27"/>
      <c r="E14" s="27"/>
      <c r="F14" s="27"/>
      <c r="G14" s="72"/>
      <c r="H14" s="70"/>
      <c r="I14" s="29"/>
      <c r="J14" s="30"/>
      <c r="K14" s="31"/>
      <c r="L14" s="31"/>
      <c r="M14" s="32"/>
      <c r="N14" s="33"/>
      <c r="O14" s="32"/>
      <c r="P14" s="34"/>
      <c r="Q14" s="34"/>
      <c r="R14" s="35"/>
      <c r="S14" s="25"/>
      <c r="T14" s="35"/>
      <c r="U14" s="35"/>
      <c r="V14" s="35"/>
      <c r="W14" s="36"/>
      <c r="X14" s="71"/>
      <c r="Y14" s="35"/>
      <c r="Z14" s="38"/>
      <c r="AA14" s="39"/>
      <c r="AB14" s="39"/>
      <c r="AC14" s="39"/>
      <c r="AD14" s="40"/>
      <c r="AE14" s="41"/>
      <c r="AF14" s="41"/>
      <c r="AG14" s="45"/>
      <c r="AH14" s="43"/>
      <c r="AI14" s="43"/>
      <c r="AJ14" s="44"/>
      <c r="AK14" s="44"/>
    </row>
    <row r="15" spans="1:37" ht="37.5" customHeight="1">
      <c r="A15" s="25"/>
      <c r="B15" s="25"/>
      <c r="C15" s="26"/>
      <c r="D15" s="27"/>
      <c r="E15" s="27"/>
      <c r="F15" s="27"/>
      <c r="G15" s="72"/>
      <c r="H15" s="70"/>
      <c r="I15" s="29"/>
      <c r="J15" s="30"/>
      <c r="K15" s="31"/>
      <c r="L15" s="31"/>
      <c r="M15" s="32"/>
      <c r="N15" s="33"/>
      <c r="O15" s="32"/>
      <c r="P15" s="34"/>
      <c r="Q15" s="34"/>
      <c r="R15" s="35"/>
      <c r="S15" s="25"/>
      <c r="T15" s="35"/>
      <c r="U15" s="35"/>
      <c r="V15" s="35"/>
      <c r="W15" s="36"/>
      <c r="X15" s="71"/>
      <c r="Y15" s="35"/>
      <c r="Z15" s="38"/>
      <c r="AA15" s="39"/>
      <c r="AB15" s="39"/>
      <c r="AC15" s="39"/>
      <c r="AD15" s="40"/>
      <c r="AE15" s="41"/>
      <c r="AF15" s="41"/>
      <c r="AG15" s="45"/>
      <c r="AH15" s="43"/>
      <c r="AI15" s="43"/>
      <c r="AJ15" s="44"/>
      <c r="AK15" s="44"/>
    </row>
    <row r="16" spans="1:37" ht="37.5" customHeight="1">
      <c r="A16" s="25"/>
      <c r="B16" s="25"/>
      <c r="C16" s="26"/>
      <c r="D16" s="27"/>
      <c r="E16" s="27"/>
      <c r="F16" s="27"/>
      <c r="G16" s="72"/>
      <c r="H16" s="70"/>
      <c r="I16" s="29"/>
      <c r="J16" s="30"/>
      <c r="K16" s="31"/>
      <c r="L16" s="31"/>
      <c r="M16" s="32"/>
      <c r="N16" s="33"/>
      <c r="O16" s="32"/>
      <c r="P16" s="34"/>
      <c r="Q16" s="34"/>
      <c r="R16" s="35"/>
      <c r="S16" s="25"/>
      <c r="T16" s="35"/>
      <c r="U16" s="35"/>
      <c r="V16" s="35"/>
      <c r="W16" s="36"/>
      <c r="X16" s="71"/>
      <c r="Y16" s="35"/>
      <c r="Z16" s="38"/>
      <c r="AA16" s="39"/>
      <c r="AB16" s="39"/>
      <c r="AC16" s="39"/>
      <c r="AD16" s="40"/>
      <c r="AE16" s="41"/>
      <c r="AF16" s="41"/>
      <c r="AG16" s="45"/>
      <c r="AH16" s="43"/>
      <c r="AI16" s="43"/>
      <c r="AJ16" s="44"/>
      <c r="AK16" s="44"/>
    </row>
    <row r="17" spans="1:37" ht="37.5" customHeight="1">
      <c r="A17" s="25"/>
      <c r="B17" s="25"/>
      <c r="C17" s="26"/>
      <c r="D17" s="27"/>
      <c r="E17" s="27"/>
      <c r="F17" s="27"/>
      <c r="G17" s="72"/>
      <c r="H17" s="70"/>
      <c r="I17" s="29"/>
      <c r="J17" s="30"/>
      <c r="K17" s="31"/>
      <c r="L17" s="31"/>
      <c r="M17" s="32"/>
      <c r="N17" s="33"/>
      <c r="O17" s="32"/>
      <c r="P17" s="34"/>
      <c r="Q17" s="34"/>
      <c r="R17" s="35"/>
      <c r="S17" s="25"/>
      <c r="T17" s="35"/>
      <c r="U17" s="35"/>
      <c r="V17" s="35"/>
      <c r="W17" s="36"/>
      <c r="X17" s="71"/>
      <c r="Y17" s="35"/>
      <c r="Z17" s="38"/>
      <c r="AA17" s="39"/>
      <c r="AB17" s="39"/>
      <c r="AC17" s="39"/>
      <c r="AD17" s="40"/>
      <c r="AE17" s="41"/>
      <c r="AF17" s="41"/>
      <c r="AG17" s="45"/>
      <c r="AH17" s="43"/>
      <c r="AI17" s="43"/>
      <c r="AJ17" s="44"/>
      <c r="AK17" s="44"/>
    </row>
    <row r="18" spans="1:37" ht="37.5" customHeight="1">
      <c r="A18" s="25"/>
      <c r="B18" s="25"/>
      <c r="C18" s="26"/>
      <c r="D18" s="27"/>
      <c r="E18" s="27"/>
      <c r="F18" s="27"/>
      <c r="G18" s="72"/>
      <c r="H18" s="70"/>
      <c r="I18" s="29"/>
      <c r="J18" s="30"/>
      <c r="K18" s="31"/>
      <c r="L18" s="31"/>
      <c r="M18" s="32"/>
      <c r="N18" s="33"/>
      <c r="O18" s="32"/>
      <c r="P18" s="34"/>
      <c r="Q18" s="34"/>
      <c r="R18" s="35"/>
      <c r="S18" s="25"/>
      <c r="T18" s="35"/>
      <c r="U18" s="35"/>
      <c r="V18" s="35"/>
      <c r="W18" s="36"/>
      <c r="X18" s="71"/>
      <c r="Y18" s="35"/>
      <c r="Z18" s="38"/>
      <c r="AA18" s="39"/>
      <c r="AB18" s="39"/>
      <c r="AC18" s="39"/>
      <c r="AD18" s="40"/>
      <c r="AE18" s="41"/>
      <c r="AF18" s="41"/>
      <c r="AG18" s="45"/>
      <c r="AH18" s="43"/>
      <c r="AI18" s="43"/>
      <c r="AJ18" s="44"/>
      <c r="AK18" s="44"/>
    </row>
    <row r="19" spans="1:37" ht="37.5" customHeight="1">
      <c r="A19" s="25"/>
      <c r="B19" s="25"/>
      <c r="C19" s="26"/>
      <c r="D19" s="27"/>
      <c r="E19" s="27"/>
      <c r="F19" s="27"/>
      <c r="G19" s="72"/>
      <c r="H19" s="70"/>
      <c r="I19" s="29"/>
      <c r="J19" s="30"/>
      <c r="K19" s="31"/>
      <c r="L19" s="31"/>
      <c r="M19" s="32"/>
      <c r="N19" s="34"/>
      <c r="O19" s="32"/>
      <c r="P19" s="34"/>
      <c r="Q19" s="34"/>
      <c r="R19" s="35"/>
      <c r="S19" s="25"/>
      <c r="T19" s="35"/>
      <c r="U19" s="35"/>
      <c r="V19" s="35"/>
      <c r="W19" s="36"/>
      <c r="X19" s="71"/>
      <c r="Y19" s="35"/>
      <c r="Z19" s="38"/>
      <c r="AA19" s="39"/>
      <c r="AB19" s="39"/>
      <c r="AC19" s="39"/>
      <c r="AD19" s="40"/>
      <c r="AE19" s="41"/>
      <c r="AF19" s="41"/>
      <c r="AG19" s="45"/>
      <c r="AH19" s="43"/>
      <c r="AI19" s="43"/>
      <c r="AJ19" s="44"/>
      <c r="AK19" s="44"/>
    </row>
    <row r="20" spans="1:37" ht="37.5" customHeight="1">
      <c r="A20" s="25"/>
      <c r="B20" s="25"/>
      <c r="C20" s="26"/>
      <c r="D20" s="27"/>
      <c r="E20" s="27"/>
      <c r="F20" s="27"/>
      <c r="G20" s="72"/>
      <c r="H20" s="70"/>
      <c r="I20" s="29"/>
      <c r="J20" s="30"/>
      <c r="K20" s="31"/>
      <c r="L20" s="31"/>
      <c r="M20" s="32"/>
      <c r="N20" s="34"/>
      <c r="O20" s="32"/>
      <c r="P20" s="34"/>
      <c r="Q20" s="34"/>
      <c r="R20" s="35"/>
      <c r="S20" s="25"/>
      <c r="T20" s="35"/>
      <c r="U20" s="35"/>
      <c r="V20" s="35"/>
      <c r="W20" s="36"/>
      <c r="X20" s="71"/>
      <c r="Y20" s="35"/>
      <c r="Z20" s="38"/>
      <c r="AA20" s="39"/>
      <c r="AB20" s="39"/>
      <c r="AC20" s="39"/>
      <c r="AD20" s="40"/>
      <c r="AE20" s="41"/>
      <c r="AF20" s="41"/>
      <c r="AG20" s="45"/>
      <c r="AH20" s="43"/>
      <c r="AI20" s="43"/>
      <c r="AJ20" s="44"/>
      <c r="AK20" s="44"/>
    </row>
    <row r="21" spans="1:37" ht="37.5" customHeight="1">
      <c r="A21" s="25"/>
      <c r="B21" s="25"/>
      <c r="C21" s="26"/>
      <c r="D21" s="27"/>
      <c r="E21" s="27"/>
      <c r="F21" s="27"/>
      <c r="G21" s="72"/>
      <c r="H21" s="70"/>
      <c r="I21" s="29"/>
      <c r="J21" s="30"/>
      <c r="K21" s="31"/>
      <c r="L21" s="31"/>
      <c r="M21" s="32"/>
      <c r="N21" s="34"/>
      <c r="O21" s="32"/>
      <c r="P21" s="34"/>
      <c r="Q21" s="34"/>
      <c r="R21" s="35"/>
      <c r="S21" s="25"/>
      <c r="T21" s="35"/>
      <c r="U21" s="35"/>
      <c r="V21" s="35"/>
      <c r="W21" s="36"/>
      <c r="X21" s="71"/>
      <c r="Y21" s="35"/>
      <c r="Z21" s="38"/>
      <c r="AA21" s="39"/>
      <c r="AB21" s="39"/>
      <c r="AC21" s="39"/>
      <c r="AD21" s="40"/>
      <c r="AE21" s="41"/>
      <c r="AF21" s="41"/>
      <c r="AG21" s="45"/>
      <c r="AH21" s="43"/>
      <c r="AI21" s="43"/>
      <c r="AJ21" s="44"/>
      <c r="AK21" s="44"/>
    </row>
    <row r="22" spans="1:37" ht="37.5" customHeight="1">
      <c r="A22" s="25"/>
      <c r="B22" s="25"/>
      <c r="C22" s="26"/>
      <c r="D22" s="27"/>
      <c r="E22" s="27"/>
      <c r="F22" s="27"/>
      <c r="G22" s="72"/>
      <c r="H22" s="70"/>
      <c r="I22" s="29"/>
      <c r="J22" s="30"/>
      <c r="K22" s="31"/>
      <c r="L22" s="31"/>
      <c r="M22" s="32"/>
      <c r="N22" s="34"/>
      <c r="O22" s="32"/>
      <c r="P22" s="34"/>
      <c r="Q22" s="34"/>
      <c r="R22" s="35"/>
      <c r="S22" s="25"/>
      <c r="T22" s="35"/>
      <c r="U22" s="35"/>
      <c r="V22" s="35"/>
      <c r="W22" s="36"/>
      <c r="X22" s="71"/>
      <c r="Y22" s="35"/>
      <c r="Z22" s="38"/>
      <c r="AA22" s="39"/>
      <c r="AB22" s="39"/>
      <c r="AC22" s="39"/>
      <c r="AD22" s="40"/>
      <c r="AE22" s="41"/>
      <c r="AF22" s="41"/>
      <c r="AG22" s="45"/>
      <c r="AH22" s="43"/>
      <c r="AI22" s="43"/>
      <c r="AJ22" s="44"/>
      <c r="AK22" s="44"/>
    </row>
    <row r="23" spans="1:37" ht="37.5" customHeight="1">
      <c r="A23" s="25"/>
      <c r="B23" s="25"/>
      <c r="C23" s="26"/>
      <c r="D23" s="27"/>
      <c r="E23" s="27"/>
      <c r="F23" s="27"/>
      <c r="G23" s="72"/>
      <c r="H23" s="70"/>
      <c r="I23" s="29"/>
      <c r="J23" s="30"/>
      <c r="K23" s="31"/>
      <c r="L23" s="31"/>
      <c r="M23" s="32"/>
      <c r="N23" s="34"/>
      <c r="O23" s="32"/>
      <c r="P23" s="34"/>
      <c r="Q23" s="34"/>
      <c r="R23" s="35"/>
      <c r="S23" s="25"/>
      <c r="T23" s="35"/>
      <c r="U23" s="35"/>
      <c r="V23" s="35"/>
      <c r="W23" s="36"/>
      <c r="X23" s="71"/>
      <c r="Y23" s="35"/>
      <c r="Z23" s="38"/>
      <c r="AA23" s="39"/>
      <c r="AB23" s="39"/>
      <c r="AC23" s="39"/>
      <c r="AD23" s="40"/>
      <c r="AE23" s="41"/>
      <c r="AF23" s="41"/>
      <c r="AG23" s="45"/>
      <c r="AH23" s="43"/>
      <c r="AI23" s="43"/>
      <c r="AJ23" s="44"/>
      <c r="AK23" s="44"/>
    </row>
    <row r="24" spans="1:37" ht="37.5" customHeight="1">
      <c r="A24" s="25"/>
      <c r="B24" s="25"/>
      <c r="C24" s="26"/>
      <c r="D24" s="27"/>
      <c r="E24" s="27"/>
      <c r="F24" s="27"/>
      <c r="G24" s="72"/>
      <c r="H24" s="70"/>
      <c r="I24" s="29"/>
      <c r="J24" s="30"/>
      <c r="K24" s="31"/>
      <c r="L24" s="31"/>
      <c r="M24" s="32"/>
      <c r="N24" s="34"/>
      <c r="O24" s="32"/>
      <c r="P24" s="34"/>
      <c r="Q24" s="34"/>
      <c r="R24" s="35"/>
      <c r="S24" s="25"/>
      <c r="T24" s="35"/>
      <c r="U24" s="35"/>
      <c r="V24" s="35"/>
      <c r="W24" s="36"/>
      <c r="X24" s="71"/>
      <c r="Y24" s="35"/>
      <c r="Z24" s="38"/>
      <c r="AA24" s="39"/>
      <c r="AB24" s="39"/>
      <c r="AC24" s="39"/>
      <c r="AD24" s="40"/>
      <c r="AE24" s="41"/>
      <c r="AF24" s="41"/>
      <c r="AG24" s="45"/>
      <c r="AH24" s="43"/>
      <c r="AI24" s="43"/>
      <c r="AJ24" s="44"/>
      <c r="AK24" s="44"/>
    </row>
    <row r="25" spans="1:37" ht="37.5" customHeight="1">
      <c r="A25" s="52"/>
      <c r="B25" s="52"/>
      <c r="C25" s="52"/>
      <c r="D25" s="53"/>
      <c r="E25" s="53"/>
      <c r="F25" s="53"/>
      <c r="G25" s="52"/>
      <c r="H25" s="52"/>
      <c r="I25" s="52"/>
      <c r="J25" s="52"/>
      <c r="K25" s="52"/>
      <c r="L25" s="52"/>
      <c r="M25" s="52"/>
      <c r="N25" s="52"/>
      <c r="O25" s="52"/>
      <c r="P25" s="52"/>
      <c r="Q25" s="52"/>
      <c r="R25" s="52"/>
      <c r="S25" s="52"/>
      <c r="T25" s="52"/>
      <c r="U25" s="52"/>
      <c r="V25" s="52"/>
      <c r="W25" s="56"/>
      <c r="X25" s="52"/>
      <c r="Y25" s="52"/>
      <c r="Z25" s="52"/>
      <c r="AA25" s="52"/>
      <c r="AB25" s="52"/>
      <c r="AC25" s="52"/>
      <c r="AD25" s="57"/>
      <c r="AE25" s="3"/>
      <c r="AF25" s="58"/>
      <c r="AG25" s="4"/>
      <c r="AH25" s="58"/>
      <c r="AI25" s="4"/>
      <c r="AJ25" s="4"/>
      <c r="AK25" s="4"/>
    </row>
    <row r="26" spans="1:37" ht="37.5" customHeight="1">
      <c r="A26" s="52"/>
      <c r="B26" s="52"/>
      <c r="C26" s="52"/>
      <c r="D26" s="53"/>
      <c r="E26" s="53"/>
      <c r="F26" s="53"/>
      <c r="G26" s="52"/>
      <c r="H26" s="52"/>
      <c r="I26" s="52"/>
      <c r="J26" s="52"/>
      <c r="K26" s="52"/>
      <c r="L26" s="52"/>
      <c r="M26" s="52"/>
      <c r="N26" s="52"/>
      <c r="O26" s="52"/>
      <c r="P26" s="52"/>
      <c r="Q26" s="52"/>
      <c r="R26" s="52"/>
      <c r="S26" s="52"/>
      <c r="T26" s="52"/>
      <c r="U26" s="52"/>
      <c r="V26" s="52"/>
      <c r="W26" s="56"/>
      <c r="X26" s="52"/>
      <c r="Y26" s="52"/>
      <c r="Z26" s="52"/>
      <c r="AA26" s="52"/>
      <c r="AB26" s="52"/>
      <c r="AC26" s="52"/>
      <c r="AD26" s="57"/>
      <c r="AE26" s="3"/>
      <c r="AF26" s="58"/>
      <c r="AG26" s="4"/>
      <c r="AH26" s="58"/>
      <c r="AI26" s="4"/>
      <c r="AJ26" s="4"/>
      <c r="AK26" s="4"/>
    </row>
    <row r="27" spans="1:37" ht="37.5" customHeight="1">
      <c r="A27" s="52"/>
      <c r="B27" s="52"/>
      <c r="C27" s="52"/>
      <c r="D27" s="53"/>
      <c r="E27" s="53"/>
      <c r="F27" s="53"/>
      <c r="G27" s="52"/>
      <c r="H27" s="52"/>
      <c r="I27" s="52"/>
      <c r="J27" s="52"/>
      <c r="K27" s="52"/>
      <c r="L27" s="52"/>
      <c r="M27" s="52"/>
      <c r="N27" s="52"/>
      <c r="O27" s="52"/>
      <c r="P27" s="52"/>
      <c r="Q27" s="52"/>
      <c r="R27" s="52"/>
      <c r="S27" s="52"/>
      <c r="T27" s="52"/>
      <c r="U27" s="52"/>
      <c r="V27" s="52"/>
      <c r="W27" s="56"/>
      <c r="X27" s="52"/>
      <c r="Y27" s="52"/>
      <c r="Z27" s="52"/>
      <c r="AA27" s="52"/>
      <c r="AB27" s="52"/>
      <c r="AC27" s="52"/>
      <c r="AD27" s="57"/>
      <c r="AE27" s="3"/>
      <c r="AF27" s="58"/>
      <c r="AG27" s="4"/>
      <c r="AH27" s="58"/>
      <c r="AI27" s="4"/>
      <c r="AJ27" s="4"/>
      <c r="AK27" s="4"/>
    </row>
    <row r="28" spans="1:37" ht="37.5" customHeight="1">
      <c r="A28" s="52"/>
      <c r="B28" s="52"/>
      <c r="C28" s="52"/>
      <c r="D28" s="53"/>
      <c r="E28" s="53"/>
      <c r="F28" s="53"/>
      <c r="G28" s="52"/>
      <c r="H28" s="52"/>
      <c r="I28" s="52"/>
      <c r="J28" s="52"/>
      <c r="K28" s="52"/>
      <c r="L28" s="52"/>
      <c r="M28" s="52"/>
      <c r="N28" s="52"/>
      <c r="O28" s="52"/>
      <c r="P28" s="52"/>
      <c r="Q28" s="52"/>
      <c r="R28" s="52"/>
      <c r="S28" s="52"/>
      <c r="T28" s="52"/>
      <c r="U28" s="52"/>
      <c r="V28" s="52"/>
      <c r="W28" s="56"/>
      <c r="X28" s="52"/>
      <c r="Y28" s="52"/>
      <c r="Z28" s="52"/>
      <c r="AA28" s="52"/>
      <c r="AB28" s="52"/>
      <c r="AC28" s="52"/>
      <c r="AD28" s="57"/>
      <c r="AE28" s="3"/>
      <c r="AF28" s="58"/>
      <c r="AG28" s="4"/>
      <c r="AH28" s="58"/>
      <c r="AI28" s="4"/>
      <c r="AJ28" s="4"/>
      <c r="AK28" s="4"/>
    </row>
    <row r="29" spans="1:37" ht="37.5" customHeight="1">
      <c r="A29" s="52"/>
      <c r="B29" s="52"/>
      <c r="C29" s="52"/>
      <c r="D29" s="53"/>
      <c r="E29" s="53"/>
      <c r="F29" s="53"/>
      <c r="G29" s="52"/>
      <c r="H29" s="52"/>
      <c r="I29" s="52"/>
      <c r="J29" s="52"/>
      <c r="K29" s="52"/>
      <c r="L29" s="52"/>
      <c r="M29" s="52"/>
      <c r="N29" s="52"/>
      <c r="O29" s="52"/>
      <c r="P29" s="52"/>
      <c r="Q29" s="52"/>
      <c r="R29" s="52"/>
      <c r="S29" s="52"/>
      <c r="T29" s="52"/>
      <c r="U29" s="52"/>
      <c r="V29" s="52"/>
      <c r="W29" s="56"/>
      <c r="X29" s="52"/>
      <c r="Y29" s="52"/>
      <c r="Z29" s="52"/>
      <c r="AA29" s="52"/>
      <c r="AB29" s="52"/>
      <c r="AC29" s="52"/>
      <c r="AD29" s="57"/>
      <c r="AE29" s="3"/>
      <c r="AF29" s="58"/>
      <c r="AG29" s="4"/>
      <c r="AH29" s="58"/>
      <c r="AI29" s="4"/>
      <c r="AJ29" s="4"/>
      <c r="AK29" s="4"/>
    </row>
    <row r="30" spans="1:37" ht="37.5" customHeight="1">
      <c r="A30" s="52"/>
      <c r="B30" s="52"/>
      <c r="C30" s="52"/>
      <c r="D30" s="53"/>
      <c r="E30" s="53"/>
      <c r="F30" s="53"/>
      <c r="G30" s="52"/>
      <c r="H30" s="52"/>
      <c r="I30" s="52"/>
      <c r="J30" s="52"/>
      <c r="K30" s="52"/>
      <c r="L30" s="52"/>
      <c r="M30" s="52"/>
      <c r="N30" s="52"/>
      <c r="O30" s="52"/>
      <c r="P30" s="52"/>
      <c r="Q30" s="52"/>
      <c r="R30" s="52"/>
      <c r="S30" s="52"/>
      <c r="T30" s="52"/>
      <c r="U30" s="52"/>
      <c r="V30" s="52"/>
      <c r="W30" s="56"/>
      <c r="X30" s="52"/>
      <c r="Y30" s="52"/>
      <c r="Z30" s="52"/>
      <c r="AA30" s="52"/>
      <c r="AB30" s="52"/>
      <c r="AC30" s="52"/>
      <c r="AD30" s="57"/>
      <c r="AE30" s="3"/>
      <c r="AF30" s="58"/>
      <c r="AG30" s="4"/>
      <c r="AH30" s="58"/>
      <c r="AI30" s="4"/>
      <c r="AJ30" s="4"/>
      <c r="AK30" s="4"/>
    </row>
    <row r="31" spans="1:37" ht="37.5" customHeight="1">
      <c r="A31" s="52"/>
      <c r="B31" s="52"/>
      <c r="C31" s="52"/>
      <c r="D31" s="53"/>
      <c r="E31" s="53"/>
      <c r="F31" s="53"/>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row>
    <row r="32" spans="1:37" ht="37.5" customHeight="1">
      <c r="A32" s="52"/>
      <c r="B32" s="52"/>
      <c r="C32" s="52"/>
      <c r="D32" s="53"/>
      <c r="E32" s="53"/>
      <c r="F32" s="53"/>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row>
    <row r="33" spans="1:37" ht="14.25">
      <c r="A33" s="52"/>
      <c r="B33" s="52"/>
      <c r="C33" s="52"/>
      <c r="D33" s="53"/>
      <c r="E33" s="53"/>
      <c r="F33" s="53"/>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14.25">
      <c r="A34" s="52"/>
      <c r="B34" s="52"/>
      <c r="C34" s="52"/>
      <c r="D34" s="53"/>
      <c r="E34" s="53"/>
      <c r="F34" s="53"/>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14.25">
      <c r="A35" s="52"/>
      <c r="B35" s="52"/>
      <c r="C35" s="52"/>
      <c r="D35" s="53"/>
      <c r="E35" s="53"/>
      <c r="F35" s="53"/>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14.25">
      <c r="A36" s="52"/>
      <c r="B36" s="52"/>
      <c r="C36" s="52"/>
      <c r="D36" s="53"/>
      <c r="E36" s="53"/>
      <c r="F36" s="53"/>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58"/>
      <c r="AG36" s="4"/>
      <c r="AH36" s="58"/>
      <c r="AI36" s="4"/>
      <c r="AJ36" s="4"/>
      <c r="AK36" s="4"/>
    </row>
    <row r="37" spans="1:37" ht="14.25">
      <c r="A37" s="52"/>
      <c r="B37" s="52"/>
      <c r="C37" s="52"/>
      <c r="D37" s="53"/>
      <c r="E37" s="53"/>
      <c r="F37" s="53"/>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3"/>
      <c r="AG37" s="4"/>
      <c r="AH37" s="4"/>
      <c r="AI37" s="4"/>
      <c r="AJ37" s="4"/>
      <c r="AK37" s="4"/>
    </row>
    <row r="38" spans="1:37" ht="14.25">
      <c r="A38" s="52"/>
      <c r="B38" s="52"/>
      <c r="C38" s="52"/>
      <c r="D38" s="53"/>
      <c r="E38" s="53"/>
      <c r="F38" s="53"/>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3"/>
      <c r="AG38" s="4"/>
      <c r="AH38" s="4"/>
      <c r="AI38" s="4"/>
      <c r="AJ38" s="4"/>
      <c r="AK38" s="4"/>
    </row>
    <row r="39" spans="1:37" ht="14.25">
      <c r="A39" s="52"/>
      <c r="B39" s="52"/>
      <c r="C39" s="52"/>
      <c r="D39" s="53"/>
      <c r="E39" s="53"/>
      <c r="F39" s="53"/>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3"/>
      <c r="AG39" s="4"/>
      <c r="AH39" s="4"/>
      <c r="AI39" s="4"/>
      <c r="AJ39" s="4"/>
      <c r="AK39" s="4"/>
    </row>
    <row r="40" spans="1:37" ht="14.25">
      <c r="A40" s="52"/>
      <c r="B40" s="52"/>
      <c r="C40" s="52"/>
      <c r="D40" s="53"/>
      <c r="E40" s="53"/>
      <c r="F40" s="53"/>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3"/>
      <c r="AG40" s="4"/>
      <c r="AH40" s="4"/>
      <c r="AI40" s="4"/>
      <c r="AJ40" s="4"/>
      <c r="AK40" s="4"/>
    </row>
    <row r="41" spans="1:37" ht="14.25">
      <c r="A41" s="52"/>
      <c r="B41" s="52"/>
      <c r="C41" s="52"/>
      <c r="D41" s="53"/>
      <c r="E41" s="53"/>
      <c r="F41" s="53"/>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3"/>
      <c r="AG41" s="4"/>
      <c r="AH41" s="4"/>
      <c r="AI41" s="4"/>
      <c r="AJ41" s="4"/>
      <c r="AK41" s="4"/>
    </row>
    <row r="42" spans="1:37" ht="14.25">
      <c r="A42" s="52"/>
      <c r="B42" s="52"/>
      <c r="C42" s="52"/>
      <c r="D42" s="53"/>
      <c r="E42" s="53"/>
      <c r="F42" s="53"/>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3"/>
      <c r="AG42" s="4"/>
      <c r="AH42" s="4"/>
      <c r="AI42" s="4"/>
      <c r="AJ42" s="4"/>
      <c r="AK42" s="4"/>
    </row>
    <row r="43" spans="1:37" ht="14.25">
      <c r="A43" s="52"/>
      <c r="B43" s="52"/>
      <c r="C43" s="52"/>
      <c r="D43" s="53"/>
      <c r="E43" s="53"/>
      <c r="F43" s="53"/>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3"/>
      <c r="E44" s="53"/>
      <c r="F44" s="53"/>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3"/>
      <c r="E45" s="53"/>
      <c r="F45" s="53"/>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3"/>
      <c r="E46" s="53"/>
      <c r="F46" s="53"/>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3"/>
      <c r="E47" s="53"/>
      <c r="F47" s="53"/>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3"/>
      <c r="E48" s="53"/>
      <c r="F48" s="53"/>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3"/>
      <c r="E49" s="53"/>
      <c r="F49" s="53"/>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3"/>
      <c r="E50" s="53"/>
      <c r="F50" s="53"/>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3"/>
      <c r="E51" s="53"/>
      <c r="F51" s="53"/>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3"/>
      <c r="E52" s="53"/>
      <c r="F52" s="53"/>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3"/>
      <c r="E53" s="53"/>
      <c r="F53" s="53"/>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3"/>
      <c r="E54" s="53"/>
      <c r="F54" s="53"/>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3"/>
      <c r="E55" s="53"/>
      <c r="F55" s="53"/>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3"/>
      <c r="E56" s="53"/>
      <c r="F56" s="53"/>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3"/>
      <c r="E57" s="53"/>
      <c r="F57" s="53"/>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3"/>
      <c r="E58" s="53"/>
      <c r="F58" s="53"/>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3"/>
      <c r="E59" s="53"/>
      <c r="F59" s="53"/>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3"/>
      <c r="E60" s="53"/>
      <c r="F60" s="53"/>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3"/>
      <c r="E61" s="53"/>
      <c r="F61" s="53"/>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3"/>
      <c r="E62" s="53"/>
      <c r="F62" s="53"/>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3"/>
      <c r="E63" s="53"/>
      <c r="F63" s="53"/>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3"/>
      <c r="E64" s="53"/>
      <c r="F64" s="53"/>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3"/>
      <c r="E65" s="53"/>
      <c r="F65" s="53"/>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3"/>
      <c r="E66" s="53"/>
      <c r="F66" s="53"/>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3"/>
      <c r="E67" s="53"/>
      <c r="F67" s="53"/>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3"/>
      <c r="E68" s="53"/>
      <c r="F68" s="53"/>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3"/>
      <c r="E69" s="53"/>
      <c r="F69" s="53"/>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3"/>
      <c r="E70" s="53"/>
      <c r="F70" s="53"/>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3"/>
      <c r="E71" s="53"/>
      <c r="F71" s="53"/>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3"/>
      <c r="E72" s="53"/>
      <c r="F72" s="53"/>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3"/>
      <c r="E73" s="53"/>
      <c r="F73" s="53"/>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3"/>
      <c r="E74" s="53"/>
      <c r="F74" s="53"/>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3"/>
      <c r="E75" s="53"/>
      <c r="F75" s="53"/>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3"/>
      <c r="E76" s="53"/>
      <c r="F76" s="53"/>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3"/>
      <c r="E77" s="53"/>
      <c r="F77" s="53"/>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3"/>
      <c r="E78" s="53"/>
      <c r="F78" s="53"/>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3"/>
      <c r="E79" s="53"/>
      <c r="F79" s="53"/>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3"/>
      <c r="E80" s="53"/>
      <c r="F80" s="53"/>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3"/>
      <c r="E81" s="53"/>
      <c r="F81" s="53"/>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3"/>
      <c r="E82" s="53"/>
      <c r="F82" s="53"/>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3"/>
      <c r="E83" s="53"/>
      <c r="F83" s="53"/>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3"/>
      <c r="E84" s="53"/>
      <c r="F84" s="53"/>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3"/>
      <c r="E85" s="53"/>
      <c r="F85" s="53"/>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3"/>
      <c r="E86" s="53"/>
      <c r="F86" s="53"/>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3"/>
      <c r="E87" s="53"/>
      <c r="F87" s="53"/>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3"/>
      <c r="E88" s="53"/>
      <c r="F88" s="53"/>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3"/>
      <c r="E89" s="53"/>
      <c r="F89" s="53"/>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3"/>
      <c r="E90" s="53"/>
      <c r="F90" s="53"/>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3"/>
      <c r="E91" s="53"/>
      <c r="F91" s="53"/>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3"/>
      <c r="E92" s="53"/>
      <c r="F92" s="53"/>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3"/>
      <c r="E93" s="53"/>
      <c r="F93" s="53"/>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3"/>
      <c r="E94" s="53"/>
      <c r="F94" s="53"/>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3"/>
      <c r="E95" s="53"/>
      <c r="F95" s="53"/>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3"/>
      <c r="E96" s="53"/>
      <c r="F96" s="53"/>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3"/>
      <c r="E97" s="53"/>
      <c r="F97" s="53"/>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3"/>
      <c r="E98" s="53"/>
      <c r="F98" s="53"/>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3"/>
      <c r="E99" s="53"/>
      <c r="F99" s="53"/>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4.25">
      <c r="A100" s="52"/>
      <c r="B100" s="52"/>
      <c r="C100" s="52"/>
      <c r="D100" s="53"/>
      <c r="E100" s="53"/>
      <c r="F100" s="53"/>
      <c r="G100" s="52"/>
      <c r="H100" s="52"/>
      <c r="I100" s="52"/>
      <c r="J100" s="52"/>
      <c r="K100" s="52"/>
      <c r="L100" s="52"/>
      <c r="M100" s="52"/>
      <c r="N100" s="52"/>
      <c r="O100" s="52"/>
      <c r="P100" s="52"/>
      <c r="Q100" s="52"/>
      <c r="R100" s="52"/>
      <c r="S100" s="52"/>
      <c r="T100" s="52"/>
      <c r="U100" s="52"/>
      <c r="V100" s="52"/>
      <c r="W100" s="56"/>
      <c r="X100" s="52"/>
      <c r="Y100" s="52"/>
      <c r="Z100" s="52"/>
      <c r="AA100" s="52"/>
      <c r="AB100" s="52"/>
      <c r="AC100" s="52"/>
      <c r="AD100" s="57"/>
      <c r="AE100" s="3"/>
      <c r="AF100" s="3"/>
      <c r="AG100" s="4"/>
      <c r="AH100" s="4"/>
      <c r="AI100" s="4"/>
      <c r="AJ100" s="4"/>
      <c r="AK100" s="4"/>
    </row>
    <row r="101" spans="1:37" ht="12.75">
      <c r="D101" s="49"/>
      <c r="E101" s="49"/>
      <c r="F101" s="49"/>
      <c r="W101" s="59"/>
    </row>
    <row r="102" spans="1:37" ht="12.75">
      <c r="D102" s="49"/>
      <c r="E102" s="49"/>
      <c r="F102" s="49"/>
      <c r="W102" s="59"/>
    </row>
    <row r="103" spans="1:37" ht="12.75">
      <c r="D103" s="49"/>
      <c r="E103" s="49"/>
      <c r="F103" s="49"/>
      <c r="W103" s="59"/>
    </row>
    <row r="104" spans="1:37" ht="12.75">
      <c r="D104" s="49"/>
      <c r="E104" s="49"/>
      <c r="F104" s="49"/>
      <c r="W104" s="59"/>
    </row>
    <row r="105" spans="1:37" ht="12.75">
      <c r="D105" s="49"/>
      <c r="E105" s="49"/>
      <c r="F105" s="49"/>
      <c r="W105" s="59"/>
    </row>
    <row r="106" spans="1:37" ht="12.75">
      <c r="D106" s="49"/>
      <c r="E106" s="49"/>
      <c r="F106" s="49"/>
      <c r="W106" s="59"/>
    </row>
    <row r="107" spans="1:37" ht="12.75">
      <c r="D107" s="49"/>
      <c r="E107" s="49"/>
      <c r="F107" s="49"/>
      <c r="W107" s="59"/>
    </row>
    <row r="108" spans="1:37" ht="12.75">
      <c r="D108" s="49"/>
      <c r="E108" s="49"/>
      <c r="F108" s="49"/>
      <c r="W108" s="59"/>
    </row>
    <row r="109" spans="1:37" ht="12.75">
      <c r="D109" s="49"/>
      <c r="E109" s="49"/>
      <c r="F109" s="49"/>
      <c r="W109" s="59"/>
    </row>
    <row r="110" spans="1:37" ht="12.75">
      <c r="D110" s="49"/>
      <c r="E110" s="49"/>
      <c r="F110" s="49"/>
      <c r="W110" s="59"/>
    </row>
    <row r="111" spans="1:37" ht="12.75">
      <c r="D111" s="49"/>
      <c r="E111" s="49"/>
      <c r="F111" s="49"/>
      <c r="W111" s="59"/>
    </row>
    <row r="112" spans="1:37" ht="12.75">
      <c r="D112" s="49"/>
      <c r="E112" s="49"/>
      <c r="F112" s="49"/>
      <c r="W112" s="59"/>
    </row>
    <row r="113" spans="4:23" ht="12.75">
      <c r="D113" s="49"/>
      <c r="E113" s="49"/>
      <c r="F113" s="49"/>
      <c r="W113" s="59"/>
    </row>
    <row r="114" spans="4:23" ht="12.75">
      <c r="D114" s="49"/>
      <c r="E114" s="49"/>
      <c r="F114" s="49"/>
      <c r="W114" s="59"/>
    </row>
    <row r="115" spans="4:23" ht="12.75">
      <c r="D115" s="49"/>
      <c r="E115" s="49"/>
      <c r="F115" s="49"/>
      <c r="W115" s="59"/>
    </row>
    <row r="116" spans="4:23" ht="12.75">
      <c r="D116" s="49"/>
      <c r="E116" s="49"/>
      <c r="F116" s="49"/>
      <c r="W116" s="59"/>
    </row>
    <row r="117" spans="4:23" ht="12.75">
      <c r="D117" s="49"/>
      <c r="E117" s="49"/>
      <c r="F117" s="49"/>
      <c r="W117" s="59"/>
    </row>
    <row r="118" spans="4:23" ht="12.75">
      <c r="D118" s="49"/>
      <c r="E118" s="49"/>
      <c r="F118" s="49"/>
      <c r="W118" s="59"/>
    </row>
    <row r="119" spans="4:23" ht="12.75">
      <c r="D119" s="49"/>
      <c r="E119" s="49"/>
      <c r="F119" s="49"/>
      <c r="W119" s="59"/>
    </row>
    <row r="120" spans="4:23" ht="12.75">
      <c r="D120" s="49"/>
      <c r="E120" s="49"/>
      <c r="F120" s="49"/>
      <c r="W120" s="59"/>
    </row>
    <row r="121" spans="4:23" ht="12.75">
      <c r="D121" s="49"/>
      <c r="E121" s="49"/>
      <c r="F121" s="49"/>
      <c r="W121" s="59"/>
    </row>
    <row r="122" spans="4:23" ht="12.75">
      <c r="D122" s="49"/>
      <c r="E122" s="49"/>
      <c r="F122" s="49"/>
      <c r="W122" s="59"/>
    </row>
    <row r="123" spans="4:23" ht="12.75">
      <c r="D123" s="49"/>
      <c r="E123" s="49"/>
      <c r="F123" s="49"/>
      <c r="W123" s="59"/>
    </row>
    <row r="124" spans="4:23" ht="12.75">
      <c r="D124" s="49"/>
      <c r="E124" s="49"/>
      <c r="F124" s="49"/>
      <c r="W124" s="59"/>
    </row>
    <row r="125" spans="4:23" ht="12.75">
      <c r="D125" s="49"/>
      <c r="E125" s="49"/>
      <c r="F125" s="49"/>
      <c r="W125" s="59"/>
    </row>
    <row r="126" spans="4:23" ht="12.75">
      <c r="D126" s="49"/>
      <c r="E126" s="49"/>
      <c r="F126" s="49"/>
      <c r="W126" s="59"/>
    </row>
    <row r="127" spans="4:23" ht="12.75">
      <c r="D127" s="49"/>
      <c r="E127" s="49"/>
      <c r="F127" s="49"/>
      <c r="W127" s="59"/>
    </row>
    <row r="128" spans="4:23" ht="12.75">
      <c r="D128" s="49"/>
      <c r="E128" s="49"/>
      <c r="F128" s="49"/>
      <c r="W128" s="59"/>
    </row>
    <row r="129" spans="4:23" ht="12.75">
      <c r="D129" s="49"/>
      <c r="E129" s="49"/>
      <c r="F129" s="49"/>
      <c r="W129" s="59"/>
    </row>
    <row r="130" spans="4:23" ht="12.75">
      <c r="D130" s="49"/>
      <c r="E130" s="49"/>
      <c r="F130" s="49"/>
      <c r="W130" s="59"/>
    </row>
    <row r="131" spans="4:23" ht="12.75">
      <c r="D131" s="49"/>
      <c r="E131" s="49"/>
      <c r="F131" s="49"/>
      <c r="W131" s="59"/>
    </row>
    <row r="132" spans="4:23" ht="12.75">
      <c r="D132" s="49"/>
      <c r="E132" s="49"/>
      <c r="F132" s="49"/>
      <c r="W132" s="59"/>
    </row>
    <row r="133" spans="4:23" ht="12.75">
      <c r="D133" s="49"/>
      <c r="E133" s="49"/>
      <c r="F133" s="49"/>
      <c r="W133" s="59"/>
    </row>
    <row r="134" spans="4:23" ht="12.75">
      <c r="D134" s="49"/>
      <c r="E134" s="49"/>
      <c r="F134" s="49"/>
      <c r="W134" s="59"/>
    </row>
    <row r="135" spans="4:23" ht="12.75">
      <c r="D135" s="49"/>
      <c r="E135" s="49"/>
      <c r="F135" s="49"/>
      <c r="W135" s="59"/>
    </row>
    <row r="136" spans="4:23" ht="12.75">
      <c r="D136" s="49"/>
      <c r="E136" s="49"/>
      <c r="F136" s="49"/>
      <c r="W136" s="59"/>
    </row>
    <row r="137" spans="4:23" ht="12.75">
      <c r="D137" s="49"/>
      <c r="E137" s="49"/>
      <c r="F137" s="49"/>
      <c r="W137" s="59"/>
    </row>
    <row r="138" spans="4:23" ht="12.75">
      <c r="D138" s="49"/>
      <c r="E138" s="49"/>
      <c r="F138" s="49"/>
      <c r="W138" s="59"/>
    </row>
    <row r="139" spans="4:23" ht="12.75">
      <c r="D139" s="49"/>
      <c r="E139" s="49"/>
      <c r="F139" s="49"/>
      <c r="W139" s="59"/>
    </row>
    <row r="140" spans="4:23" ht="12.75">
      <c r="D140" s="49"/>
      <c r="E140" s="49"/>
      <c r="F140" s="49"/>
      <c r="W140" s="59"/>
    </row>
    <row r="141" spans="4:23" ht="12.75">
      <c r="D141" s="49"/>
      <c r="E141" s="49"/>
      <c r="F141" s="49"/>
      <c r="W141" s="59"/>
    </row>
    <row r="142" spans="4:23" ht="12.75">
      <c r="D142" s="49"/>
      <c r="E142" s="49"/>
      <c r="F142" s="49"/>
      <c r="W142" s="59"/>
    </row>
    <row r="143" spans="4:23" ht="12.75">
      <c r="D143" s="49"/>
      <c r="E143" s="49"/>
      <c r="F143" s="49"/>
      <c r="W143" s="59"/>
    </row>
    <row r="144" spans="4:23" ht="12.75">
      <c r="D144" s="49"/>
      <c r="E144" s="49"/>
      <c r="F144" s="49"/>
      <c r="W144" s="59"/>
    </row>
    <row r="145" spans="4:23" ht="12.75">
      <c r="D145" s="49"/>
      <c r="E145" s="49"/>
      <c r="F145" s="49"/>
      <c r="W145" s="59"/>
    </row>
    <row r="146" spans="4:23" ht="12.75">
      <c r="D146" s="49"/>
      <c r="E146" s="49"/>
      <c r="F146" s="49"/>
      <c r="W146" s="59"/>
    </row>
    <row r="147" spans="4:23" ht="12.75">
      <c r="D147" s="49"/>
      <c r="E147" s="49"/>
      <c r="F147" s="49"/>
      <c r="W147" s="59"/>
    </row>
    <row r="148" spans="4:23" ht="12.75">
      <c r="D148" s="49"/>
      <c r="E148" s="49"/>
      <c r="F148" s="49"/>
      <c r="W148" s="59"/>
    </row>
    <row r="149" spans="4:23" ht="12.75">
      <c r="D149" s="49"/>
      <c r="E149" s="49"/>
      <c r="F149" s="49"/>
      <c r="W149" s="59"/>
    </row>
    <row r="150" spans="4:23" ht="12.75">
      <c r="D150" s="49"/>
      <c r="E150" s="49"/>
      <c r="F150" s="49"/>
      <c r="W150" s="59"/>
    </row>
    <row r="151" spans="4:23" ht="12.75">
      <c r="D151" s="49"/>
      <c r="E151" s="49"/>
      <c r="F151" s="49"/>
      <c r="W151" s="59"/>
    </row>
    <row r="152" spans="4:23" ht="12.75">
      <c r="D152" s="49"/>
      <c r="E152" s="49"/>
      <c r="F152" s="49"/>
      <c r="W152" s="59"/>
    </row>
    <row r="153" spans="4:23" ht="12.75">
      <c r="D153" s="49"/>
      <c r="E153" s="49"/>
      <c r="F153" s="49"/>
      <c r="W153" s="59"/>
    </row>
    <row r="154" spans="4:23" ht="12.75">
      <c r="D154" s="49"/>
      <c r="E154" s="49"/>
      <c r="F154" s="49"/>
      <c r="W154" s="59"/>
    </row>
    <row r="155" spans="4:23" ht="12.75">
      <c r="D155" s="49"/>
      <c r="E155" s="49"/>
      <c r="F155" s="49"/>
      <c r="W155" s="59"/>
    </row>
    <row r="156" spans="4:23" ht="12.75">
      <c r="D156" s="49"/>
      <c r="E156" s="49"/>
      <c r="F156" s="49"/>
      <c r="W156" s="59"/>
    </row>
    <row r="157" spans="4:23" ht="12.75">
      <c r="D157" s="49"/>
      <c r="E157" s="49"/>
      <c r="F157" s="49"/>
      <c r="W157" s="59"/>
    </row>
    <row r="158" spans="4:23" ht="12.75">
      <c r="D158" s="49"/>
      <c r="E158" s="49"/>
      <c r="F158" s="49"/>
      <c r="W158" s="59"/>
    </row>
    <row r="159" spans="4:23" ht="12.75">
      <c r="D159" s="49"/>
      <c r="E159" s="49"/>
      <c r="F159" s="49"/>
      <c r="W159" s="59"/>
    </row>
    <row r="160" spans="4:23" ht="12.75">
      <c r="D160" s="49"/>
      <c r="E160" s="49"/>
      <c r="F160" s="49"/>
      <c r="W160" s="59"/>
    </row>
    <row r="161" spans="4:23" ht="12.75">
      <c r="D161" s="49"/>
      <c r="E161" s="49"/>
      <c r="F161" s="49"/>
      <c r="W161" s="59"/>
    </row>
    <row r="162" spans="4:23" ht="12.75">
      <c r="D162" s="49"/>
      <c r="E162" s="49"/>
      <c r="F162" s="49"/>
      <c r="W162" s="59"/>
    </row>
    <row r="163" spans="4:23" ht="12.75">
      <c r="D163" s="49"/>
      <c r="E163" s="49"/>
      <c r="F163" s="49"/>
      <c r="W163" s="59"/>
    </row>
    <row r="164" spans="4:23" ht="12.75">
      <c r="D164" s="49"/>
      <c r="E164" s="49"/>
      <c r="F164" s="49"/>
      <c r="W164" s="59"/>
    </row>
    <row r="165" spans="4:23" ht="12.75">
      <c r="D165" s="49"/>
      <c r="E165" s="49"/>
      <c r="F165" s="49"/>
      <c r="W165" s="59"/>
    </row>
    <row r="166" spans="4:23" ht="12.75">
      <c r="D166" s="49"/>
      <c r="E166" s="49"/>
      <c r="F166" s="49"/>
      <c r="W166" s="59"/>
    </row>
    <row r="167" spans="4:23" ht="12.75">
      <c r="D167" s="49"/>
      <c r="E167" s="49"/>
      <c r="F167" s="49"/>
      <c r="W167" s="59"/>
    </row>
    <row r="168" spans="4:23" ht="12.75">
      <c r="D168" s="49"/>
      <c r="E168" s="49"/>
      <c r="F168" s="49"/>
      <c r="W168" s="59"/>
    </row>
    <row r="169" spans="4:23" ht="12.75">
      <c r="D169" s="49"/>
      <c r="E169" s="49"/>
      <c r="F169" s="49"/>
      <c r="W169" s="59"/>
    </row>
    <row r="170" spans="4:23" ht="12.75">
      <c r="D170" s="49"/>
      <c r="E170" s="49"/>
      <c r="F170" s="49"/>
      <c r="W170" s="59"/>
    </row>
    <row r="171" spans="4:23" ht="12.75">
      <c r="D171" s="49"/>
      <c r="E171" s="49"/>
      <c r="F171" s="49"/>
      <c r="W171" s="59"/>
    </row>
    <row r="172" spans="4:23" ht="12.75">
      <c r="D172" s="49"/>
      <c r="E172" s="49"/>
      <c r="F172" s="49"/>
      <c r="W172" s="59"/>
    </row>
    <row r="173" spans="4:23" ht="12.75">
      <c r="D173" s="49"/>
      <c r="E173" s="49"/>
      <c r="F173" s="49"/>
      <c r="W173" s="59"/>
    </row>
    <row r="174" spans="4:23" ht="12.75">
      <c r="D174" s="49"/>
      <c r="E174" s="49"/>
      <c r="F174" s="49"/>
      <c r="W174" s="59"/>
    </row>
    <row r="175" spans="4:23" ht="12.75">
      <c r="D175" s="49"/>
      <c r="E175" s="49"/>
      <c r="F175" s="49"/>
      <c r="W175" s="59"/>
    </row>
    <row r="176" spans="4:23" ht="12.75">
      <c r="D176" s="49"/>
      <c r="E176" s="49"/>
      <c r="F176" s="49"/>
      <c r="W176" s="59"/>
    </row>
    <row r="177" spans="4:23" ht="12.75">
      <c r="D177" s="49"/>
      <c r="E177" s="49"/>
      <c r="F177" s="49"/>
      <c r="W177" s="59"/>
    </row>
    <row r="178" spans="4:23" ht="12.75">
      <c r="D178" s="49"/>
      <c r="E178" s="49"/>
      <c r="F178" s="49"/>
      <c r="W178" s="59"/>
    </row>
    <row r="179" spans="4:23" ht="12.75">
      <c r="D179" s="49"/>
      <c r="E179" s="49"/>
      <c r="F179" s="49"/>
      <c r="W179" s="59"/>
    </row>
    <row r="180" spans="4:23" ht="12.75">
      <c r="D180" s="49"/>
      <c r="E180" s="49"/>
      <c r="F180" s="49"/>
      <c r="W180" s="59"/>
    </row>
    <row r="181" spans="4:23" ht="12.75">
      <c r="D181" s="49"/>
      <c r="E181" s="49"/>
      <c r="F181" s="49"/>
      <c r="W181" s="59"/>
    </row>
    <row r="182" spans="4:23" ht="12.75">
      <c r="D182" s="49"/>
      <c r="E182" s="49"/>
      <c r="F182" s="49"/>
      <c r="W182" s="59"/>
    </row>
    <row r="183" spans="4:23" ht="12.75">
      <c r="D183" s="49"/>
      <c r="E183" s="49"/>
      <c r="F183" s="49"/>
      <c r="W183" s="59"/>
    </row>
    <row r="184" spans="4:23" ht="12.75">
      <c r="D184" s="49"/>
      <c r="E184" s="49"/>
      <c r="F184" s="49"/>
      <c r="W184" s="59"/>
    </row>
    <row r="185" spans="4:23" ht="12.75">
      <c r="D185" s="49"/>
      <c r="E185" s="49"/>
      <c r="F185" s="49"/>
      <c r="W185" s="59"/>
    </row>
    <row r="186" spans="4:23" ht="12.75">
      <c r="D186" s="49"/>
      <c r="E186" s="49"/>
      <c r="F186" s="49"/>
      <c r="W186" s="59"/>
    </row>
    <row r="187" spans="4:23" ht="12.75">
      <c r="D187" s="49"/>
      <c r="E187" s="49"/>
      <c r="F187" s="49"/>
      <c r="W187" s="59"/>
    </row>
    <row r="188" spans="4:23" ht="12.75">
      <c r="D188" s="49"/>
      <c r="E188" s="49"/>
      <c r="F188" s="49"/>
      <c r="W188" s="59"/>
    </row>
    <row r="189" spans="4:23" ht="12.75">
      <c r="D189" s="49"/>
      <c r="E189" s="49"/>
      <c r="F189" s="49"/>
      <c r="W189" s="59"/>
    </row>
    <row r="190" spans="4:23" ht="12.75">
      <c r="D190" s="49"/>
      <c r="E190" s="49"/>
      <c r="F190" s="49"/>
      <c r="W190" s="59"/>
    </row>
    <row r="191" spans="4:23" ht="12.75">
      <c r="D191" s="49"/>
      <c r="E191" s="49"/>
      <c r="F191" s="49"/>
      <c r="W191" s="59"/>
    </row>
    <row r="192" spans="4:23" ht="12.75">
      <c r="D192" s="49"/>
      <c r="E192" s="49"/>
      <c r="F192" s="49"/>
      <c r="W192" s="59"/>
    </row>
    <row r="193" spans="4:23" ht="12.75">
      <c r="D193" s="49"/>
      <c r="E193" s="49"/>
      <c r="F193" s="49"/>
      <c r="W193" s="59"/>
    </row>
    <row r="194" spans="4:23" ht="12.75">
      <c r="D194" s="49"/>
      <c r="E194" s="49"/>
      <c r="F194" s="49"/>
      <c r="W194" s="59"/>
    </row>
    <row r="195" spans="4:23" ht="12.75">
      <c r="D195" s="49"/>
      <c r="E195" s="49"/>
      <c r="F195" s="49"/>
      <c r="W195" s="59"/>
    </row>
    <row r="196" spans="4:23" ht="12.75">
      <c r="D196" s="49"/>
      <c r="E196" s="49"/>
      <c r="F196" s="49"/>
      <c r="W196" s="59"/>
    </row>
    <row r="197" spans="4:23" ht="12.75">
      <c r="D197" s="49"/>
      <c r="E197" s="49"/>
      <c r="F197" s="49"/>
      <c r="W197" s="59"/>
    </row>
    <row r="198" spans="4:23" ht="12.75">
      <c r="D198" s="49"/>
      <c r="E198" s="49"/>
      <c r="F198" s="49"/>
      <c r="W198" s="59"/>
    </row>
    <row r="199" spans="4:23" ht="12.75">
      <c r="D199" s="49"/>
      <c r="E199" s="49"/>
      <c r="F199" s="49"/>
      <c r="W199" s="59"/>
    </row>
    <row r="200" spans="4:23" ht="12.75">
      <c r="D200" s="49"/>
      <c r="E200" s="49"/>
      <c r="F200" s="49"/>
      <c r="W200" s="59"/>
    </row>
    <row r="201" spans="4:23" ht="12.75">
      <c r="D201" s="49"/>
      <c r="E201" s="49"/>
      <c r="F201" s="49"/>
      <c r="W201" s="59"/>
    </row>
    <row r="202" spans="4:23" ht="12.75">
      <c r="D202" s="49"/>
      <c r="E202" s="49"/>
      <c r="F202" s="49"/>
      <c r="W202" s="59"/>
    </row>
    <row r="203" spans="4:23" ht="12.75">
      <c r="D203" s="49"/>
      <c r="E203" s="49"/>
      <c r="F203" s="49"/>
      <c r="W203" s="59"/>
    </row>
    <row r="204" spans="4:23" ht="12.75">
      <c r="D204" s="49"/>
      <c r="E204" s="49"/>
      <c r="F204" s="49"/>
      <c r="W204" s="59"/>
    </row>
    <row r="205" spans="4:23" ht="12.75">
      <c r="D205" s="49"/>
      <c r="E205" s="49"/>
      <c r="F205" s="49"/>
      <c r="W205" s="59"/>
    </row>
    <row r="206" spans="4:23" ht="12.75">
      <c r="D206" s="49"/>
      <c r="E206" s="49"/>
      <c r="F206" s="49"/>
      <c r="W206" s="59"/>
    </row>
    <row r="207" spans="4:23" ht="12.75">
      <c r="D207" s="49"/>
      <c r="E207" s="49"/>
      <c r="F207" s="49"/>
      <c r="W207" s="59"/>
    </row>
    <row r="208" spans="4:23" ht="12.75">
      <c r="D208" s="49"/>
      <c r="E208" s="49"/>
      <c r="F208" s="49"/>
      <c r="W208" s="59"/>
    </row>
    <row r="209" spans="4:23" ht="12.75">
      <c r="D209" s="49"/>
      <c r="E209" s="49"/>
      <c r="F209" s="49"/>
      <c r="W209" s="59"/>
    </row>
    <row r="210" spans="4:23" ht="12.75">
      <c r="D210" s="49"/>
      <c r="E210" s="49"/>
      <c r="F210" s="49"/>
      <c r="W210" s="59"/>
    </row>
    <row r="211" spans="4:23" ht="12.75">
      <c r="D211" s="49"/>
      <c r="E211" s="49"/>
      <c r="F211" s="49"/>
      <c r="W211" s="59"/>
    </row>
    <row r="212" spans="4:23" ht="12.75">
      <c r="D212" s="49"/>
      <c r="E212" s="49"/>
      <c r="F212" s="49"/>
      <c r="W212" s="59"/>
    </row>
    <row r="213" spans="4:23" ht="12.75">
      <c r="D213" s="49"/>
      <c r="E213" s="49"/>
      <c r="F213" s="49"/>
      <c r="W213" s="59"/>
    </row>
    <row r="214" spans="4:23" ht="12.75">
      <c r="D214" s="49"/>
      <c r="E214" s="49"/>
      <c r="F214" s="49"/>
      <c r="W214" s="59"/>
    </row>
    <row r="215" spans="4:23" ht="12.75">
      <c r="D215" s="49"/>
      <c r="E215" s="49"/>
      <c r="F215" s="49"/>
      <c r="W215" s="59"/>
    </row>
    <row r="216" spans="4:23" ht="12.75">
      <c r="D216" s="49"/>
      <c r="E216" s="49"/>
      <c r="F216" s="49"/>
      <c r="W216" s="59"/>
    </row>
    <row r="217" spans="4:23" ht="12.75">
      <c r="D217" s="49"/>
      <c r="E217" s="49"/>
      <c r="F217" s="49"/>
      <c r="W217" s="59"/>
    </row>
    <row r="218" spans="4:23" ht="12.75">
      <c r="D218" s="49"/>
      <c r="E218" s="49"/>
      <c r="F218" s="49"/>
      <c r="W218" s="59"/>
    </row>
    <row r="219" spans="4:23" ht="12.75">
      <c r="D219" s="49"/>
      <c r="E219" s="49"/>
      <c r="F219" s="49"/>
      <c r="W219" s="59"/>
    </row>
    <row r="220" spans="4:23" ht="12.75">
      <c r="D220" s="49"/>
      <c r="E220" s="49"/>
      <c r="F220" s="49"/>
      <c r="W220" s="59"/>
    </row>
    <row r="221" spans="4:23" ht="12.75">
      <c r="D221" s="49"/>
      <c r="E221" s="49"/>
      <c r="F221" s="49"/>
      <c r="W221" s="59"/>
    </row>
    <row r="222" spans="4:23" ht="12.75">
      <c r="D222" s="49"/>
      <c r="E222" s="49"/>
      <c r="F222" s="49"/>
      <c r="W222" s="59"/>
    </row>
    <row r="223" spans="4:23" ht="12.75">
      <c r="D223" s="49"/>
      <c r="E223" s="49"/>
      <c r="F223" s="49"/>
      <c r="W223" s="59"/>
    </row>
    <row r="224" spans="4:23" ht="12.75">
      <c r="D224" s="49"/>
      <c r="E224" s="49"/>
      <c r="F224" s="49"/>
      <c r="W224" s="59"/>
    </row>
    <row r="225" spans="4:23" ht="12.75">
      <c r="D225" s="49"/>
      <c r="E225" s="49"/>
      <c r="F225" s="49"/>
      <c r="W225" s="59"/>
    </row>
    <row r="226" spans="4:23" ht="12.75">
      <c r="D226" s="49"/>
      <c r="E226" s="49"/>
      <c r="F226" s="49"/>
      <c r="W226" s="59"/>
    </row>
    <row r="227" spans="4:23" ht="12.75">
      <c r="D227" s="49"/>
      <c r="E227" s="49"/>
      <c r="F227" s="49"/>
      <c r="W227" s="59"/>
    </row>
    <row r="228" spans="4:23" ht="12.75">
      <c r="D228" s="49"/>
      <c r="E228" s="49"/>
      <c r="F228" s="49"/>
      <c r="W228" s="59"/>
    </row>
    <row r="229" spans="4:23" ht="12.75">
      <c r="D229" s="49"/>
      <c r="E229" s="49"/>
      <c r="F229" s="49"/>
      <c r="W229" s="59"/>
    </row>
    <row r="230" spans="4:23" ht="12.75">
      <c r="D230" s="49"/>
      <c r="E230" s="49"/>
      <c r="F230" s="49"/>
      <c r="W230" s="59"/>
    </row>
    <row r="231" spans="4:23" ht="12.75">
      <c r="D231" s="49"/>
      <c r="E231" s="49"/>
      <c r="F231" s="49"/>
      <c r="W231" s="59"/>
    </row>
    <row r="232" spans="4:23" ht="12.75">
      <c r="D232" s="49"/>
      <c r="E232" s="49"/>
      <c r="F232" s="49"/>
      <c r="W232" s="59"/>
    </row>
    <row r="233" spans="4:23" ht="12.75">
      <c r="D233" s="49"/>
      <c r="E233" s="49"/>
      <c r="F233" s="49"/>
      <c r="W233" s="59"/>
    </row>
    <row r="234" spans="4:23" ht="12.75">
      <c r="D234" s="49"/>
      <c r="E234" s="49"/>
      <c r="F234" s="49"/>
      <c r="W234" s="59"/>
    </row>
    <row r="235" spans="4:23" ht="12.75">
      <c r="D235" s="49"/>
      <c r="E235" s="49"/>
      <c r="F235" s="49"/>
      <c r="W235" s="59"/>
    </row>
    <row r="236" spans="4:23" ht="12.75">
      <c r="D236" s="49"/>
      <c r="E236" s="49"/>
      <c r="F236" s="49"/>
      <c r="W236" s="59"/>
    </row>
    <row r="237" spans="4:23" ht="12.75">
      <c r="D237" s="49"/>
      <c r="E237" s="49"/>
      <c r="F237" s="49"/>
      <c r="W237" s="59"/>
    </row>
    <row r="238" spans="4:23" ht="12.75">
      <c r="D238" s="49"/>
      <c r="E238" s="49"/>
      <c r="F238" s="49"/>
      <c r="W238" s="59"/>
    </row>
    <row r="239" spans="4:23" ht="12.75">
      <c r="D239" s="49"/>
      <c r="E239" s="49"/>
      <c r="F239" s="49"/>
      <c r="W239" s="59"/>
    </row>
    <row r="240" spans="4:23" ht="12.75">
      <c r="D240" s="49"/>
      <c r="E240" s="49"/>
      <c r="F240" s="49"/>
      <c r="W240" s="59"/>
    </row>
    <row r="241" spans="4:23" ht="12.75">
      <c r="D241" s="49"/>
      <c r="E241" s="49"/>
      <c r="F241" s="49"/>
      <c r="W241" s="59"/>
    </row>
    <row r="242" spans="4:23" ht="12.75">
      <c r="D242" s="49"/>
      <c r="E242" s="49"/>
      <c r="F242" s="49"/>
      <c r="W242" s="59"/>
    </row>
    <row r="243" spans="4:23" ht="12.75">
      <c r="D243" s="49"/>
      <c r="E243" s="49"/>
      <c r="F243" s="49"/>
      <c r="W243" s="59"/>
    </row>
    <row r="244" spans="4:23" ht="12.75">
      <c r="D244" s="49"/>
      <c r="E244" s="49"/>
      <c r="F244" s="49"/>
      <c r="W244" s="59"/>
    </row>
    <row r="245" spans="4:23" ht="12.75">
      <c r="D245" s="49"/>
      <c r="E245" s="49"/>
      <c r="F245" s="49"/>
      <c r="W245" s="59"/>
    </row>
    <row r="246" spans="4:23" ht="12.75">
      <c r="D246" s="49"/>
      <c r="E246" s="49"/>
      <c r="F246" s="49"/>
      <c r="W246" s="59"/>
    </row>
    <row r="247" spans="4:23" ht="12.75">
      <c r="D247" s="49"/>
      <c r="E247" s="49"/>
      <c r="F247" s="49"/>
      <c r="W247" s="59"/>
    </row>
    <row r="248" spans="4:23" ht="12.75">
      <c r="D248" s="49"/>
      <c r="E248" s="49"/>
      <c r="F248" s="49"/>
      <c r="W248" s="59"/>
    </row>
    <row r="249" spans="4:23" ht="12.75">
      <c r="D249" s="49"/>
      <c r="E249" s="49"/>
      <c r="F249" s="49"/>
      <c r="W249" s="59"/>
    </row>
    <row r="250" spans="4:23" ht="12.75">
      <c r="D250" s="49"/>
      <c r="E250" s="49"/>
      <c r="F250" s="49"/>
      <c r="W250" s="59"/>
    </row>
    <row r="251" spans="4:23" ht="12.75">
      <c r="D251" s="49"/>
      <c r="E251" s="49"/>
      <c r="F251" s="49"/>
      <c r="W251" s="59"/>
    </row>
    <row r="252" spans="4:23" ht="12.75">
      <c r="D252" s="49"/>
      <c r="E252" s="49"/>
      <c r="F252" s="49"/>
      <c r="W252" s="59"/>
    </row>
    <row r="253" spans="4:23" ht="12.75">
      <c r="D253" s="49"/>
      <c r="E253" s="49"/>
      <c r="F253" s="49"/>
      <c r="W253" s="59"/>
    </row>
    <row r="254" spans="4:23" ht="12.75">
      <c r="D254" s="49"/>
      <c r="E254" s="49"/>
      <c r="F254" s="49"/>
      <c r="W254" s="59"/>
    </row>
    <row r="255" spans="4:23" ht="12.75">
      <c r="D255" s="49"/>
      <c r="E255" s="49"/>
      <c r="F255" s="49"/>
      <c r="W255" s="59"/>
    </row>
    <row r="256" spans="4:23" ht="12.75">
      <c r="D256" s="49"/>
      <c r="E256" s="49"/>
      <c r="F256" s="49"/>
      <c r="W256" s="59"/>
    </row>
    <row r="257" spans="4:23" ht="12.75">
      <c r="D257" s="49"/>
      <c r="E257" s="49"/>
      <c r="F257" s="49"/>
      <c r="W257" s="59"/>
    </row>
    <row r="258" spans="4:23" ht="12.75">
      <c r="D258" s="49"/>
      <c r="E258" s="49"/>
      <c r="F258" s="49"/>
      <c r="W258" s="59"/>
    </row>
    <row r="259" spans="4:23" ht="12.75">
      <c r="D259" s="49"/>
      <c r="E259" s="49"/>
      <c r="F259" s="49"/>
      <c r="W259" s="59"/>
    </row>
    <row r="260" spans="4:23" ht="12.75">
      <c r="D260" s="49"/>
      <c r="E260" s="49"/>
      <c r="F260" s="49"/>
      <c r="W260" s="59"/>
    </row>
    <row r="261" spans="4:23" ht="12.75">
      <c r="D261" s="49"/>
      <c r="E261" s="49"/>
      <c r="F261" s="49"/>
      <c r="W261" s="59"/>
    </row>
    <row r="262" spans="4:23" ht="12.75">
      <c r="D262" s="49"/>
      <c r="E262" s="49"/>
      <c r="F262" s="49"/>
      <c r="W262" s="59"/>
    </row>
    <row r="263" spans="4:23" ht="12.75">
      <c r="D263" s="49"/>
      <c r="E263" s="49"/>
      <c r="F263" s="49"/>
      <c r="W263" s="59"/>
    </row>
    <row r="264" spans="4:23" ht="12.75">
      <c r="D264" s="49"/>
      <c r="E264" s="49"/>
      <c r="F264" s="49"/>
      <c r="W264" s="59"/>
    </row>
    <row r="265" spans="4:23" ht="12.75">
      <c r="D265" s="49"/>
      <c r="E265" s="49"/>
      <c r="F265" s="49"/>
      <c r="W265" s="59"/>
    </row>
    <row r="266" spans="4:23" ht="12.75">
      <c r="D266" s="49"/>
      <c r="E266" s="49"/>
      <c r="F266" s="49"/>
      <c r="W266" s="59"/>
    </row>
    <row r="267" spans="4:23" ht="12.75">
      <c r="D267" s="49"/>
      <c r="E267" s="49"/>
      <c r="F267" s="49"/>
      <c r="W267" s="59"/>
    </row>
    <row r="268" spans="4:23" ht="12.75">
      <c r="D268" s="49"/>
      <c r="E268" s="49"/>
      <c r="F268" s="49"/>
      <c r="W268" s="59"/>
    </row>
    <row r="269" spans="4:23" ht="12.75">
      <c r="D269" s="49"/>
      <c r="E269" s="49"/>
      <c r="F269" s="49"/>
      <c r="W269" s="59"/>
    </row>
    <row r="270" spans="4:23" ht="12.75">
      <c r="D270" s="49"/>
      <c r="E270" s="49"/>
      <c r="F270" s="49"/>
      <c r="W270" s="59"/>
    </row>
    <row r="271" spans="4:23" ht="12.75">
      <c r="D271" s="49"/>
      <c r="E271" s="49"/>
      <c r="F271" s="49"/>
      <c r="W271" s="59"/>
    </row>
    <row r="272" spans="4:23" ht="12.75">
      <c r="D272" s="49"/>
      <c r="E272" s="49"/>
      <c r="F272" s="49"/>
      <c r="W272" s="59"/>
    </row>
    <row r="273" spans="4:23" ht="12.75">
      <c r="D273" s="49"/>
      <c r="E273" s="49"/>
      <c r="F273" s="49"/>
      <c r="W273" s="59"/>
    </row>
    <row r="274" spans="4:23" ht="12.75">
      <c r="D274" s="49"/>
      <c r="E274" s="49"/>
      <c r="F274" s="49"/>
      <c r="W274" s="59"/>
    </row>
    <row r="275" spans="4:23" ht="12.75">
      <c r="D275" s="49"/>
      <c r="E275" s="49"/>
      <c r="F275" s="49"/>
      <c r="W275" s="59"/>
    </row>
    <row r="276" spans="4:23" ht="12.75">
      <c r="D276" s="49"/>
      <c r="E276" s="49"/>
      <c r="F276" s="49"/>
      <c r="W276" s="59"/>
    </row>
    <row r="277" spans="4:23" ht="12.75">
      <c r="D277" s="49"/>
      <c r="E277" s="49"/>
      <c r="F277" s="49"/>
      <c r="W277" s="59"/>
    </row>
    <row r="278" spans="4:23" ht="12.75">
      <c r="D278" s="49"/>
      <c r="E278" s="49"/>
      <c r="F278" s="49"/>
      <c r="W278" s="59"/>
    </row>
    <row r="279" spans="4:23" ht="12.75">
      <c r="D279" s="49"/>
      <c r="E279" s="49"/>
      <c r="F279" s="49"/>
      <c r="W279" s="59"/>
    </row>
    <row r="280" spans="4:23" ht="12.75">
      <c r="D280" s="49"/>
      <c r="E280" s="49"/>
      <c r="F280" s="49"/>
      <c r="W280" s="59"/>
    </row>
    <row r="281" spans="4:23" ht="12.75">
      <c r="D281" s="49"/>
      <c r="E281" s="49"/>
      <c r="F281" s="49"/>
      <c r="W281" s="59"/>
    </row>
    <row r="282" spans="4:23" ht="12.75">
      <c r="D282" s="49"/>
      <c r="E282" s="49"/>
      <c r="F282" s="49"/>
      <c r="W282" s="59"/>
    </row>
    <row r="283" spans="4:23" ht="12.75">
      <c r="D283" s="49"/>
      <c r="E283" s="49"/>
      <c r="F283" s="49"/>
      <c r="W283" s="59"/>
    </row>
    <row r="284" spans="4:23" ht="12.75">
      <c r="D284" s="49"/>
      <c r="E284" s="49"/>
      <c r="F284" s="49"/>
      <c r="W284" s="59"/>
    </row>
    <row r="285" spans="4:23" ht="12.75">
      <c r="D285" s="49"/>
      <c r="E285" s="49"/>
      <c r="F285" s="49"/>
      <c r="W285" s="59"/>
    </row>
    <row r="286" spans="4:23" ht="12.75">
      <c r="D286" s="49"/>
      <c r="E286" s="49"/>
      <c r="F286" s="49"/>
      <c r="W286" s="59"/>
    </row>
    <row r="287" spans="4:23" ht="12.75">
      <c r="D287" s="49"/>
      <c r="E287" s="49"/>
      <c r="F287" s="49"/>
      <c r="W287" s="59"/>
    </row>
    <row r="288" spans="4:23" ht="12.75">
      <c r="D288" s="49"/>
      <c r="E288" s="49"/>
      <c r="F288" s="49"/>
      <c r="W288" s="59"/>
    </row>
    <row r="289" spans="4:23" ht="12.75">
      <c r="D289" s="49"/>
      <c r="E289" s="49"/>
      <c r="F289" s="49"/>
      <c r="W289" s="59"/>
    </row>
    <row r="290" spans="4:23" ht="12.75">
      <c r="D290" s="49"/>
      <c r="E290" s="49"/>
      <c r="F290" s="49"/>
      <c r="W290" s="59"/>
    </row>
    <row r="291" spans="4:23" ht="12.75">
      <c r="D291" s="49"/>
      <c r="E291" s="49"/>
      <c r="F291" s="49"/>
      <c r="W291" s="59"/>
    </row>
    <row r="292" spans="4:23" ht="12.75">
      <c r="D292" s="49"/>
      <c r="E292" s="49"/>
      <c r="F292" s="49"/>
      <c r="W292" s="59"/>
    </row>
    <row r="293" spans="4:23" ht="12.75">
      <c r="D293" s="49"/>
      <c r="E293" s="49"/>
      <c r="F293" s="49"/>
      <c r="W293" s="59"/>
    </row>
    <row r="294" spans="4:23" ht="12.75">
      <c r="D294" s="49"/>
      <c r="E294" s="49"/>
      <c r="F294" s="49"/>
      <c r="W294" s="59"/>
    </row>
    <row r="295" spans="4:23" ht="12.75">
      <c r="D295" s="49"/>
      <c r="E295" s="49"/>
      <c r="F295" s="49"/>
      <c r="W295" s="59"/>
    </row>
    <row r="296" spans="4:23" ht="12.75">
      <c r="D296" s="49"/>
      <c r="E296" s="49"/>
      <c r="F296" s="49"/>
      <c r="W296" s="59"/>
    </row>
    <row r="297" spans="4:23" ht="12.75">
      <c r="D297" s="49"/>
      <c r="E297" s="49"/>
      <c r="F297" s="49"/>
      <c r="W297" s="59"/>
    </row>
    <row r="298" spans="4:23" ht="12.75">
      <c r="D298" s="49"/>
      <c r="E298" s="49"/>
      <c r="F298" s="49"/>
      <c r="W298" s="59"/>
    </row>
    <row r="299" spans="4:23" ht="12.75">
      <c r="D299" s="49"/>
      <c r="E299" s="49"/>
      <c r="F299" s="49"/>
      <c r="W299" s="59"/>
    </row>
    <row r="300" spans="4:23" ht="12.75">
      <c r="D300" s="49"/>
      <c r="E300" s="49"/>
      <c r="F300" s="49"/>
      <c r="W300" s="59"/>
    </row>
    <row r="301" spans="4:23" ht="12.75">
      <c r="D301" s="49"/>
      <c r="E301" s="49"/>
      <c r="F301" s="49"/>
      <c r="W301" s="59"/>
    </row>
    <row r="302" spans="4:23" ht="12.75">
      <c r="D302" s="49"/>
      <c r="E302" s="49"/>
      <c r="F302" s="49"/>
      <c r="W302" s="59"/>
    </row>
    <row r="303" spans="4:23" ht="12.75">
      <c r="D303" s="49"/>
      <c r="E303" s="49"/>
      <c r="F303" s="49"/>
      <c r="W303" s="59"/>
    </row>
    <row r="304" spans="4:23" ht="12.75">
      <c r="D304" s="49"/>
      <c r="E304" s="49"/>
      <c r="F304" s="49"/>
      <c r="W304" s="59"/>
    </row>
    <row r="305" spans="4:23" ht="12.75">
      <c r="D305" s="49"/>
      <c r="E305" s="49"/>
      <c r="F305" s="49"/>
      <c r="W305" s="59"/>
    </row>
    <row r="306" spans="4:23" ht="12.75">
      <c r="D306" s="49"/>
      <c r="E306" s="49"/>
      <c r="F306" s="49"/>
      <c r="W306" s="59"/>
    </row>
    <row r="307" spans="4:23" ht="12.75">
      <c r="D307" s="49"/>
      <c r="E307" s="49"/>
      <c r="F307" s="49"/>
      <c r="W307" s="59"/>
    </row>
    <row r="308" spans="4:23" ht="12.75">
      <c r="D308" s="49"/>
      <c r="E308" s="49"/>
      <c r="F308" s="49"/>
      <c r="W308" s="59"/>
    </row>
    <row r="309" spans="4:23" ht="12.75">
      <c r="D309" s="49"/>
      <c r="E309" s="49"/>
      <c r="F309" s="49"/>
      <c r="W309" s="59"/>
    </row>
    <row r="310" spans="4:23" ht="12.75">
      <c r="D310" s="49"/>
      <c r="E310" s="49"/>
      <c r="F310" s="49"/>
      <c r="W310" s="59"/>
    </row>
    <row r="311" spans="4:23" ht="12.75">
      <c r="D311" s="49"/>
      <c r="E311" s="49"/>
      <c r="F311" s="49"/>
      <c r="W311" s="59"/>
    </row>
    <row r="312" spans="4:23" ht="12.75">
      <c r="D312" s="49"/>
      <c r="E312" s="49"/>
      <c r="F312" s="49"/>
      <c r="W312" s="59"/>
    </row>
    <row r="313" spans="4:23" ht="12.75">
      <c r="D313" s="49"/>
      <c r="E313" s="49"/>
      <c r="F313" s="49"/>
      <c r="W313" s="59"/>
    </row>
    <row r="314" spans="4:23" ht="12.75">
      <c r="D314" s="49"/>
      <c r="E314" s="49"/>
      <c r="F314" s="49"/>
      <c r="W314" s="59"/>
    </row>
    <row r="315" spans="4:23" ht="12.75">
      <c r="D315" s="49"/>
      <c r="E315" s="49"/>
      <c r="F315" s="49"/>
      <c r="W315" s="59"/>
    </row>
    <row r="316" spans="4:23" ht="12.75">
      <c r="D316" s="49"/>
      <c r="E316" s="49"/>
      <c r="F316" s="49"/>
      <c r="W316" s="59"/>
    </row>
    <row r="317" spans="4:23" ht="12.75">
      <c r="D317" s="49"/>
      <c r="E317" s="49"/>
      <c r="F317" s="49"/>
      <c r="W317" s="59"/>
    </row>
    <row r="318" spans="4:23" ht="12.75">
      <c r="D318" s="49"/>
      <c r="E318" s="49"/>
      <c r="F318" s="49"/>
      <c r="W318" s="59"/>
    </row>
    <row r="319" spans="4:23" ht="12.75">
      <c r="D319" s="49"/>
      <c r="E319" s="49"/>
      <c r="F319" s="49"/>
      <c r="W319" s="59"/>
    </row>
    <row r="320" spans="4:23" ht="12.75">
      <c r="D320" s="49"/>
      <c r="E320" s="49"/>
      <c r="F320" s="49"/>
      <c r="W320" s="59"/>
    </row>
    <row r="321" spans="4:23" ht="12.75">
      <c r="D321" s="49"/>
      <c r="E321" s="49"/>
      <c r="F321" s="49"/>
      <c r="W321" s="59"/>
    </row>
    <row r="322" spans="4:23" ht="12.75">
      <c r="D322" s="49"/>
      <c r="E322" s="49"/>
      <c r="F322" s="49"/>
      <c r="W322" s="59"/>
    </row>
    <row r="323" spans="4:23" ht="12.75">
      <c r="D323" s="49"/>
      <c r="E323" s="49"/>
      <c r="F323" s="49"/>
      <c r="W323" s="59"/>
    </row>
    <row r="324" spans="4:23" ht="12.75">
      <c r="D324" s="49"/>
      <c r="E324" s="49"/>
      <c r="F324" s="49"/>
      <c r="W324" s="59"/>
    </row>
    <row r="325" spans="4:23" ht="12.75">
      <c r="D325" s="49"/>
      <c r="E325" s="49"/>
      <c r="F325" s="49"/>
      <c r="W325" s="59"/>
    </row>
    <row r="326" spans="4:23" ht="12.75">
      <c r="D326" s="49"/>
      <c r="E326" s="49"/>
      <c r="F326" s="49"/>
      <c r="W326" s="59"/>
    </row>
    <row r="327" spans="4:23" ht="12.75">
      <c r="D327" s="49"/>
      <c r="E327" s="49"/>
      <c r="F327" s="49"/>
      <c r="W327" s="59"/>
    </row>
    <row r="328" spans="4:23" ht="12.75">
      <c r="D328" s="49"/>
      <c r="E328" s="49"/>
      <c r="F328" s="49"/>
      <c r="W328" s="59"/>
    </row>
    <row r="329" spans="4:23" ht="12.75">
      <c r="D329" s="49"/>
      <c r="E329" s="49"/>
      <c r="F329" s="49"/>
      <c r="W329" s="59"/>
    </row>
    <row r="330" spans="4:23" ht="12.75">
      <c r="D330" s="49"/>
      <c r="E330" s="49"/>
      <c r="F330" s="49"/>
      <c r="W330" s="59"/>
    </row>
    <row r="331" spans="4:23" ht="12.75">
      <c r="D331" s="49"/>
      <c r="E331" s="49"/>
      <c r="F331" s="49"/>
      <c r="W331" s="59"/>
    </row>
    <row r="332" spans="4:23" ht="12.75">
      <c r="D332" s="49"/>
      <c r="E332" s="49"/>
      <c r="F332" s="49"/>
      <c r="W332" s="59"/>
    </row>
    <row r="333" spans="4:23" ht="12.75">
      <c r="D333" s="49"/>
      <c r="E333" s="49"/>
      <c r="F333" s="49"/>
      <c r="W333" s="59"/>
    </row>
    <row r="334" spans="4:23" ht="12.75">
      <c r="D334" s="49"/>
      <c r="E334" s="49"/>
      <c r="F334" s="49"/>
      <c r="W334" s="59"/>
    </row>
    <row r="335" spans="4:23" ht="12.75">
      <c r="D335" s="49"/>
      <c r="E335" s="49"/>
      <c r="F335" s="49"/>
      <c r="W335" s="59"/>
    </row>
    <row r="336" spans="4:23" ht="12.75">
      <c r="D336" s="49"/>
      <c r="E336" s="49"/>
      <c r="F336" s="49"/>
      <c r="W336" s="59"/>
    </row>
    <row r="337" spans="4:23" ht="12.75">
      <c r="D337" s="49"/>
      <c r="E337" s="49"/>
      <c r="F337" s="49"/>
      <c r="W337" s="59"/>
    </row>
    <row r="338" spans="4:23" ht="12.75">
      <c r="D338" s="49"/>
      <c r="E338" s="49"/>
      <c r="F338" s="49"/>
      <c r="W338" s="59"/>
    </row>
    <row r="339" spans="4:23" ht="12.75">
      <c r="D339" s="49"/>
      <c r="E339" s="49"/>
      <c r="F339" s="49"/>
      <c r="W339" s="59"/>
    </row>
    <row r="340" spans="4:23" ht="12.75">
      <c r="D340" s="49"/>
      <c r="E340" s="49"/>
      <c r="F340" s="49"/>
      <c r="W340" s="59"/>
    </row>
    <row r="341" spans="4:23" ht="12.75">
      <c r="D341" s="49"/>
      <c r="E341" s="49"/>
      <c r="F341" s="49"/>
      <c r="W341" s="59"/>
    </row>
    <row r="342" spans="4:23" ht="12.75">
      <c r="D342" s="49"/>
      <c r="E342" s="49"/>
      <c r="F342" s="49"/>
      <c r="W342" s="59"/>
    </row>
    <row r="343" spans="4:23" ht="12.75">
      <c r="D343" s="49"/>
      <c r="E343" s="49"/>
      <c r="F343" s="49"/>
      <c r="W343" s="59"/>
    </row>
    <row r="344" spans="4:23" ht="12.75">
      <c r="D344" s="49"/>
      <c r="E344" s="49"/>
      <c r="F344" s="49"/>
      <c r="W344" s="59"/>
    </row>
    <row r="345" spans="4:23" ht="12.75">
      <c r="D345" s="49"/>
      <c r="E345" s="49"/>
      <c r="F345" s="49"/>
      <c r="W345" s="59"/>
    </row>
    <row r="346" spans="4:23" ht="12.75">
      <c r="D346" s="49"/>
      <c r="E346" s="49"/>
      <c r="F346" s="49"/>
      <c r="W346" s="59"/>
    </row>
    <row r="347" spans="4:23" ht="12.75">
      <c r="D347" s="49"/>
      <c r="E347" s="49"/>
      <c r="F347" s="49"/>
      <c r="W347" s="59"/>
    </row>
    <row r="348" spans="4:23" ht="12.75">
      <c r="D348" s="49"/>
      <c r="E348" s="49"/>
      <c r="F348" s="49"/>
      <c r="W348" s="59"/>
    </row>
    <row r="349" spans="4:23" ht="12.75">
      <c r="D349" s="49"/>
      <c r="E349" s="49"/>
      <c r="F349" s="49"/>
      <c r="W349" s="59"/>
    </row>
    <row r="350" spans="4:23" ht="12.75">
      <c r="D350" s="49"/>
      <c r="E350" s="49"/>
      <c r="F350" s="49"/>
      <c r="W350" s="59"/>
    </row>
    <row r="351" spans="4:23" ht="12.75">
      <c r="D351" s="49"/>
      <c r="E351" s="49"/>
      <c r="F351" s="49"/>
      <c r="W351" s="59"/>
    </row>
    <row r="352" spans="4:23" ht="12.75">
      <c r="D352" s="49"/>
      <c r="E352" s="49"/>
      <c r="F352" s="49"/>
      <c r="W352" s="59"/>
    </row>
    <row r="353" spans="4:23" ht="12.75">
      <c r="D353" s="49"/>
      <c r="E353" s="49"/>
      <c r="F353" s="49"/>
      <c r="W353" s="59"/>
    </row>
    <row r="354" spans="4:23" ht="12.75">
      <c r="D354" s="49"/>
      <c r="E354" s="49"/>
      <c r="F354" s="49"/>
      <c r="W354" s="59"/>
    </row>
    <row r="355" spans="4:23" ht="12.75">
      <c r="D355" s="49"/>
      <c r="E355" s="49"/>
      <c r="F355" s="49"/>
      <c r="W355" s="59"/>
    </row>
    <row r="356" spans="4:23" ht="12.75">
      <c r="D356" s="49"/>
      <c r="E356" s="49"/>
      <c r="F356" s="49"/>
      <c r="W356" s="59"/>
    </row>
    <row r="357" spans="4:23" ht="12.75">
      <c r="D357" s="49"/>
      <c r="E357" s="49"/>
      <c r="F357" s="49"/>
      <c r="W357" s="59"/>
    </row>
    <row r="358" spans="4:23" ht="12.75">
      <c r="D358" s="49"/>
      <c r="E358" s="49"/>
      <c r="F358" s="49"/>
      <c r="W358" s="59"/>
    </row>
    <row r="359" spans="4:23" ht="12.75">
      <c r="D359" s="49"/>
      <c r="E359" s="49"/>
      <c r="F359" s="49"/>
      <c r="W359" s="59"/>
    </row>
    <row r="360" spans="4:23" ht="12.75">
      <c r="D360" s="49"/>
      <c r="E360" s="49"/>
      <c r="F360" s="49"/>
      <c r="W360" s="59"/>
    </row>
    <row r="361" spans="4:23" ht="12.75">
      <c r="D361" s="49"/>
      <c r="E361" s="49"/>
      <c r="F361" s="49"/>
      <c r="W361" s="59"/>
    </row>
    <row r="362" spans="4:23" ht="12.75">
      <c r="D362" s="49"/>
      <c r="E362" s="49"/>
      <c r="F362" s="49"/>
      <c r="W362" s="59"/>
    </row>
    <row r="363" spans="4:23" ht="12.75">
      <c r="D363" s="49"/>
      <c r="E363" s="49"/>
      <c r="F363" s="49"/>
      <c r="W363" s="59"/>
    </row>
    <row r="364" spans="4:23" ht="12.75">
      <c r="D364" s="49"/>
      <c r="E364" s="49"/>
      <c r="F364" s="49"/>
      <c r="W364" s="59"/>
    </row>
    <row r="365" spans="4:23" ht="12.75">
      <c r="D365" s="49"/>
      <c r="E365" s="49"/>
      <c r="F365" s="49"/>
      <c r="W365" s="59"/>
    </row>
    <row r="366" spans="4:23" ht="12.75">
      <c r="D366" s="49"/>
      <c r="E366" s="49"/>
      <c r="F366" s="49"/>
      <c r="W366" s="59"/>
    </row>
    <row r="367" spans="4:23" ht="12.75">
      <c r="D367" s="49"/>
      <c r="E367" s="49"/>
      <c r="F367" s="49"/>
      <c r="W367" s="59"/>
    </row>
    <row r="368" spans="4:23" ht="12.75">
      <c r="D368" s="49"/>
      <c r="E368" s="49"/>
      <c r="F368" s="49"/>
      <c r="W368" s="59"/>
    </row>
    <row r="369" spans="4:23" ht="12.75">
      <c r="D369" s="49"/>
      <c r="E369" s="49"/>
      <c r="F369" s="49"/>
      <c r="W369" s="59"/>
    </row>
    <row r="370" spans="4:23" ht="12.75">
      <c r="D370" s="49"/>
      <c r="E370" s="49"/>
      <c r="F370" s="49"/>
      <c r="W370" s="59"/>
    </row>
    <row r="371" spans="4:23" ht="12.75">
      <c r="D371" s="49"/>
      <c r="E371" s="49"/>
      <c r="F371" s="49"/>
      <c r="W371" s="59"/>
    </row>
    <row r="372" spans="4:23" ht="12.75">
      <c r="D372" s="49"/>
      <c r="E372" s="49"/>
      <c r="F372" s="49"/>
      <c r="W372" s="59"/>
    </row>
    <row r="373" spans="4:23" ht="12.75">
      <c r="D373" s="49"/>
      <c r="E373" s="49"/>
      <c r="F373" s="49"/>
      <c r="W373" s="59"/>
    </row>
    <row r="374" spans="4:23" ht="12.75">
      <c r="D374" s="49"/>
      <c r="E374" s="49"/>
      <c r="F374" s="49"/>
      <c r="W374" s="59"/>
    </row>
    <row r="375" spans="4:23" ht="12.75">
      <c r="D375" s="49"/>
      <c r="E375" s="49"/>
      <c r="F375" s="49"/>
      <c r="W375" s="59"/>
    </row>
    <row r="376" spans="4:23" ht="12.75">
      <c r="D376" s="49"/>
      <c r="E376" s="49"/>
      <c r="F376" s="49"/>
      <c r="W376" s="59"/>
    </row>
    <row r="377" spans="4:23" ht="12.75">
      <c r="D377" s="49"/>
      <c r="E377" s="49"/>
      <c r="F377" s="49"/>
      <c r="W377" s="59"/>
    </row>
    <row r="378" spans="4:23" ht="12.75">
      <c r="D378" s="49"/>
      <c r="E378" s="49"/>
      <c r="F378" s="49"/>
      <c r="W378" s="59"/>
    </row>
    <row r="379" spans="4:23" ht="12.75">
      <c r="D379" s="49"/>
      <c r="E379" s="49"/>
      <c r="F379" s="49"/>
      <c r="W379" s="59"/>
    </row>
    <row r="380" spans="4:23" ht="12.75">
      <c r="D380" s="49"/>
      <c r="E380" s="49"/>
      <c r="F380" s="49"/>
      <c r="W380" s="59"/>
    </row>
    <row r="381" spans="4:23" ht="12.75">
      <c r="D381" s="49"/>
      <c r="E381" s="49"/>
      <c r="F381" s="49"/>
      <c r="W381" s="59"/>
    </row>
    <row r="382" spans="4:23" ht="12.75">
      <c r="D382" s="49"/>
      <c r="E382" s="49"/>
      <c r="F382" s="49"/>
      <c r="W382" s="59"/>
    </row>
    <row r="383" spans="4:23" ht="12.75">
      <c r="D383" s="49"/>
      <c r="E383" s="49"/>
      <c r="F383" s="49"/>
      <c r="W383" s="59"/>
    </row>
    <row r="384" spans="4:23" ht="12.75">
      <c r="D384" s="49"/>
      <c r="E384" s="49"/>
      <c r="F384" s="49"/>
      <c r="W384" s="59"/>
    </row>
    <row r="385" spans="4:23" ht="12.75">
      <c r="D385" s="49"/>
      <c r="E385" s="49"/>
      <c r="F385" s="49"/>
      <c r="W385" s="59"/>
    </row>
    <row r="386" spans="4:23" ht="12.75">
      <c r="D386" s="49"/>
      <c r="E386" s="49"/>
      <c r="F386" s="49"/>
      <c r="W386" s="59"/>
    </row>
    <row r="387" spans="4:23" ht="12.75">
      <c r="D387" s="49"/>
      <c r="E387" s="49"/>
      <c r="F387" s="49"/>
      <c r="W387" s="59"/>
    </row>
    <row r="388" spans="4:23" ht="12.75">
      <c r="D388" s="49"/>
      <c r="E388" s="49"/>
      <c r="F388" s="49"/>
      <c r="W388" s="59"/>
    </row>
    <row r="389" spans="4:23" ht="12.75">
      <c r="D389" s="49"/>
      <c r="E389" s="49"/>
      <c r="F389" s="49"/>
      <c r="W389" s="59"/>
    </row>
    <row r="390" spans="4:23" ht="12.75">
      <c r="D390" s="49"/>
      <c r="E390" s="49"/>
      <c r="F390" s="49"/>
      <c r="W390" s="59"/>
    </row>
    <row r="391" spans="4:23" ht="12.75">
      <c r="D391" s="49"/>
      <c r="E391" s="49"/>
      <c r="F391" s="49"/>
      <c r="W391" s="59"/>
    </row>
    <row r="392" spans="4:23" ht="12.75">
      <c r="D392" s="49"/>
      <c r="E392" s="49"/>
      <c r="F392" s="49"/>
      <c r="W392" s="59"/>
    </row>
    <row r="393" spans="4:23" ht="12.75">
      <c r="D393" s="49"/>
      <c r="E393" s="49"/>
      <c r="F393" s="49"/>
      <c r="W393" s="59"/>
    </row>
    <row r="394" spans="4:23" ht="12.75">
      <c r="D394" s="49"/>
      <c r="E394" s="49"/>
      <c r="F394" s="49"/>
      <c r="W394" s="59"/>
    </row>
    <row r="395" spans="4:23" ht="12.75">
      <c r="D395" s="49"/>
      <c r="E395" s="49"/>
      <c r="F395" s="49"/>
      <c r="W395" s="59"/>
    </row>
    <row r="396" spans="4:23" ht="12.75">
      <c r="D396" s="49"/>
      <c r="E396" s="49"/>
      <c r="F396" s="49"/>
      <c r="W396" s="59"/>
    </row>
    <row r="397" spans="4:23" ht="12.75">
      <c r="D397" s="49"/>
      <c r="E397" s="49"/>
      <c r="F397" s="49"/>
      <c r="W397" s="59"/>
    </row>
    <row r="398" spans="4:23" ht="12.75">
      <c r="D398" s="49"/>
      <c r="E398" s="49"/>
      <c r="F398" s="49"/>
      <c r="W398" s="59"/>
    </row>
    <row r="399" spans="4:23" ht="12.75">
      <c r="D399" s="49"/>
      <c r="E399" s="49"/>
      <c r="F399" s="49"/>
      <c r="W399" s="59"/>
    </row>
    <row r="400" spans="4:23" ht="12.75">
      <c r="D400" s="49"/>
      <c r="E400" s="49"/>
      <c r="F400" s="49"/>
      <c r="W400" s="59"/>
    </row>
    <row r="401" spans="4:23" ht="12.75">
      <c r="D401" s="49"/>
      <c r="E401" s="49"/>
      <c r="F401" s="49"/>
      <c r="W401" s="59"/>
    </row>
    <row r="402" spans="4:23" ht="12.75">
      <c r="D402" s="49"/>
      <c r="E402" s="49"/>
      <c r="F402" s="49"/>
      <c r="W402" s="59"/>
    </row>
    <row r="403" spans="4:23" ht="12.75">
      <c r="D403" s="49"/>
      <c r="E403" s="49"/>
      <c r="F403" s="49"/>
      <c r="W403" s="59"/>
    </row>
    <row r="404" spans="4:23" ht="12.75">
      <c r="D404" s="49"/>
      <c r="E404" s="49"/>
      <c r="F404" s="49"/>
      <c r="W404" s="59"/>
    </row>
    <row r="405" spans="4:23" ht="12.75">
      <c r="D405" s="49"/>
      <c r="E405" s="49"/>
      <c r="F405" s="49"/>
      <c r="W405" s="59"/>
    </row>
    <row r="406" spans="4:23" ht="12.75">
      <c r="D406" s="49"/>
      <c r="E406" s="49"/>
      <c r="F406" s="49"/>
      <c r="W406" s="59"/>
    </row>
    <row r="407" spans="4:23" ht="12.75">
      <c r="D407" s="49"/>
      <c r="E407" s="49"/>
      <c r="F407" s="49"/>
      <c r="W407" s="59"/>
    </row>
    <row r="408" spans="4:23" ht="12.75">
      <c r="D408" s="49"/>
      <c r="E408" s="49"/>
      <c r="F408" s="49"/>
      <c r="W408" s="59"/>
    </row>
    <row r="409" spans="4:23" ht="12.75">
      <c r="D409" s="49"/>
      <c r="E409" s="49"/>
      <c r="F409" s="49"/>
      <c r="W409" s="59"/>
    </row>
    <row r="410" spans="4:23" ht="12.75">
      <c r="D410" s="49"/>
      <c r="E410" s="49"/>
      <c r="F410" s="49"/>
      <c r="W410" s="59"/>
    </row>
    <row r="411" spans="4:23" ht="12.75">
      <c r="D411" s="49"/>
      <c r="E411" s="49"/>
      <c r="F411" s="49"/>
      <c r="W411" s="59"/>
    </row>
    <row r="412" spans="4:23" ht="12.75">
      <c r="D412" s="49"/>
      <c r="E412" s="49"/>
      <c r="F412" s="49"/>
      <c r="W412" s="59"/>
    </row>
    <row r="413" spans="4:23" ht="12.75">
      <c r="D413" s="49"/>
      <c r="E413" s="49"/>
      <c r="F413" s="49"/>
      <c r="W413" s="59"/>
    </row>
    <row r="414" spans="4:23" ht="12.75">
      <c r="D414" s="49"/>
      <c r="E414" s="49"/>
      <c r="F414" s="49"/>
      <c r="W414" s="59"/>
    </row>
    <row r="415" spans="4:23" ht="12.75">
      <c r="D415" s="49"/>
      <c r="E415" s="49"/>
      <c r="F415" s="49"/>
      <c r="W415" s="59"/>
    </row>
    <row r="416" spans="4:23" ht="12.75">
      <c r="D416" s="49"/>
      <c r="E416" s="49"/>
      <c r="F416" s="49"/>
      <c r="W416" s="59"/>
    </row>
    <row r="417" spans="4:23" ht="12.75">
      <c r="D417" s="49"/>
      <c r="E417" s="49"/>
      <c r="F417" s="49"/>
      <c r="W417" s="59"/>
    </row>
    <row r="418" spans="4:23" ht="12.75">
      <c r="D418" s="49"/>
      <c r="E418" s="49"/>
      <c r="F418" s="49"/>
      <c r="W418" s="59"/>
    </row>
    <row r="419" spans="4:23" ht="12.75">
      <c r="D419" s="49"/>
      <c r="E419" s="49"/>
      <c r="F419" s="49"/>
      <c r="W419" s="59"/>
    </row>
    <row r="420" spans="4:23" ht="12.75">
      <c r="D420" s="49"/>
      <c r="E420" s="49"/>
      <c r="F420" s="49"/>
      <c r="W420" s="59"/>
    </row>
    <row r="421" spans="4:23" ht="12.75">
      <c r="D421" s="49"/>
      <c r="E421" s="49"/>
      <c r="F421" s="49"/>
      <c r="W421" s="59"/>
    </row>
    <row r="422" spans="4:23" ht="12.75">
      <c r="D422" s="49"/>
      <c r="E422" s="49"/>
      <c r="F422" s="49"/>
      <c r="W422" s="59"/>
    </row>
    <row r="423" spans="4:23" ht="12.75">
      <c r="D423" s="49"/>
      <c r="E423" s="49"/>
      <c r="F423" s="49"/>
      <c r="W423" s="59"/>
    </row>
    <row r="424" spans="4:23" ht="12.75">
      <c r="D424" s="49"/>
      <c r="E424" s="49"/>
      <c r="F424" s="49"/>
      <c r="W424" s="59"/>
    </row>
    <row r="425" spans="4:23" ht="12.75">
      <c r="D425" s="49"/>
      <c r="E425" s="49"/>
      <c r="F425" s="49"/>
      <c r="W425" s="59"/>
    </row>
    <row r="426" spans="4:23" ht="12.75">
      <c r="D426" s="49"/>
      <c r="E426" s="49"/>
      <c r="F426" s="49"/>
      <c r="W426" s="59"/>
    </row>
    <row r="427" spans="4:23" ht="12.75">
      <c r="D427" s="49"/>
      <c r="E427" s="49"/>
      <c r="F427" s="49"/>
      <c r="W427" s="59"/>
    </row>
    <row r="428" spans="4:23" ht="12.75">
      <c r="D428" s="49"/>
      <c r="E428" s="49"/>
      <c r="F428" s="49"/>
      <c r="W428" s="59"/>
    </row>
    <row r="429" spans="4:23" ht="12.75">
      <c r="D429" s="49"/>
      <c r="E429" s="49"/>
      <c r="F429" s="49"/>
      <c r="W429" s="59"/>
    </row>
    <row r="430" spans="4:23" ht="12.75">
      <c r="D430" s="49"/>
      <c r="E430" s="49"/>
      <c r="F430" s="49"/>
      <c r="W430" s="59"/>
    </row>
    <row r="431" spans="4:23" ht="12.75">
      <c r="D431" s="49"/>
      <c r="E431" s="49"/>
      <c r="F431" s="49"/>
      <c r="W431" s="59"/>
    </row>
    <row r="432" spans="4:23" ht="12.75">
      <c r="D432" s="49"/>
      <c r="E432" s="49"/>
      <c r="F432" s="49"/>
      <c r="W432" s="59"/>
    </row>
    <row r="433" spans="4:23" ht="12.75">
      <c r="D433" s="49"/>
      <c r="E433" s="49"/>
      <c r="F433" s="49"/>
      <c r="W433" s="59"/>
    </row>
    <row r="434" spans="4:23" ht="12.75">
      <c r="D434" s="49"/>
      <c r="E434" s="49"/>
      <c r="F434" s="49"/>
      <c r="W434" s="59"/>
    </row>
    <row r="435" spans="4:23" ht="12.75">
      <c r="D435" s="49"/>
      <c r="E435" s="49"/>
      <c r="F435" s="49"/>
      <c r="W435" s="59"/>
    </row>
    <row r="436" spans="4:23" ht="12.75">
      <c r="D436" s="49"/>
      <c r="E436" s="49"/>
      <c r="F436" s="49"/>
      <c r="W436" s="59"/>
    </row>
    <row r="437" spans="4:23" ht="12.75">
      <c r="D437" s="49"/>
      <c r="E437" s="49"/>
      <c r="F437" s="49"/>
      <c r="W437" s="59"/>
    </row>
    <row r="438" spans="4:23" ht="12.75">
      <c r="D438" s="49"/>
      <c r="E438" s="49"/>
      <c r="F438" s="49"/>
      <c r="W438" s="59"/>
    </row>
    <row r="439" spans="4:23" ht="12.75">
      <c r="D439" s="49"/>
      <c r="E439" s="49"/>
      <c r="F439" s="49"/>
      <c r="W439" s="59"/>
    </row>
    <row r="440" spans="4:23" ht="12.75">
      <c r="D440" s="49"/>
      <c r="E440" s="49"/>
      <c r="F440" s="49"/>
      <c r="W440" s="59"/>
    </row>
    <row r="441" spans="4:23" ht="12.75">
      <c r="D441" s="49"/>
      <c r="E441" s="49"/>
      <c r="F441" s="49"/>
      <c r="W441" s="59"/>
    </row>
    <row r="442" spans="4:23" ht="12.75">
      <c r="D442" s="49"/>
      <c r="E442" s="49"/>
      <c r="F442" s="49"/>
      <c r="W442" s="59"/>
    </row>
    <row r="443" spans="4:23" ht="12.75">
      <c r="D443" s="49"/>
      <c r="E443" s="49"/>
      <c r="F443" s="49"/>
      <c r="W443" s="59"/>
    </row>
    <row r="444" spans="4:23" ht="12.75">
      <c r="D444" s="49"/>
      <c r="E444" s="49"/>
      <c r="F444" s="49"/>
      <c r="W444" s="59"/>
    </row>
    <row r="445" spans="4:23" ht="12.75">
      <c r="D445" s="49"/>
      <c r="E445" s="49"/>
      <c r="F445" s="49"/>
      <c r="W445" s="59"/>
    </row>
    <row r="446" spans="4:23" ht="12.75">
      <c r="D446" s="49"/>
      <c r="E446" s="49"/>
      <c r="F446" s="49"/>
      <c r="W446" s="59"/>
    </row>
    <row r="447" spans="4:23" ht="12.75">
      <c r="D447" s="49"/>
      <c r="E447" s="49"/>
      <c r="F447" s="49"/>
      <c r="W447" s="59"/>
    </row>
    <row r="448" spans="4:23" ht="12.75">
      <c r="D448" s="49"/>
      <c r="E448" s="49"/>
      <c r="F448" s="49"/>
      <c r="W448" s="59"/>
    </row>
    <row r="449" spans="4:23" ht="12.75">
      <c r="D449" s="49"/>
      <c r="E449" s="49"/>
      <c r="F449" s="49"/>
      <c r="W449" s="59"/>
    </row>
    <row r="450" spans="4:23" ht="12.75">
      <c r="D450" s="49"/>
      <c r="E450" s="49"/>
      <c r="F450" s="49"/>
      <c r="W450" s="59"/>
    </row>
    <row r="451" spans="4:23" ht="12.75">
      <c r="D451" s="49"/>
      <c r="E451" s="49"/>
      <c r="F451" s="49"/>
      <c r="W451" s="59"/>
    </row>
    <row r="452" spans="4:23" ht="12.75">
      <c r="D452" s="49"/>
      <c r="E452" s="49"/>
      <c r="F452" s="49"/>
      <c r="W452" s="59"/>
    </row>
    <row r="453" spans="4:23" ht="12.75">
      <c r="D453" s="49"/>
      <c r="E453" s="49"/>
      <c r="F453" s="49"/>
      <c r="W453" s="59"/>
    </row>
    <row r="454" spans="4:23" ht="12.75">
      <c r="D454" s="49"/>
      <c r="E454" s="49"/>
      <c r="F454" s="49"/>
      <c r="W454" s="59"/>
    </row>
    <row r="455" spans="4:23" ht="12.75">
      <c r="D455" s="49"/>
      <c r="E455" s="49"/>
      <c r="F455" s="49"/>
      <c r="W455" s="59"/>
    </row>
    <row r="456" spans="4:23" ht="12.75">
      <c r="D456" s="49"/>
      <c r="E456" s="49"/>
      <c r="F456" s="49"/>
      <c r="W456" s="59"/>
    </row>
    <row r="457" spans="4:23" ht="12.75">
      <c r="D457" s="49"/>
      <c r="E457" s="49"/>
      <c r="F457" s="49"/>
      <c r="W457" s="59"/>
    </row>
    <row r="458" spans="4:23" ht="12.75">
      <c r="D458" s="49"/>
      <c r="E458" s="49"/>
      <c r="F458" s="49"/>
      <c r="W458" s="59"/>
    </row>
    <row r="459" spans="4:23" ht="12.75">
      <c r="D459" s="49"/>
      <c r="E459" s="49"/>
      <c r="F459" s="49"/>
      <c r="W459" s="59"/>
    </row>
    <row r="460" spans="4:23" ht="12.75">
      <c r="D460" s="49"/>
      <c r="E460" s="49"/>
      <c r="F460" s="49"/>
      <c r="W460" s="59"/>
    </row>
    <row r="461" spans="4:23" ht="12.75">
      <c r="D461" s="49"/>
      <c r="E461" s="49"/>
      <c r="F461" s="49"/>
      <c r="W461" s="59"/>
    </row>
    <row r="462" spans="4:23" ht="12.75">
      <c r="D462" s="49"/>
      <c r="E462" s="49"/>
      <c r="F462" s="49"/>
      <c r="W462" s="59"/>
    </row>
    <row r="463" spans="4:23" ht="12.75">
      <c r="D463" s="49"/>
      <c r="E463" s="49"/>
      <c r="F463" s="49"/>
      <c r="W463" s="59"/>
    </row>
    <row r="464" spans="4:23" ht="12.75">
      <c r="D464" s="49"/>
      <c r="E464" s="49"/>
      <c r="F464" s="49"/>
      <c r="W464" s="59"/>
    </row>
    <row r="465" spans="4:23" ht="12.75">
      <c r="D465" s="49"/>
      <c r="E465" s="49"/>
      <c r="F465" s="49"/>
      <c r="W465" s="59"/>
    </row>
    <row r="466" spans="4:23" ht="12.75">
      <c r="D466" s="49"/>
      <c r="E466" s="49"/>
      <c r="F466" s="49"/>
      <c r="W466" s="59"/>
    </row>
    <row r="467" spans="4:23" ht="12.75">
      <c r="D467" s="49"/>
      <c r="E467" s="49"/>
      <c r="F467" s="49"/>
      <c r="W467" s="59"/>
    </row>
    <row r="468" spans="4:23" ht="12.75">
      <c r="D468" s="49"/>
      <c r="E468" s="49"/>
      <c r="F468" s="49"/>
      <c r="W468" s="59"/>
    </row>
    <row r="469" spans="4:23" ht="12.75">
      <c r="D469" s="49"/>
      <c r="E469" s="49"/>
      <c r="F469" s="49"/>
      <c r="W469" s="59"/>
    </row>
    <row r="470" spans="4:23" ht="12.75">
      <c r="D470" s="49"/>
      <c r="E470" s="49"/>
      <c r="F470" s="49"/>
      <c r="W470" s="59"/>
    </row>
    <row r="471" spans="4:23" ht="12.75">
      <c r="D471" s="49"/>
      <c r="E471" s="49"/>
      <c r="F471" s="49"/>
      <c r="W471" s="59"/>
    </row>
    <row r="472" spans="4:23" ht="12.75">
      <c r="D472" s="49"/>
      <c r="E472" s="49"/>
      <c r="F472" s="49"/>
      <c r="W472" s="59"/>
    </row>
    <row r="473" spans="4:23" ht="12.75">
      <c r="D473" s="49"/>
      <c r="E473" s="49"/>
      <c r="F473" s="49"/>
      <c r="W473" s="59"/>
    </row>
    <row r="474" spans="4:23" ht="12.75">
      <c r="D474" s="49"/>
      <c r="E474" s="49"/>
      <c r="F474" s="49"/>
      <c r="W474" s="59"/>
    </row>
    <row r="475" spans="4:23" ht="12.75">
      <c r="D475" s="49"/>
      <c r="E475" s="49"/>
      <c r="F475" s="49"/>
      <c r="W475" s="59"/>
    </row>
    <row r="476" spans="4:23" ht="12.75">
      <c r="D476" s="49"/>
      <c r="E476" s="49"/>
      <c r="F476" s="49"/>
      <c r="W476" s="59"/>
    </row>
    <row r="477" spans="4:23" ht="12.75">
      <c r="D477" s="49"/>
      <c r="E477" s="49"/>
      <c r="F477" s="49"/>
      <c r="W477" s="59"/>
    </row>
    <row r="478" spans="4:23" ht="12.75">
      <c r="D478" s="49"/>
      <c r="E478" s="49"/>
      <c r="F478" s="49"/>
      <c r="W478" s="59"/>
    </row>
    <row r="479" spans="4:23" ht="12.75">
      <c r="D479" s="49"/>
      <c r="E479" s="49"/>
      <c r="F479" s="49"/>
      <c r="W479" s="59"/>
    </row>
    <row r="480" spans="4:23" ht="12.75">
      <c r="D480" s="49"/>
      <c r="E480" s="49"/>
      <c r="F480" s="49"/>
      <c r="W480" s="59"/>
    </row>
    <row r="481" spans="4:23" ht="12.75">
      <c r="D481" s="49"/>
      <c r="E481" s="49"/>
      <c r="F481" s="49"/>
      <c r="W481" s="59"/>
    </row>
    <row r="482" spans="4:23" ht="12.75">
      <c r="D482" s="49"/>
      <c r="E482" s="49"/>
      <c r="F482" s="49"/>
      <c r="W482" s="59"/>
    </row>
    <row r="483" spans="4:23" ht="12.75">
      <c r="D483" s="49"/>
      <c r="E483" s="49"/>
      <c r="F483" s="49"/>
      <c r="W483" s="59"/>
    </row>
    <row r="484" spans="4:23" ht="12.75">
      <c r="D484" s="49"/>
      <c r="E484" s="49"/>
      <c r="F484" s="49"/>
      <c r="W484" s="59"/>
    </row>
    <row r="485" spans="4:23" ht="12.75">
      <c r="D485" s="49"/>
      <c r="E485" s="49"/>
      <c r="F485" s="49"/>
      <c r="W485" s="59"/>
    </row>
    <row r="486" spans="4:23" ht="12.75">
      <c r="D486" s="49"/>
      <c r="E486" s="49"/>
      <c r="F486" s="49"/>
      <c r="W486" s="59"/>
    </row>
    <row r="487" spans="4:23" ht="12.75">
      <c r="D487" s="49"/>
      <c r="E487" s="49"/>
      <c r="F487" s="49"/>
      <c r="W487" s="59"/>
    </row>
    <row r="488" spans="4:23" ht="12.75">
      <c r="D488" s="49"/>
      <c r="E488" s="49"/>
      <c r="F488" s="49"/>
      <c r="W488" s="59"/>
    </row>
    <row r="489" spans="4:23" ht="12.75">
      <c r="D489" s="49"/>
      <c r="E489" s="49"/>
      <c r="F489" s="49"/>
      <c r="W489" s="59"/>
    </row>
    <row r="490" spans="4:23" ht="12.75">
      <c r="D490" s="49"/>
      <c r="E490" s="49"/>
      <c r="F490" s="49"/>
      <c r="W490" s="59"/>
    </row>
    <row r="491" spans="4:23" ht="12.75">
      <c r="D491" s="49"/>
      <c r="E491" s="49"/>
      <c r="F491" s="49"/>
      <c r="W491" s="59"/>
    </row>
    <row r="492" spans="4:23" ht="12.75">
      <c r="D492" s="49"/>
      <c r="E492" s="49"/>
      <c r="F492" s="49"/>
      <c r="W492" s="59"/>
    </row>
    <row r="493" spans="4:23" ht="12.75">
      <c r="D493" s="49"/>
      <c r="E493" s="49"/>
      <c r="F493" s="49"/>
      <c r="W493" s="59"/>
    </row>
    <row r="494" spans="4:23" ht="12.75">
      <c r="D494" s="49"/>
      <c r="E494" s="49"/>
      <c r="F494" s="49"/>
      <c r="W494" s="59"/>
    </row>
    <row r="495" spans="4:23" ht="12.75">
      <c r="D495" s="49"/>
      <c r="E495" s="49"/>
      <c r="F495" s="49"/>
      <c r="W495" s="59"/>
    </row>
    <row r="496" spans="4:23" ht="12.75">
      <c r="D496" s="49"/>
      <c r="E496" s="49"/>
      <c r="F496" s="49"/>
      <c r="W496" s="59"/>
    </row>
    <row r="497" spans="4:23" ht="12.75">
      <c r="D497" s="49"/>
      <c r="E497" s="49"/>
      <c r="F497" s="49"/>
      <c r="W497" s="59"/>
    </row>
    <row r="498" spans="4:23" ht="12.75">
      <c r="D498" s="49"/>
      <c r="E498" s="49"/>
      <c r="F498" s="49"/>
      <c r="W498" s="59"/>
    </row>
    <row r="499" spans="4:23" ht="12.75">
      <c r="D499" s="49"/>
      <c r="E499" s="49"/>
      <c r="F499" s="49"/>
      <c r="W499" s="59"/>
    </row>
    <row r="500" spans="4:23" ht="12.75">
      <c r="D500" s="49"/>
      <c r="E500" s="49"/>
      <c r="F500" s="49"/>
      <c r="W500" s="59"/>
    </row>
    <row r="501" spans="4:23" ht="12.75">
      <c r="D501" s="49"/>
      <c r="E501" s="49"/>
      <c r="F501" s="49"/>
      <c r="W501" s="59"/>
    </row>
    <row r="502" spans="4:23" ht="12.75">
      <c r="D502" s="49"/>
      <c r="E502" s="49"/>
      <c r="F502" s="49"/>
      <c r="W502" s="59"/>
    </row>
    <row r="503" spans="4:23" ht="12.75">
      <c r="D503" s="49"/>
      <c r="E503" s="49"/>
      <c r="F503" s="49"/>
      <c r="W503" s="59"/>
    </row>
    <row r="504" spans="4:23" ht="12.75">
      <c r="D504" s="49"/>
      <c r="E504" s="49"/>
      <c r="F504" s="49"/>
      <c r="W504" s="59"/>
    </row>
    <row r="505" spans="4:23" ht="12.75">
      <c r="D505" s="49"/>
      <c r="E505" s="49"/>
      <c r="F505" s="49"/>
      <c r="W505" s="59"/>
    </row>
    <row r="506" spans="4:23" ht="12.75">
      <c r="D506" s="49"/>
      <c r="E506" s="49"/>
      <c r="F506" s="49"/>
      <c r="W506" s="59"/>
    </row>
    <row r="507" spans="4:23" ht="12.75">
      <c r="D507" s="49"/>
      <c r="E507" s="49"/>
      <c r="F507" s="49"/>
      <c r="W507" s="59"/>
    </row>
    <row r="508" spans="4:23" ht="12.75">
      <c r="D508" s="49"/>
      <c r="E508" s="49"/>
      <c r="F508" s="49"/>
      <c r="W508" s="59"/>
    </row>
    <row r="509" spans="4:23" ht="12.75">
      <c r="D509" s="49"/>
      <c r="E509" s="49"/>
      <c r="F509" s="49"/>
      <c r="W509" s="59"/>
    </row>
    <row r="510" spans="4:23" ht="12.75">
      <c r="D510" s="49"/>
      <c r="E510" s="49"/>
      <c r="F510" s="49"/>
      <c r="W510" s="59"/>
    </row>
    <row r="511" spans="4:23" ht="12.75">
      <c r="D511" s="49"/>
      <c r="E511" s="49"/>
      <c r="F511" s="49"/>
      <c r="W511" s="59"/>
    </row>
    <row r="512" spans="4:23" ht="12.75">
      <c r="D512" s="49"/>
      <c r="E512" s="49"/>
      <c r="F512" s="49"/>
      <c r="W512" s="59"/>
    </row>
    <row r="513" spans="4:23" ht="12.75">
      <c r="D513" s="49"/>
      <c r="E513" s="49"/>
      <c r="F513" s="49"/>
      <c r="W513" s="59"/>
    </row>
    <row r="514" spans="4:23" ht="12.75">
      <c r="D514" s="49"/>
      <c r="E514" s="49"/>
      <c r="F514" s="49"/>
      <c r="W514" s="59"/>
    </row>
    <row r="515" spans="4:23" ht="12.75">
      <c r="D515" s="49"/>
      <c r="E515" s="49"/>
      <c r="F515" s="49"/>
      <c r="W515" s="59"/>
    </row>
    <row r="516" spans="4:23" ht="12.75">
      <c r="D516" s="49"/>
      <c r="E516" s="49"/>
      <c r="F516" s="49"/>
      <c r="W516" s="59"/>
    </row>
    <row r="517" spans="4:23" ht="12.75">
      <c r="D517" s="49"/>
      <c r="E517" s="49"/>
      <c r="F517" s="49"/>
      <c r="W517" s="59"/>
    </row>
    <row r="518" spans="4:23" ht="12.75">
      <c r="D518" s="49"/>
      <c r="E518" s="49"/>
      <c r="F518" s="49"/>
      <c r="W518" s="59"/>
    </row>
    <row r="519" spans="4:23" ht="12.75">
      <c r="D519" s="49"/>
      <c r="E519" s="49"/>
      <c r="F519" s="49"/>
      <c r="W519" s="59"/>
    </row>
    <row r="520" spans="4:23" ht="12.75">
      <c r="D520" s="49"/>
      <c r="E520" s="49"/>
      <c r="F520" s="49"/>
      <c r="W520" s="59"/>
    </row>
    <row r="521" spans="4:23" ht="12.75">
      <c r="D521" s="49"/>
      <c r="E521" s="49"/>
      <c r="F521" s="49"/>
      <c r="W521" s="59"/>
    </row>
    <row r="522" spans="4:23" ht="12.75">
      <c r="D522" s="49"/>
      <c r="E522" s="49"/>
      <c r="F522" s="49"/>
      <c r="W522" s="59"/>
    </row>
    <row r="523" spans="4:23" ht="12.75">
      <c r="D523" s="49"/>
      <c r="E523" s="49"/>
      <c r="F523" s="49"/>
      <c r="W523" s="59"/>
    </row>
    <row r="524" spans="4:23" ht="12.75">
      <c r="D524" s="49"/>
      <c r="E524" s="49"/>
      <c r="F524" s="49"/>
      <c r="W524" s="59"/>
    </row>
    <row r="525" spans="4:23" ht="12.75">
      <c r="D525" s="49"/>
      <c r="E525" s="49"/>
      <c r="F525" s="49"/>
      <c r="W525" s="59"/>
    </row>
    <row r="526" spans="4:23" ht="12.75">
      <c r="D526" s="49"/>
      <c r="E526" s="49"/>
      <c r="F526" s="49"/>
      <c r="W526" s="59"/>
    </row>
    <row r="527" spans="4:23" ht="12.75">
      <c r="D527" s="49"/>
      <c r="E527" s="49"/>
      <c r="F527" s="49"/>
      <c r="W527" s="59"/>
    </row>
    <row r="528" spans="4:23" ht="12.75">
      <c r="D528" s="49"/>
      <c r="E528" s="49"/>
      <c r="F528" s="49"/>
      <c r="W528" s="59"/>
    </row>
    <row r="529" spans="4:23" ht="12.75">
      <c r="D529" s="49"/>
      <c r="E529" s="49"/>
      <c r="F529" s="49"/>
      <c r="W529" s="59"/>
    </row>
    <row r="530" spans="4:23" ht="12.75">
      <c r="D530" s="49"/>
      <c r="E530" s="49"/>
      <c r="F530" s="49"/>
      <c r="W530" s="59"/>
    </row>
    <row r="531" spans="4:23" ht="12.75">
      <c r="D531" s="49"/>
      <c r="E531" s="49"/>
      <c r="F531" s="49"/>
      <c r="W531" s="59"/>
    </row>
    <row r="532" spans="4:23" ht="12.75">
      <c r="D532" s="49"/>
      <c r="E532" s="49"/>
      <c r="F532" s="49"/>
      <c r="W532" s="59"/>
    </row>
    <row r="533" spans="4:23" ht="12.75">
      <c r="D533" s="49"/>
      <c r="E533" s="49"/>
      <c r="F533" s="49"/>
      <c r="W533" s="59"/>
    </row>
    <row r="534" spans="4:23" ht="12.75">
      <c r="D534" s="49"/>
      <c r="E534" s="49"/>
      <c r="F534" s="49"/>
      <c r="W534" s="59"/>
    </row>
    <row r="535" spans="4:23" ht="12.75">
      <c r="D535" s="49"/>
      <c r="E535" s="49"/>
      <c r="F535" s="49"/>
      <c r="W535" s="59"/>
    </row>
    <row r="536" spans="4:23" ht="12.75">
      <c r="D536" s="49"/>
      <c r="E536" s="49"/>
      <c r="F536" s="49"/>
      <c r="W536" s="59"/>
    </row>
    <row r="537" spans="4:23" ht="12.75">
      <c r="D537" s="49"/>
      <c r="E537" s="49"/>
      <c r="F537" s="49"/>
      <c r="W537" s="59"/>
    </row>
    <row r="538" spans="4:23" ht="12.75">
      <c r="D538" s="49"/>
      <c r="E538" s="49"/>
      <c r="F538" s="49"/>
      <c r="W538" s="59"/>
    </row>
    <row r="539" spans="4:23" ht="12.75">
      <c r="D539" s="49"/>
      <c r="E539" s="49"/>
      <c r="F539" s="49"/>
      <c r="W539" s="59"/>
    </row>
    <row r="540" spans="4:23" ht="12.75">
      <c r="D540" s="49"/>
      <c r="E540" s="49"/>
      <c r="F540" s="49"/>
      <c r="W540" s="59"/>
    </row>
    <row r="541" spans="4:23" ht="12.75">
      <c r="D541" s="49"/>
      <c r="E541" s="49"/>
      <c r="F541" s="49"/>
      <c r="W541" s="59"/>
    </row>
    <row r="542" spans="4:23" ht="12.75">
      <c r="D542" s="49"/>
      <c r="E542" s="49"/>
      <c r="F542" s="49"/>
      <c r="W542" s="59"/>
    </row>
    <row r="543" spans="4:23" ht="12.75">
      <c r="D543" s="49"/>
      <c r="E543" s="49"/>
      <c r="F543" s="49"/>
      <c r="W543" s="59"/>
    </row>
    <row r="544" spans="4:23" ht="12.75">
      <c r="D544" s="49"/>
      <c r="E544" s="49"/>
      <c r="F544" s="49"/>
      <c r="W544" s="59"/>
    </row>
    <row r="545" spans="4:23" ht="12.75">
      <c r="D545" s="49"/>
      <c r="E545" s="49"/>
      <c r="F545" s="49"/>
      <c r="W545" s="59"/>
    </row>
    <row r="546" spans="4:23" ht="12.75">
      <c r="D546" s="49"/>
      <c r="E546" s="49"/>
      <c r="F546" s="49"/>
      <c r="W546" s="59"/>
    </row>
    <row r="547" spans="4:23" ht="12.75">
      <c r="D547" s="49"/>
      <c r="E547" s="49"/>
      <c r="F547" s="49"/>
      <c r="W547" s="59"/>
    </row>
    <row r="548" spans="4:23" ht="12.75">
      <c r="D548" s="49"/>
      <c r="E548" s="49"/>
      <c r="F548" s="49"/>
      <c r="W548" s="59"/>
    </row>
    <row r="549" spans="4:23" ht="12.75">
      <c r="D549" s="49"/>
      <c r="E549" s="49"/>
      <c r="F549" s="49"/>
      <c r="W549" s="59"/>
    </row>
    <row r="550" spans="4:23" ht="12.75">
      <c r="D550" s="49"/>
      <c r="E550" s="49"/>
      <c r="F550" s="49"/>
      <c r="W550" s="59"/>
    </row>
    <row r="551" spans="4:23" ht="12.75">
      <c r="D551" s="49"/>
      <c r="E551" s="49"/>
      <c r="F551" s="49"/>
      <c r="W551" s="59"/>
    </row>
    <row r="552" spans="4:23" ht="12.75">
      <c r="D552" s="49"/>
      <c r="E552" s="49"/>
      <c r="F552" s="49"/>
      <c r="W552" s="59"/>
    </row>
    <row r="553" spans="4:23" ht="12.75">
      <c r="D553" s="49"/>
      <c r="E553" s="49"/>
      <c r="F553" s="49"/>
      <c r="W553" s="59"/>
    </row>
    <row r="554" spans="4:23" ht="12.75">
      <c r="D554" s="49"/>
      <c r="E554" s="49"/>
      <c r="F554" s="49"/>
      <c r="W554" s="59"/>
    </row>
    <row r="555" spans="4:23" ht="12.75">
      <c r="D555" s="49"/>
      <c r="E555" s="49"/>
      <c r="F555" s="49"/>
      <c r="W555" s="59"/>
    </row>
    <row r="556" spans="4:23" ht="12.75">
      <c r="D556" s="49"/>
      <c r="E556" s="49"/>
      <c r="F556" s="49"/>
      <c r="W556" s="59"/>
    </row>
    <row r="557" spans="4:23" ht="12.75">
      <c r="D557" s="49"/>
      <c r="E557" s="49"/>
      <c r="F557" s="49"/>
      <c r="W557" s="59"/>
    </row>
    <row r="558" spans="4:23" ht="12.75">
      <c r="D558" s="49"/>
      <c r="E558" s="49"/>
      <c r="F558" s="49"/>
      <c r="W558" s="59"/>
    </row>
    <row r="559" spans="4:23" ht="12.75">
      <c r="D559" s="49"/>
      <c r="E559" s="49"/>
      <c r="F559" s="49"/>
      <c r="W559" s="59"/>
    </row>
    <row r="560" spans="4:23" ht="12.75">
      <c r="D560" s="49"/>
      <c r="E560" s="49"/>
      <c r="F560" s="49"/>
      <c r="W560" s="59"/>
    </row>
    <row r="561" spans="4:23" ht="12.75">
      <c r="D561" s="49"/>
      <c r="E561" s="49"/>
      <c r="F561" s="49"/>
      <c r="W561" s="59"/>
    </row>
    <row r="562" spans="4:23" ht="12.75">
      <c r="D562" s="49"/>
      <c r="E562" s="49"/>
      <c r="F562" s="49"/>
      <c r="W562" s="59"/>
    </row>
    <row r="563" spans="4:23" ht="12.75">
      <c r="D563" s="49"/>
      <c r="E563" s="49"/>
      <c r="F563" s="49"/>
      <c r="W563" s="59"/>
    </row>
    <row r="564" spans="4:23" ht="12.75">
      <c r="D564" s="49"/>
      <c r="E564" s="49"/>
      <c r="F564" s="49"/>
      <c r="W564" s="59"/>
    </row>
    <row r="565" spans="4:23" ht="12.75">
      <c r="D565" s="49"/>
      <c r="E565" s="49"/>
      <c r="F565" s="49"/>
      <c r="W565" s="59"/>
    </row>
    <row r="566" spans="4:23" ht="12.75">
      <c r="D566" s="49"/>
      <c r="E566" s="49"/>
      <c r="F566" s="49"/>
      <c r="W566" s="59"/>
    </row>
    <row r="567" spans="4:23" ht="12.75">
      <c r="D567" s="49"/>
      <c r="E567" s="49"/>
      <c r="F567" s="49"/>
      <c r="W567" s="59"/>
    </row>
    <row r="568" spans="4:23" ht="12.75">
      <c r="D568" s="49"/>
      <c r="E568" s="49"/>
      <c r="F568" s="49"/>
      <c r="W568" s="59"/>
    </row>
    <row r="569" spans="4:23" ht="12.75">
      <c r="D569" s="49"/>
      <c r="E569" s="49"/>
      <c r="F569" s="49"/>
      <c r="W569" s="59"/>
    </row>
    <row r="570" spans="4:23" ht="12.75">
      <c r="D570" s="49"/>
      <c r="E570" s="49"/>
      <c r="F570" s="49"/>
      <c r="W570" s="59"/>
    </row>
    <row r="571" spans="4:23" ht="12.75">
      <c r="D571" s="49"/>
      <c r="E571" s="49"/>
      <c r="F571" s="49"/>
      <c r="W571" s="59"/>
    </row>
    <row r="572" spans="4:23" ht="12.75">
      <c r="D572" s="49"/>
      <c r="E572" s="49"/>
      <c r="F572" s="49"/>
      <c r="W572" s="59"/>
    </row>
    <row r="573" spans="4:23" ht="12.75">
      <c r="D573" s="49"/>
      <c r="E573" s="49"/>
      <c r="F573" s="49"/>
      <c r="W573" s="59"/>
    </row>
    <row r="574" spans="4:23" ht="12.75">
      <c r="D574" s="49"/>
      <c r="E574" s="49"/>
      <c r="F574" s="49"/>
      <c r="W574" s="59"/>
    </row>
    <row r="575" spans="4:23" ht="12.75">
      <c r="D575" s="49"/>
      <c r="E575" s="49"/>
      <c r="F575" s="49"/>
      <c r="W575" s="59"/>
    </row>
    <row r="576" spans="4:23" ht="12.75">
      <c r="D576" s="49"/>
      <c r="E576" s="49"/>
      <c r="F576" s="49"/>
      <c r="W576" s="59"/>
    </row>
    <row r="577" spans="4:23" ht="12.75">
      <c r="D577" s="49"/>
      <c r="E577" s="49"/>
      <c r="F577" s="49"/>
      <c r="W577" s="59"/>
    </row>
    <row r="578" spans="4:23" ht="12.75">
      <c r="D578" s="49"/>
      <c r="E578" s="49"/>
      <c r="F578" s="49"/>
      <c r="W578" s="59"/>
    </row>
    <row r="579" spans="4:23" ht="12.75">
      <c r="D579" s="49"/>
      <c r="E579" s="49"/>
      <c r="F579" s="49"/>
      <c r="W579" s="59"/>
    </row>
    <row r="580" spans="4:23" ht="12.75">
      <c r="D580" s="49"/>
      <c r="E580" s="49"/>
      <c r="F580" s="49"/>
      <c r="W580" s="59"/>
    </row>
    <row r="581" spans="4:23" ht="12.75">
      <c r="D581" s="49"/>
      <c r="E581" s="49"/>
      <c r="F581" s="49"/>
      <c r="W581" s="59"/>
    </row>
    <row r="582" spans="4:23" ht="12.75">
      <c r="D582" s="49"/>
      <c r="E582" s="49"/>
      <c r="F582" s="49"/>
      <c r="W582" s="59"/>
    </row>
    <row r="583" spans="4:23" ht="12.75">
      <c r="D583" s="49"/>
      <c r="E583" s="49"/>
      <c r="F583" s="49"/>
      <c r="W583" s="59"/>
    </row>
    <row r="584" spans="4:23" ht="12.75">
      <c r="D584" s="49"/>
      <c r="E584" s="49"/>
      <c r="F584" s="49"/>
      <c r="W584" s="59"/>
    </row>
    <row r="585" spans="4:23" ht="12.75">
      <c r="D585" s="49"/>
      <c r="E585" s="49"/>
      <c r="F585" s="49"/>
      <c r="W585" s="59"/>
    </row>
    <row r="586" spans="4:23" ht="12.75">
      <c r="D586" s="49"/>
      <c r="E586" s="49"/>
      <c r="F586" s="49"/>
      <c r="W586" s="59"/>
    </row>
    <row r="587" spans="4:23" ht="12.75">
      <c r="D587" s="49"/>
      <c r="E587" s="49"/>
      <c r="F587" s="49"/>
      <c r="W587" s="59"/>
    </row>
    <row r="588" spans="4:23" ht="12.75">
      <c r="D588" s="49"/>
      <c r="E588" s="49"/>
      <c r="F588" s="49"/>
      <c r="W588" s="59"/>
    </row>
    <row r="589" spans="4:23" ht="12.75">
      <c r="D589" s="49"/>
      <c r="E589" s="49"/>
      <c r="F589" s="49"/>
      <c r="W589" s="59"/>
    </row>
    <row r="590" spans="4:23" ht="12.75">
      <c r="D590" s="49"/>
      <c r="E590" s="49"/>
      <c r="F590" s="49"/>
      <c r="W590" s="59"/>
    </row>
    <row r="591" spans="4:23" ht="12.75">
      <c r="D591" s="49"/>
      <c r="E591" s="49"/>
      <c r="F591" s="49"/>
      <c r="W591" s="59"/>
    </row>
    <row r="592" spans="4:23" ht="12.75">
      <c r="D592" s="49"/>
      <c r="E592" s="49"/>
      <c r="F592" s="49"/>
      <c r="W592" s="59"/>
    </row>
    <row r="593" spans="4:23" ht="12.75">
      <c r="D593" s="49"/>
      <c r="E593" s="49"/>
      <c r="F593" s="49"/>
      <c r="W593" s="59"/>
    </row>
    <row r="594" spans="4:23" ht="12.75">
      <c r="D594" s="49"/>
      <c r="E594" s="49"/>
      <c r="F594" s="49"/>
      <c r="W594" s="59"/>
    </row>
    <row r="595" spans="4:23" ht="12.75">
      <c r="D595" s="49"/>
      <c r="E595" s="49"/>
      <c r="F595" s="49"/>
      <c r="W595" s="59"/>
    </row>
    <row r="596" spans="4:23" ht="12.75">
      <c r="D596" s="49"/>
      <c r="E596" s="49"/>
      <c r="F596" s="49"/>
      <c r="W596" s="59"/>
    </row>
    <row r="597" spans="4:23" ht="12.75">
      <c r="D597" s="49"/>
      <c r="E597" s="49"/>
      <c r="F597" s="49"/>
      <c r="W597" s="59"/>
    </row>
    <row r="598" spans="4:23" ht="12.75">
      <c r="D598" s="49"/>
      <c r="E598" s="49"/>
      <c r="F598" s="49"/>
      <c r="W598" s="59"/>
    </row>
    <row r="599" spans="4:23" ht="12.75">
      <c r="D599" s="49"/>
      <c r="E599" s="49"/>
      <c r="F599" s="49"/>
      <c r="W599" s="59"/>
    </row>
    <row r="600" spans="4:23" ht="12.75">
      <c r="D600" s="49"/>
      <c r="E600" s="49"/>
      <c r="F600" s="49"/>
      <c r="W600" s="59"/>
    </row>
    <row r="601" spans="4:23" ht="12.75">
      <c r="D601" s="49"/>
      <c r="E601" s="49"/>
      <c r="F601" s="49"/>
      <c r="W601" s="59"/>
    </row>
    <row r="602" spans="4:23" ht="12.75">
      <c r="D602" s="49"/>
      <c r="E602" s="49"/>
      <c r="F602" s="49"/>
      <c r="W602" s="59"/>
    </row>
    <row r="603" spans="4:23" ht="12.75">
      <c r="D603" s="49"/>
      <c r="E603" s="49"/>
      <c r="F603" s="49"/>
      <c r="W603" s="59"/>
    </row>
    <row r="604" spans="4:23" ht="12.75">
      <c r="D604" s="49"/>
      <c r="E604" s="49"/>
      <c r="F604" s="49"/>
      <c r="W604" s="59"/>
    </row>
    <row r="605" spans="4:23" ht="12.75">
      <c r="D605" s="49"/>
      <c r="E605" s="49"/>
      <c r="F605" s="49"/>
      <c r="W605" s="59"/>
    </row>
    <row r="606" spans="4:23" ht="12.75">
      <c r="D606" s="49"/>
      <c r="E606" s="49"/>
      <c r="F606" s="49"/>
      <c r="W606" s="59"/>
    </row>
    <row r="607" spans="4:23" ht="12.75">
      <c r="D607" s="49"/>
      <c r="E607" s="49"/>
      <c r="F607" s="49"/>
      <c r="W607" s="59"/>
    </row>
    <row r="608" spans="4:23" ht="12.75">
      <c r="D608" s="49"/>
      <c r="E608" s="49"/>
      <c r="F608" s="49"/>
      <c r="W608" s="59"/>
    </row>
    <row r="609" spans="4:23" ht="12.75">
      <c r="D609" s="49"/>
      <c r="E609" s="49"/>
      <c r="F609" s="49"/>
      <c r="W609" s="59"/>
    </row>
    <row r="610" spans="4:23" ht="12.75">
      <c r="D610" s="49"/>
      <c r="E610" s="49"/>
      <c r="F610" s="49"/>
      <c r="W610" s="59"/>
    </row>
    <row r="611" spans="4:23" ht="12.75">
      <c r="D611" s="49"/>
      <c r="E611" s="49"/>
      <c r="F611" s="49"/>
      <c r="W611" s="59"/>
    </row>
    <row r="612" spans="4:23" ht="12.75">
      <c r="D612" s="49"/>
      <c r="E612" s="49"/>
      <c r="F612" s="49"/>
      <c r="W612" s="59"/>
    </row>
    <row r="613" spans="4:23" ht="12.75">
      <c r="D613" s="49"/>
      <c r="E613" s="49"/>
      <c r="F613" s="49"/>
      <c r="W613" s="59"/>
    </row>
    <row r="614" spans="4:23" ht="12.75">
      <c r="D614" s="49"/>
      <c r="E614" s="49"/>
      <c r="F614" s="49"/>
      <c r="W614" s="59"/>
    </row>
    <row r="615" spans="4:23" ht="12.75">
      <c r="D615" s="49"/>
      <c r="E615" s="49"/>
      <c r="F615" s="49"/>
      <c r="W615" s="59"/>
    </row>
    <row r="616" spans="4:23" ht="12.75">
      <c r="D616" s="49"/>
      <c r="E616" s="49"/>
      <c r="F616" s="49"/>
      <c r="W616" s="59"/>
    </row>
    <row r="617" spans="4:23" ht="12.75">
      <c r="D617" s="49"/>
      <c r="E617" s="49"/>
      <c r="F617" s="49"/>
      <c r="W617" s="59"/>
    </row>
    <row r="618" spans="4:23" ht="12.75">
      <c r="D618" s="49"/>
      <c r="E618" s="49"/>
      <c r="F618" s="49"/>
      <c r="W618" s="59"/>
    </row>
    <row r="619" spans="4:23" ht="12.75">
      <c r="D619" s="49"/>
      <c r="E619" s="49"/>
      <c r="F619" s="49"/>
      <c r="W619" s="59"/>
    </row>
    <row r="620" spans="4:23" ht="12.75">
      <c r="D620" s="49"/>
      <c r="E620" s="49"/>
      <c r="F620" s="49"/>
      <c r="W620" s="59"/>
    </row>
    <row r="621" spans="4:23" ht="12.75">
      <c r="D621" s="49"/>
      <c r="E621" s="49"/>
      <c r="F621" s="49"/>
      <c r="W621" s="59"/>
    </row>
    <row r="622" spans="4:23" ht="12.75">
      <c r="D622" s="49"/>
      <c r="E622" s="49"/>
      <c r="F622" s="49"/>
      <c r="W622" s="59"/>
    </row>
    <row r="623" spans="4:23" ht="12.75">
      <c r="D623" s="49"/>
      <c r="E623" s="49"/>
      <c r="F623" s="49"/>
      <c r="W623" s="59"/>
    </row>
    <row r="624" spans="4:23" ht="12.75">
      <c r="D624" s="49"/>
      <c r="E624" s="49"/>
      <c r="F624" s="49"/>
      <c r="W624" s="59"/>
    </row>
    <row r="625" spans="4:23" ht="12.75">
      <c r="D625" s="49"/>
      <c r="E625" s="49"/>
      <c r="F625" s="49"/>
      <c r="W625" s="59"/>
    </row>
    <row r="626" spans="4:23" ht="12.75">
      <c r="D626" s="49"/>
      <c r="E626" s="49"/>
      <c r="F626" s="49"/>
      <c r="W626" s="59"/>
    </row>
    <row r="627" spans="4:23" ht="12.75">
      <c r="D627" s="49"/>
      <c r="E627" s="49"/>
      <c r="F627" s="49"/>
      <c r="W627" s="59"/>
    </row>
    <row r="628" spans="4:23" ht="12.75">
      <c r="D628" s="49"/>
      <c r="E628" s="49"/>
      <c r="F628" s="49"/>
      <c r="W628" s="59"/>
    </row>
    <row r="629" spans="4:23" ht="12.75">
      <c r="D629" s="49"/>
      <c r="E629" s="49"/>
      <c r="F629" s="49"/>
      <c r="W629" s="59"/>
    </row>
    <row r="630" spans="4:23" ht="12.75">
      <c r="D630" s="49"/>
      <c r="E630" s="49"/>
      <c r="F630" s="49"/>
      <c r="W630" s="59"/>
    </row>
    <row r="631" spans="4:23" ht="12.75">
      <c r="D631" s="49"/>
      <c r="E631" s="49"/>
      <c r="F631" s="49"/>
      <c r="W631" s="59"/>
    </row>
    <row r="632" spans="4:23" ht="12.75">
      <c r="D632" s="49"/>
      <c r="E632" s="49"/>
      <c r="F632" s="49"/>
      <c r="W632" s="59"/>
    </row>
    <row r="633" spans="4:23" ht="12.75">
      <c r="D633" s="49"/>
      <c r="E633" s="49"/>
      <c r="F633" s="49"/>
      <c r="W633" s="59"/>
    </row>
    <row r="634" spans="4:23" ht="12.75">
      <c r="D634" s="49"/>
      <c r="E634" s="49"/>
      <c r="F634" s="49"/>
      <c r="W634" s="59"/>
    </row>
    <row r="635" spans="4:23" ht="12.75">
      <c r="D635" s="49"/>
      <c r="E635" s="49"/>
      <c r="F635" s="49"/>
      <c r="W635" s="59"/>
    </row>
    <row r="636" spans="4:23" ht="12.75">
      <c r="D636" s="49"/>
      <c r="E636" s="49"/>
      <c r="F636" s="49"/>
      <c r="W636" s="59"/>
    </row>
    <row r="637" spans="4:23" ht="12.75">
      <c r="D637" s="49"/>
      <c r="E637" s="49"/>
      <c r="F637" s="49"/>
      <c r="W637" s="59"/>
    </row>
    <row r="638" spans="4:23" ht="12.75">
      <c r="D638" s="49"/>
      <c r="E638" s="49"/>
      <c r="F638" s="49"/>
      <c r="W638" s="59"/>
    </row>
    <row r="639" spans="4:23" ht="12.75">
      <c r="D639" s="49"/>
      <c r="E639" s="49"/>
      <c r="F639" s="49"/>
      <c r="W639" s="59"/>
    </row>
    <row r="640" spans="4:23" ht="12.75">
      <c r="D640" s="49"/>
      <c r="E640" s="49"/>
      <c r="F640" s="49"/>
      <c r="W640" s="59"/>
    </row>
    <row r="641" spans="4:23" ht="12.75">
      <c r="D641" s="49"/>
      <c r="E641" s="49"/>
      <c r="F641" s="49"/>
      <c r="W641" s="59"/>
    </row>
    <row r="642" spans="4:23" ht="12.75">
      <c r="D642" s="49"/>
      <c r="E642" s="49"/>
      <c r="F642" s="49"/>
      <c r="W642" s="59"/>
    </row>
    <row r="643" spans="4:23" ht="12.75">
      <c r="D643" s="49"/>
      <c r="E643" s="49"/>
      <c r="F643" s="49"/>
      <c r="W643" s="59"/>
    </row>
    <row r="644" spans="4:23" ht="12.75">
      <c r="D644" s="49"/>
      <c r="E644" s="49"/>
      <c r="F644" s="49"/>
      <c r="W644" s="59"/>
    </row>
    <row r="645" spans="4:23" ht="12.75">
      <c r="D645" s="49"/>
      <c r="E645" s="49"/>
      <c r="F645" s="49"/>
      <c r="W645" s="59"/>
    </row>
    <row r="646" spans="4:23" ht="12.75">
      <c r="D646" s="49"/>
      <c r="E646" s="49"/>
      <c r="F646" s="49"/>
      <c r="W646" s="59"/>
    </row>
    <row r="647" spans="4:23" ht="12.75">
      <c r="D647" s="49"/>
      <c r="E647" s="49"/>
      <c r="F647" s="49"/>
      <c r="W647" s="59"/>
    </row>
    <row r="648" spans="4:23" ht="12.75">
      <c r="D648" s="49"/>
      <c r="E648" s="49"/>
      <c r="F648" s="49"/>
      <c r="W648" s="59"/>
    </row>
    <row r="649" spans="4:23" ht="12.75">
      <c r="D649" s="49"/>
      <c r="E649" s="49"/>
      <c r="F649" s="49"/>
      <c r="W649" s="59"/>
    </row>
    <row r="650" spans="4:23" ht="12.75">
      <c r="D650" s="49"/>
      <c r="E650" s="49"/>
      <c r="F650" s="49"/>
      <c r="W650" s="59"/>
    </row>
    <row r="651" spans="4:23" ht="12.75">
      <c r="D651" s="49"/>
      <c r="E651" s="49"/>
      <c r="F651" s="49"/>
      <c r="W651" s="59"/>
    </row>
    <row r="652" spans="4:23" ht="12.75">
      <c r="D652" s="49"/>
      <c r="E652" s="49"/>
      <c r="F652" s="49"/>
      <c r="W652" s="59"/>
    </row>
    <row r="653" spans="4:23" ht="12.75">
      <c r="D653" s="49"/>
      <c r="E653" s="49"/>
      <c r="F653" s="49"/>
      <c r="W653" s="59"/>
    </row>
    <row r="654" spans="4:23" ht="12.75">
      <c r="D654" s="49"/>
      <c r="E654" s="49"/>
      <c r="F654" s="49"/>
      <c r="W654" s="59"/>
    </row>
    <row r="655" spans="4:23" ht="12.75">
      <c r="D655" s="49"/>
      <c r="E655" s="49"/>
      <c r="F655" s="49"/>
      <c r="W655" s="59"/>
    </row>
    <row r="656" spans="4:23" ht="12.75">
      <c r="D656" s="49"/>
      <c r="E656" s="49"/>
      <c r="F656" s="49"/>
      <c r="W656" s="59"/>
    </row>
    <row r="657" spans="4:23" ht="12.75">
      <c r="D657" s="49"/>
      <c r="E657" s="49"/>
      <c r="F657" s="49"/>
      <c r="W657" s="59"/>
    </row>
    <row r="658" spans="4:23" ht="12.75">
      <c r="D658" s="49"/>
      <c r="E658" s="49"/>
      <c r="F658" s="49"/>
      <c r="W658" s="59"/>
    </row>
    <row r="659" spans="4:23" ht="12.75">
      <c r="D659" s="49"/>
      <c r="E659" s="49"/>
      <c r="F659" s="49"/>
      <c r="W659" s="59"/>
    </row>
    <row r="660" spans="4:23" ht="12.75">
      <c r="D660" s="49"/>
      <c r="E660" s="49"/>
      <c r="F660" s="49"/>
      <c r="W660" s="59"/>
    </row>
    <row r="661" spans="4:23" ht="12.75">
      <c r="D661" s="49"/>
      <c r="E661" s="49"/>
      <c r="F661" s="49"/>
      <c r="W661" s="59"/>
    </row>
    <row r="662" spans="4:23" ht="12.75">
      <c r="D662" s="49"/>
      <c r="E662" s="49"/>
      <c r="F662" s="49"/>
      <c r="W662" s="59"/>
    </row>
    <row r="663" spans="4:23" ht="12.75">
      <c r="D663" s="49"/>
      <c r="E663" s="49"/>
      <c r="F663" s="49"/>
      <c r="W663" s="59"/>
    </row>
    <row r="664" spans="4:23" ht="12.75">
      <c r="D664" s="49"/>
      <c r="E664" s="49"/>
      <c r="F664" s="49"/>
      <c r="W664" s="59"/>
    </row>
    <row r="665" spans="4:23" ht="12.75">
      <c r="D665" s="49"/>
      <c r="E665" s="49"/>
      <c r="F665" s="49"/>
      <c r="W665" s="59"/>
    </row>
    <row r="666" spans="4:23" ht="12.75">
      <c r="D666" s="49"/>
      <c r="E666" s="49"/>
      <c r="F666" s="49"/>
      <c r="W666" s="59"/>
    </row>
    <row r="667" spans="4:23" ht="12.75">
      <c r="D667" s="49"/>
      <c r="E667" s="49"/>
      <c r="F667" s="49"/>
      <c r="W667" s="59"/>
    </row>
    <row r="668" spans="4:23" ht="12.75">
      <c r="D668" s="49"/>
      <c r="E668" s="49"/>
      <c r="F668" s="49"/>
      <c r="W668" s="59"/>
    </row>
    <row r="669" spans="4:23" ht="12.75">
      <c r="D669" s="49"/>
      <c r="E669" s="49"/>
      <c r="F669" s="49"/>
      <c r="W669" s="59"/>
    </row>
    <row r="670" spans="4:23" ht="12.75">
      <c r="D670" s="49"/>
      <c r="E670" s="49"/>
      <c r="F670" s="49"/>
      <c r="W670" s="59"/>
    </row>
    <row r="671" spans="4:23" ht="12.75">
      <c r="D671" s="49"/>
      <c r="E671" s="49"/>
      <c r="F671" s="49"/>
      <c r="W671" s="59"/>
    </row>
    <row r="672" spans="4:23" ht="12.75">
      <c r="D672" s="49"/>
      <c r="E672" s="49"/>
      <c r="F672" s="49"/>
      <c r="W672" s="59"/>
    </row>
    <row r="673" spans="4:23" ht="12.75">
      <c r="D673" s="49"/>
      <c r="E673" s="49"/>
      <c r="F673" s="49"/>
      <c r="W673" s="59"/>
    </row>
    <row r="674" spans="4:23" ht="12.75">
      <c r="D674" s="49"/>
      <c r="E674" s="49"/>
      <c r="F674" s="49"/>
      <c r="W674" s="59"/>
    </row>
    <row r="675" spans="4:23" ht="12.75">
      <c r="D675" s="49"/>
      <c r="E675" s="49"/>
      <c r="F675" s="49"/>
      <c r="W675" s="59"/>
    </row>
    <row r="676" spans="4:23" ht="12.75">
      <c r="D676" s="49"/>
      <c r="E676" s="49"/>
      <c r="F676" s="49"/>
      <c r="W676" s="59"/>
    </row>
    <row r="677" spans="4:23" ht="12.75">
      <c r="D677" s="49"/>
      <c r="E677" s="49"/>
      <c r="F677" s="49"/>
      <c r="W677" s="59"/>
    </row>
    <row r="678" spans="4:23" ht="12.75">
      <c r="D678" s="49"/>
      <c r="E678" s="49"/>
      <c r="F678" s="49"/>
      <c r="W678" s="59"/>
    </row>
    <row r="679" spans="4:23" ht="12.75">
      <c r="D679" s="49"/>
      <c r="E679" s="49"/>
      <c r="F679" s="49"/>
      <c r="W679" s="59"/>
    </row>
    <row r="680" spans="4:23" ht="12.75">
      <c r="D680" s="49"/>
      <c r="E680" s="49"/>
      <c r="F680" s="49"/>
      <c r="W680" s="59"/>
    </row>
    <row r="681" spans="4:23" ht="12.75">
      <c r="D681" s="49"/>
      <c r="E681" s="49"/>
      <c r="F681" s="49"/>
      <c r="W681" s="59"/>
    </row>
    <row r="682" spans="4:23" ht="12.75">
      <c r="D682" s="49"/>
      <c r="E682" s="49"/>
      <c r="F682" s="49"/>
      <c r="W682" s="59"/>
    </row>
    <row r="683" spans="4:23" ht="12.75">
      <c r="D683" s="49"/>
      <c r="E683" s="49"/>
      <c r="F683" s="49"/>
      <c r="W683" s="59"/>
    </row>
    <row r="684" spans="4:23" ht="12.75">
      <c r="D684" s="49"/>
      <c r="E684" s="49"/>
      <c r="F684" s="49"/>
      <c r="W684" s="59"/>
    </row>
    <row r="685" spans="4:23" ht="12.75">
      <c r="D685" s="49"/>
      <c r="E685" s="49"/>
      <c r="F685" s="49"/>
      <c r="W685" s="59"/>
    </row>
    <row r="686" spans="4:23" ht="12.75">
      <c r="D686" s="49"/>
      <c r="E686" s="49"/>
      <c r="F686" s="49"/>
      <c r="W686" s="59"/>
    </row>
    <row r="687" spans="4:23" ht="12.75">
      <c r="D687" s="49"/>
      <c r="E687" s="49"/>
      <c r="F687" s="49"/>
      <c r="W687" s="59"/>
    </row>
    <row r="688" spans="4:23" ht="12.75">
      <c r="D688" s="49"/>
      <c r="E688" s="49"/>
      <c r="F688" s="49"/>
      <c r="W688" s="59"/>
    </row>
    <row r="689" spans="4:23" ht="12.75">
      <c r="D689" s="49"/>
      <c r="E689" s="49"/>
      <c r="F689" s="49"/>
      <c r="W689" s="59"/>
    </row>
    <row r="690" spans="4:23" ht="12.75">
      <c r="D690" s="49"/>
      <c r="E690" s="49"/>
      <c r="F690" s="49"/>
      <c r="W690" s="59"/>
    </row>
    <row r="691" spans="4:23" ht="12.75">
      <c r="D691" s="49"/>
      <c r="E691" s="49"/>
      <c r="F691" s="49"/>
      <c r="W691" s="59"/>
    </row>
    <row r="692" spans="4:23" ht="12.75">
      <c r="D692" s="49"/>
      <c r="E692" s="49"/>
      <c r="F692" s="49"/>
      <c r="W692" s="59"/>
    </row>
    <row r="693" spans="4:23" ht="12.75">
      <c r="D693" s="49"/>
      <c r="E693" s="49"/>
      <c r="F693" s="49"/>
      <c r="W693" s="59"/>
    </row>
    <row r="694" spans="4:23" ht="12.75">
      <c r="D694" s="49"/>
      <c r="E694" s="49"/>
      <c r="F694" s="49"/>
      <c r="W694" s="59"/>
    </row>
    <row r="695" spans="4:23" ht="12.75">
      <c r="D695" s="49"/>
      <c r="E695" s="49"/>
      <c r="F695" s="49"/>
      <c r="W695" s="59"/>
    </row>
    <row r="696" spans="4:23" ht="12.75">
      <c r="D696" s="49"/>
      <c r="E696" s="49"/>
      <c r="F696" s="49"/>
      <c r="W696" s="59"/>
    </row>
    <row r="697" spans="4:23" ht="12.75">
      <c r="D697" s="49"/>
      <c r="E697" s="49"/>
      <c r="F697" s="49"/>
      <c r="W697" s="59"/>
    </row>
    <row r="698" spans="4:23" ht="12.75">
      <c r="D698" s="49"/>
      <c r="E698" s="49"/>
      <c r="F698" s="49"/>
      <c r="W698" s="59"/>
    </row>
    <row r="699" spans="4:23" ht="12.75">
      <c r="D699" s="49"/>
      <c r="E699" s="49"/>
      <c r="F699" s="49"/>
      <c r="W699" s="59"/>
    </row>
    <row r="700" spans="4:23" ht="12.75">
      <c r="D700" s="49"/>
      <c r="E700" s="49"/>
      <c r="F700" s="49"/>
      <c r="W700" s="59"/>
    </row>
    <row r="701" spans="4:23" ht="12.75">
      <c r="D701" s="49"/>
      <c r="E701" s="49"/>
      <c r="F701" s="49"/>
      <c r="W701" s="59"/>
    </row>
    <row r="702" spans="4:23" ht="12.75">
      <c r="D702" s="49"/>
      <c r="E702" s="49"/>
      <c r="F702" s="49"/>
      <c r="W702" s="59"/>
    </row>
    <row r="703" spans="4:23" ht="12.75">
      <c r="D703" s="49"/>
      <c r="E703" s="49"/>
      <c r="F703" s="49"/>
      <c r="W703" s="59"/>
    </row>
    <row r="704" spans="4:23" ht="12.75">
      <c r="D704" s="49"/>
      <c r="E704" s="49"/>
      <c r="F704" s="49"/>
      <c r="W704" s="59"/>
    </row>
    <row r="705" spans="4:23" ht="12.75">
      <c r="D705" s="49"/>
      <c r="E705" s="49"/>
      <c r="F705" s="49"/>
      <c r="W705" s="59"/>
    </row>
    <row r="706" spans="4:23" ht="12.75">
      <c r="D706" s="49"/>
      <c r="E706" s="49"/>
      <c r="F706" s="49"/>
      <c r="W706" s="59"/>
    </row>
    <row r="707" spans="4:23" ht="12.75">
      <c r="D707" s="49"/>
      <c r="E707" s="49"/>
      <c r="F707" s="49"/>
      <c r="W707" s="59"/>
    </row>
    <row r="708" spans="4:23" ht="12.75">
      <c r="D708" s="49"/>
      <c r="E708" s="49"/>
      <c r="F708" s="49"/>
      <c r="W708" s="59"/>
    </row>
    <row r="709" spans="4:23" ht="12.75">
      <c r="D709" s="49"/>
      <c r="E709" s="49"/>
      <c r="F709" s="49"/>
      <c r="W709" s="59"/>
    </row>
    <row r="710" spans="4:23" ht="12.75">
      <c r="D710" s="49"/>
      <c r="E710" s="49"/>
      <c r="F710" s="49"/>
      <c r="W710" s="59"/>
    </row>
    <row r="711" spans="4:23" ht="12.75">
      <c r="D711" s="49"/>
      <c r="E711" s="49"/>
      <c r="F711" s="49"/>
      <c r="W711" s="59"/>
    </row>
    <row r="712" spans="4:23" ht="12.75">
      <c r="D712" s="49"/>
      <c r="E712" s="49"/>
      <c r="F712" s="49"/>
      <c r="W712" s="59"/>
    </row>
    <row r="713" spans="4:23" ht="12.75">
      <c r="D713" s="49"/>
      <c r="E713" s="49"/>
      <c r="F713" s="49"/>
      <c r="W713" s="59"/>
    </row>
    <row r="714" spans="4:23" ht="12.75">
      <c r="D714" s="49"/>
      <c r="E714" s="49"/>
      <c r="F714" s="49"/>
      <c r="W714" s="59"/>
    </row>
    <row r="715" spans="4:23" ht="12.75">
      <c r="D715" s="49"/>
      <c r="E715" s="49"/>
      <c r="F715" s="49"/>
      <c r="W715" s="59"/>
    </row>
    <row r="716" spans="4:23" ht="12.75">
      <c r="D716" s="49"/>
      <c r="E716" s="49"/>
      <c r="F716" s="49"/>
      <c r="W716" s="59"/>
    </row>
    <row r="717" spans="4:23" ht="12.75">
      <c r="D717" s="49"/>
      <c r="E717" s="49"/>
      <c r="F717" s="49"/>
      <c r="W717" s="59"/>
    </row>
    <row r="718" spans="4:23" ht="12.75">
      <c r="D718" s="49"/>
      <c r="E718" s="49"/>
      <c r="F718" s="49"/>
      <c r="W718" s="59"/>
    </row>
    <row r="719" spans="4:23" ht="12.75">
      <c r="D719" s="49"/>
      <c r="E719" s="49"/>
      <c r="F719" s="49"/>
      <c r="W719" s="59"/>
    </row>
    <row r="720" spans="4:23" ht="12.75">
      <c r="D720" s="49"/>
      <c r="E720" s="49"/>
      <c r="F720" s="49"/>
      <c r="W720" s="59"/>
    </row>
    <row r="721" spans="4:23" ht="12.75">
      <c r="D721" s="49"/>
      <c r="E721" s="49"/>
      <c r="F721" s="49"/>
      <c r="W721" s="59"/>
    </row>
    <row r="722" spans="4:23" ht="12.75">
      <c r="D722" s="49"/>
      <c r="E722" s="49"/>
      <c r="F722" s="49"/>
      <c r="W722" s="59"/>
    </row>
    <row r="723" spans="4:23" ht="12.75">
      <c r="D723" s="49"/>
      <c r="E723" s="49"/>
      <c r="F723" s="49"/>
      <c r="W723" s="59"/>
    </row>
    <row r="724" spans="4:23" ht="12.75">
      <c r="D724" s="49"/>
      <c r="E724" s="49"/>
      <c r="F724" s="49"/>
      <c r="W724" s="59"/>
    </row>
    <row r="725" spans="4:23" ht="12.75">
      <c r="D725" s="49"/>
      <c r="E725" s="49"/>
      <c r="F725" s="49"/>
      <c r="W725" s="59"/>
    </row>
    <row r="726" spans="4:23" ht="12.75">
      <c r="D726" s="49"/>
      <c r="E726" s="49"/>
      <c r="F726" s="49"/>
      <c r="W726" s="59"/>
    </row>
    <row r="727" spans="4:23" ht="12.75">
      <c r="D727" s="49"/>
      <c r="E727" s="49"/>
      <c r="F727" s="49"/>
      <c r="W727" s="59"/>
    </row>
    <row r="728" spans="4:23" ht="12.75">
      <c r="D728" s="49"/>
      <c r="E728" s="49"/>
      <c r="F728" s="49"/>
      <c r="W728" s="59"/>
    </row>
    <row r="729" spans="4:23" ht="12.75">
      <c r="D729" s="49"/>
      <c r="E729" s="49"/>
      <c r="F729" s="49"/>
      <c r="W729" s="59"/>
    </row>
    <row r="730" spans="4:23" ht="12.75">
      <c r="D730" s="49"/>
      <c r="E730" s="49"/>
      <c r="F730" s="49"/>
      <c r="W730" s="59"/>
    </row>
    <row r="731" spans="4:23" ht="12.75">
      <c r="D731" s="49"/>
      <c r="E731" s="49"/>
      <c r="F731" s="49"/>
      <c r="W731" s="59"/>
    </row>
    <row r="732" spans="4:23" ht="12.75">
      <c r="D732" s="49"/>
      <c r="E732" s="49"/>
      <c r="F732" s="49"/>
      <c r="W732" s="59"/>
    </row>
    <row r="733" spans="4:23" ht="12.75">
      <c r="D733" s="49"/>
      <c r="E733" s="49"/>
      <c r="F733" s="49"/>
      <c r="W733" s="59"/>
    </row>
    <row r="734" spans="4:23" ht="12.75">
      <c r="D734" s="49"/>
      <c r="E734" s="49"/>
      <c r="F734" s="49"/>
      <c r="W734" s="59"/>
    </row>
    <row r="735" spans="4:23" ht="12.75">
      <c r="D735" s="49"/>
      <c r="E735" s="49"/>
      <c r="F735" s="49"/>
      <c r="W735" s="59"/>
    </row>
    <row r="736" spans="4:23" ht="12.75">
      <c r="D736" s="49"/>
      <c r="E736" s="49"/>
      <c r="F736" s="49"/>
      <c r="W736" s="59"/>
    </row>
    <row r="737" spans="4:23" ht="12.75">
      <c r="D737" s="49"/>
      <c r="E737" s="49"/>
      <c r="F737" s="49"/>
      <c r="W737" s="59"/>
    </row>
    <row r="738" spans="4:23" ht="12.75">
      <c r="D738" s="49"/>
      <c r="E738" s="49"/>
      <c r="F738" s="49"/>
      <c r="W738" s="59"/>
    </row>
    <row r="739" spans="4:23" ht="12.75">
      <c r="D739" s="49"/>
      <c r="E739" s="49"/>
      <c r="F739" s="49"/>
      <c r="W739" s="59"/>
    </row>
    <row r="740" spans="4:23" ht="12.75">
      <c r="D740" s="49"/>
      <c r="E740" s="49"/>
      <c r="F740" s="49"/>
      <c r="W740" s="59"/>
    </row>
    <row r="741" spans="4:23" ht="12.75">
      <c r="D741" s="49"/>
      <c r="E741" s="49"/>
      <c r="F741" s="49"/>
      <c r="W741" s="59"/>
    </row>
    <row r="742" spans="4:23" ht="12.75">
      <c r="D742" s="49"/>
      <c r="E742" s="49"/>
      <c r="F742" s="49"/>
      <c r="W742" s="59"/>
    </row>
    <row r="743" spans="4:23" ht="12.75">
      <c r="D743" s="49"/>
      <c r="E743" s="49"/>
      <c r="F743" s="49"/>
      <c r="W743" s="59"/>
    </row>
    <row r="744" spans="4:23" ht="12.75">
      <c r="D744" s="49"/>
      <c r="E744" s="49"/>
      <c r="F744" s="49"/>
      <c r="W744" s="59"/>
    </row>
    <row r="745" spans="4:23" ht="12.75">
      <c r="D745" s="49"/>
      <c r="E745" s="49"/>
      <c r="F745" s="49"/>
      <c r="W745" s="59"/>
    </row>
    <row r="746" spans="4:23" ht="12.75">
      <c r="D746" s="49"/>
      <c r="E746" s="49"/>
      <c r="F746" s="49"/>
      <c r="W746" s="59"/>
    </row>
    <row r="747" spans="4:23" ht="12.75">
      <c r="D747" s="49"/>
      <c r="E747" s="49"/>
      <c r="F747" s="49"/>
      <c r="W747" s="59"/>
    </row>
    <row r="748" spans="4:23" ht="12.75">
      <c r="D748" s="49"/>
      <c r="E748" s="49"/>
      <c r="F748" s="49"/>
      <c r="W748" s="59"/>
    </row>
    <row r="749" spans="4:23" ht="12.75">
      <c r="D749" s="49"/>
      <c r="E749" s="49"/>
      <c r="F749" s="49"/>
      <c r="W749" s="59"/>
    </row>
    <row r="750" spans="4:23" ht="12.75">
      <c r="D750" s="49"/>
      <c r="E750" s="49"/>
      <c r="F750" s="49"/>
      <c r="W750" s="59"/>
    </row>
    <row r="751" spans="4:23" ht="12.75">
      <c r="D751" s="49"/>
      <c r="E751" s="49"/>
      <c r="F751" s="49"/>
      <c r="W751" s="59"/>
    </row>
    <row r="752" spans="4:23" ht="12.75">
      <c r="D752" s="49"/>
      <c r="E752" s="49"/>
      <c r="F752" s="49"/>
      <c r="W752" s="59"/>
    </row>
    <row r="753" spans="4:23" ht="12.75">
      <c r="D753" s="49"/>
      <c r="E753" s="49"/>
      <c r="F753" s="49"/>
      <c r="W753" s="59"/>
    </row>
    <row r="754" spans="4:23" ht="12.75">
      <c r="D754" s="49"/>
      <c r="E754" s="49"/>
      <c r="F754" s="49"/>
      <c r="W754" s="59"/>
    </row>
    <row r="755" spans="4:23" ht="12.75">
      <c r="D755" s="49"/>
      <c r="E755" s="49"/>
      <c r="F755" s="49"/>
      <c r="W755" s="59"/>
    </row>
    <row r="756" spans="4:23" ht="12.75">
      <c r="D756" s="49"/>
      <c r="E756" s="49"/>
      <c r="F756" s="49"/>
      <c r="W756" s="59"/>
    </row>
    <row r="757" spans="4:23" ht="12.75">
      <c r="D757" s="49"/>
      <c r="E757" s="49"/>
      <c r="F757" s="49"/>
      <c r="W757" s="59"/>
    </row>
    <row r="758" spans="4:23" ht="12.75">
      <c r="D758" s="49"/>
      <c r="E758" s="49"/>
      <c r="F758" s="49"/>
      <c r="W758" s="59"/>
    </row>
    <row r="759" spans="4:23" ht="12.75">
      <c r="D759" s="49"/>
      <c r="E759" s="49"/>
      <c r="F759" s="49"/>
      <c r="W759" s="59"/>
    </row>
    <row r="760" spans="4:23" ht="12.75">
      <c r="D760" s="49"/>
      <c r="E760" s="49"/>
      <c r="F760" s="49"/>
      <c r="W760" s="59"/>
    </row>
    <row r="761" spans="4:23" ht="12.75">
      <c r="D761" s="49"/>
      <c r="E761" s="49"/>
      <c r="F761" s="49"/>
      <c r="W761" s="59"/>
    </row>
    <row r="762" spans="4:23" ht="12.75">
      <c r="D762" s="49"/>
      <c r="E762" s="49"/>
      <c r="F762" s="49"/>
      <c r="W762" s="59"/>
    </row>
    <row r="763" spans="4:23" ht="12.75">
      <c r="D763" s="49"/>
      <c r="E763" s="49"/>
      <c r="F763" s="49"/>
      <c r="W763" s="59"/>
    </row>
    <row r="764" spans="4:23" ht="12.75">
      <c r="D764" s="49"/>
      <c r="E764" s="49"/>
      <c r="F764" s="49"/>
      <c r="W764" s="59"/>
    </row>
    <row r="765" spans="4:23" ht="12.75">
      <c r="D765" s="49"/>
      <c r="E765" s="49"/>
      <c r="F765" s="49"/>
      <c r="W765" s="59"/>
    </row>
    <row r="766" spans="4:23" ht="12.75">
      <c r="D766" s="49"/>
      <c r="E766" s="49"/>
      <c r="F766" s="49"/>
      <c r="W766" s="59"/>
    </row>
    <row r="767" spans="4:23" ht="12.75">
      <c r="D767" s="49"/>
      <c r="E767" s="49"/>
      <c r="F767" s="49"/>
      <c r="W767" s="59"/>
    </row>
    <row r="768" spans="4:23" ht="12.75">
      <c r="D768" s="49"/>
      <c r="E768" s="49"/>
      <c r="F768" s="49"/>
      <c r="W768" s="59"/>
    </row>
    <row r="769" spans="4:23" ht="12.75">
      <c r="D769" s="49"/>
      <c r="E769" s="49"/>
      <c r="F769" s="49"/>
      <c r="W769" s="59"/>
    </row>
    <row r="770" spans="4:23" ht="12.75">
      <c r="D770" s="49"/>
      <c r="E770" s="49"/>
      <c r="F770" s="49"/>
      <c r="W770" s="59"/>
    </row>
    <row r="771" spans="4:23" ht="12.75">
      <c r="D771" s="49"/>
      <c r="E771" s="49"/>
      <c r="F771" s="49"/>
      <c r="W771" s="59"/>
    </row>
    <row r="772" spans="4:23" ht="12.75">
      <c r="D772" s="49"/>
      <c r="E772" s="49"/>
      <c r="F772" s="49"/>
      <c r="W772" s="59"/>
    </row>
    <row r="773" spans="4:23" ht="12.75">
      <c r="D773" s="49"/>
      <c r="E773" s="49"/>
      <c r="F773" s="49"/>
      <c r="W773" s="59"/>
    </row>
    <row r="774" spans="4:23" ht="12.75">
      <c r="D774" s="49"/>
      <c r="E774" s="49"/>
      <c r="F774" s="49"/>
      <c r="W774" s="59"/>
    </row>
    <row r="775" spans="4:23" ht="12.75">
      <c r="D775" s="49"/>
      <c r="E775" s="49"/>
      <c r="F775" s="49"/>
      <c r="W775" s="59"/>
    </row>
    <row r="776" spans="4:23" ht="12.75">
      <c r="D776" s="49"/>
      <c r="E776" s="49"/>
      <c r="F776" s="49"/>
      <c r="W776" s="59"/>
    </row>
    <row r="777" spans="4:23" ht="12.75">
      <c r="D777" s="49"/>
      <c r="E777" s="49"/>
      <c r="F777" s="49"/>
      <c r="W777" s="59"/>
    </row>
    <row r="778" spans="4:23" ht="12.75">
      <c r="D778" s="49"/>
      <c r="E778" s="49"/>
      <c r="F778" s="49"/>
      <c r="W778" s="59"/>
    </row>
    <row r="779" spans="4:23" ht="12.75">
      <c r="D779" s="49"/>
      <c r="E779" s="49"/>
      <c r="F779" s="49"/>
      <c r="W779" s="59"/>
    </row>
    <row r="780" spans="4:23" ht="12.75">
      <c r="D780" s="49"/>
      <c r="E780" s="49"/>
      <c r="F780" s="49"/>
      <c r="W780" s="59"/>
    </row>
    <row r="781" spans="4:23" ht="12.75">
      <c r="D781" s="49"/>
      <c r="E781" s="49"/>
      <c r="F781" s="49"/>
      <c r="W781" s="59"/>
    </row>
    <row r="782" spans="4:23" ht="12.75">
      <c r="D782" s="49"/>
      <c r="E782" s="49"/>
      <c r="F782" s="49"/>
      <c r="W782" s="59"/>
    </row>
    <row r="783" spans="4:23" ht="12.75">
      <c r="D783" s="49"/>
      <c r="E783" s="49"/>
      <c r="F783" s="49"/>
      <c r="W783" s="59"/>
    </row>
    <row r="784" spans="4:23" ht="12.75">
      <c r="D784" s="49"/>
      <c r="E784" s="49"/>
      <c r="F784" s="49"/>
      <c r="W784" s="59"/>
    </row>
    <row r="785" spans="4:23" ht="12.75">
      <c r="D785" s="49"/>
      <c r="E785" s="49"/>
      <c r="F785" s="49"/>
      <c r="W785" s="59"/>
    </row>
    <row r="786" spans="4:23" ht="12.75">
      <c r="D786" s="49"/>
      <c r="E786" s="49"/>
      <c r="F786" s="49"/>
      <c r="W786" s="59"/>
    </row>
    <row r="787" spans="4:23" ht="12.75">
      <c r="D787" s="49"/>
      <c r="E787" s="49"/>
      <c r="F787" s="49"/>
      <c r="W787" s="59"/>
    </row>
    <row r="788" spans="4:23" ht="12.75">
      <c r="D788" s="49"/>
      <c r="E788" s="49"/>
      <c r="F788" s="49"/>
      <c r="W788" s="59"/>
    </row>
    <row r="789" spans="4:23" ht="12.75">
      <c r="D789" s="49"/>
      <c r="E789" s="49"/>
      <c r="F789" s="49"/>
      <c r="W789" s="59"/>
    </row>
    <row r="790" spans="4:23" ht="12.75">
      <c r="D790" s="49"/>
      <c r="E790" s="49"/>
      <c r="F790" s="49"/>
      <c r="W790" s="59"/>
    </row>
    <row r="791" spans="4:23" ht="12.75">
      <c r="D791" s="49"/>
      <c r="E791" s="49"/>
      <c r="F791" s="49"/>
      <c r="W791" s="59"/>
    </row>
    <row r="792" spans="4:23" ht="12.75">
      <c r="D792" s="49"/>
      <c r="E792" s="49"/>
      <c r="F792" s="49"/>
      <c r="W792" s="59"/>
    </row>
    <row r="793" spans="4:23" ht="12.75">
      <c r="D793" s="49"/>
      <c r="E793" s="49"/>
      <c r="F793" s="49"/>
      <c r="W793" s="59"/>
    </row>
    <row r="794" spans="4:23" ht="12.75">
      <c r="D794" s="49"/>
      <c r="E794" s="49"/>
      <c r="F794" s="49"/>
      <c r="W794" s="59"/>
    </row>
    <row r="795" spans="4:23" ht="12.75">
      <c r="D795" s="49"/>
      <c r="E795" s="49"/>
      <c r="F795" s="49"/>
      <c r="W795" s="59"/>
    </row>
    <row r="796" spans="4:23" ht="12.75">
      <c r="D796" s="49"/>
      <c r="E796" s="49"/>
      <c r="F796" s="49"/>
      <c r="W796" s="59"/>
    </row>
    <row r="797" spans="4:23" ht="12.75">
      <c r="D797" s="49"/>
      <c r="E797" s="49"/>
      <c r="F797" s="49"/>
      <c r="W797" s="59"/>
    </row>
    <row r="798" spans="4:23" ht="12.75">
      <c r="D798" s="49"/>
      <c r="E798" s="49"/>
      <c r="F798" s="49"/>
      <c r="W798" s="59"/>
    </row>
    <row r="799" spans="4:23" ht="12.75">
      <c r="D799" s="49"/>
      <c r="E799" s="49"/>
      <c r="F799" s="49"/>
      <c r="W799" s="59"/>
    </row>
    <row r="800" spans="4:23" ht="12.75">
      <c r="D800" s="49"/>
      <c r="E800" s="49"/>
      <c r="F800" s="49"/>
      <c r="W800" s="59"/>
    </row>
    <row r="801" spans="4:23" ht="12.75">
      <c r="D801" s="49"/>
      <c r="E801" s="49"/>
      <c r="F801" s="49"/>
      <c r="W801" s="59"/>
    </row>
    <row r="802" spans="4:23" ht="12.75">
      <c r="D802" s="49"/>
      <c r="E802" s="49"/>
      <c r="F802" s="49"/>
      <c r="W802" s="59"/>
    </row>
    <row r="803" spans="4:23" ht="12.75">
      <c r="D803" s="49"/>
      <c r="E803" s="49"/>
      <c r="F803" s="49"/>
      <c r="W803" s="59"/>
    </row>
    <row r="804" spans="4:23" ht="12.75">
      <c r="D804" s="49"/>
      <c r="E804" s="49"/>
      <c r="F804" s="49"/>
      <c r="W804" s="59"/>
    </row>
    <row r="805" spans="4:23" ht="12.75">
      <c r="D805" s="49"/>
      <c r="E805" s="49"/>
      <c r="F805" s="49"/>
      <c r="W805" s="59"/>
    </row>
    <row r="806" spans="4:23" ht="12.75">
      <c r="D806" s="49"/>
      <c r="E806" s="49"/>
      <c r="F806" s="49"/>
      <c r="W806" s="59"/>
    </row>
    <row r="807" spans="4:23" ht="12.75">
      <c r="D807" s="49"/>
      <c r="E807" s="49"/>
      <c r="F807" s="49"/>
      <c r="W807" s="59"/>
    </row>
    <row r="808" spans="4:23" ht="12.75">
      <c r="D808" s="49"/>
      <c r="E808" s="49"/>
      <c r="F808" s="49"/>
      <c r="W808" s="59"/>
    </row>
    <row r="809" spans="4:23" ht="12.75">
      <c r="D809" s="49"/>
      <c r="E809" s="49"/>
      <c r="F809" s="49"/>
      <c r="W809" s="59"/>
    </row>
    <row r="810" spans="4:23" ht="12.75">
      <c r="D810" s="49"/>
      <c r="E810" s="49"/>
      <c r="F810" s="49"/>
      <c r="W810" s="59"/>
    </row>
    <row r="811" spans="4:23" ht="12.75">
      <c r="D811" s="49"/>
      <c r="E811" s="49"/>
      <c r="F811" s="49"/>
      <c r="W811" s="59"/>
    </row>
    <row r="812" spans="4:23" ht="12.75">
      <c r="D812" s="49"/>
      <c r="E812" s="49"/>
      <c r="F812" s="49"/>
      <c r="W812" s="59"/>
    </row>
    <row r="813" spans="4:23" ht="12.75">
      <c r="D813" s="49"/>
      <c r="E813" s="49"/>
      <c r="F813" s="49"/>
      <c r="W813" s="59"/>
    </row>
    <row r="814" spans="4:23" ht="12.75">
      <c r="D814" s="49"/>
      <c r="E814" s="49"/>
      <c r="F814" s="49"/>
      <c r="W814" s="59"/>
    </row>
    <row r="815" spans="4:23" ht="12.75">
      <c r="D815" s="49"/>
      <c r="E815" s="49"/>
      <c r="F815" s="49"/>
      <c r="W815" s="59"/>
    </row>
    <row r="816" spans="4:23" ht="12.75">
      <c r="D816" s="49"/>
      <c r="E816" s="49"/>
      <c r="F816" s="49"/>
      <c r="W816" s="59"/>
    </row>
    <row r="817" spans="4:23" ht="12.75">
      <c r="D817" s="49"/>
      <c r="E817" s="49"/>
      <c r="F817" s="49"/>
      <c r="W817" s="59"/>
    </row>
    <row r="818" spans="4:23" ht="12.75">
      <c r="D818" s="49"/>
      <c r="E818" s="49"/>
      <c r="F818" s="49"/>
      <c r="W818" s="59"/>
    </row>
    <row r="819" spans="4:23" ht="12.75">
      <c r="D819" s="49"/>
      <c r="E819" s="49"/>
      <c r="F819" s="49"/>
      <c r="W819" s="59"/>
    </row>
    <row r="820" spans="4:23" ht="12.75">
      <c r="D820" s="49"/>
      <c r="E820" s="49"/>
      <c r="F820" s="49"/>
      <c r="W820" s="59"/>
    </row>
    <row r="821" spans="4:23" ht="12.75">
      <c r="D821" s="49"/>
      <c r="E821" s="49"/>
      <c r="F821" s="49"/>
      <c r="W821" s="59"/>
    </row>
    <row r="822" spans="4:23" ht="12.75">
      <c r="D822" s="49"/>
      <c r="E822" s="49"/>
      <c r="F822" s="49"/>
      <c r="W822" s="59"/>
    </row>
    <row r="823" spans="4:23" ht="12.75">
      <c r="D823" s="49"/>
      <c r="E823" s="49"/>
      <c r="F823" s="49"/>
      <c r="W823" s="59"/>
    </row>
    <row r="824" spans="4:23" ht="12.75">
      <c r="D824" s="49"/>
      <c r="E824" s="49"/>
      <c r="F824" s="49"/>
      <c r="W824" s="59"/>
    </row>
    <row r="825" spans="4:23" ht="12.75">
      <c r="D825" s="49"/>
      <c r="E825" s="49"/>
      <c r="F825" s="49"/>
      <c r="W825" s="59"/>
    </row>
    <row r="826" spans="4:23" ht="12.75">
      <c r="D826" s="49"/>
      <c r="E826" s="49"/>
      <c r="F826" s="49"/>
      <c r="W826" s="59"/>
    </row>
    <row r="827" spans="4:23" ht="12.75">
      <c r="D827" s="49"/>
      <c r="E827" s="49"/>
      <c r="F827" s="49"/>
      <c r="W827" s="59"/>
    </row>
    <row r="828" spans="4:23" ht="12.75">
      <c r="D828" s="49"/>
      <c r="E828" s="49"/>
      <c r="F828" s="49"/>
      <c r="W828" s="59"/>
    </row>
    <row r="829" spans="4:23" ht="12.75">
      <c r="D829" s="49"/>
      <c r="E829" s="49"/>
      <c r="F829" s="49"/>
      <c r="W829" s="59"/>
    </row>
    <row r="830" spans="4:23" ht="12.75">
      <c r="D830" s="49"/>
      <c r="E830" s="49"/>
      <c r="F830" s="49"/>
      <c r="W830" s="59"/>
    </row>
    <row r="831" spans="4:23" ht="12.75">
      <c r="D831" s="49"/>
      <c r="E831" s="49"/>
      <c r="F831" s="49"/>
      <c r="W831" s="59"/>
    </row>
    <row r="832" spans="4:23" ht="12.75">
      <c r="D832" s="49"/>
      <c r="E832" s="49"/>
      <c r="F832" s="49"/>
      <c r="W832" s="59"/>
    </row>
    <row r="833" spans="4:23" ht="12.75">
      <c r="D833" s="49"/>
      <c r="E833" s="49"/>
      <c r="F833" s="49"/>
      <c r="W833" s="59"/>
    </row>
    <row r="834" spans="4:23" ht="12.75">
      <c r="D834" s="49"/>
      <c r="E834" s="49"/>
      <c r="F834" s="49"/>
      <c r="W834" s="59"/>
    </row>
    <row r="835" spans="4:23" ht="12.75">
      <c r="D835" s="49"/>
      <c r="E835" s="49"/>
      <c r="F835" s="49"/>
      <c r="W835" s="59"/>
    </row>
    <row r="836" spans="4:23" ht="12.75">
      <c r="D836" s="49"/>
      <c r="E836" s="49"/>
      <c r="F836" s="49"/>
      <c r="W836" s="59"/>
    </row>
    <row r="837" spans="4:23" ht="12.75">
      <c r="D837" s="49"/>
      <c r="E837" s="49"/>
      <c r="F837" s="49"/>
      <c r="W837" s="59"/>
    </row>
    <row r="838" spans="4:23" ht="12.75">
      <c r="D838" s="49"/>
      <c r="E838" s="49"/>
      <c r="F838" s="49"/>
      <c r="W838" s="59"/>
    </row>
    <row r="839" spans="4:23" ht="12.75">
      <c r="D839" s="49"/>
      <c r="E839" s="49"/>
      <c r="F839" s="49"/>
      <c r="W839" s="59"/>
    </row>
    <row r="840" spans="4:23" ht="12.75">
      <c r="D840" s="49"/>
      <c r="E840" s="49"/>
      <c r="F840" s="49"/>
      <c r="W840" s="59"/>
    </row>
    <row r="841" spans="4:23" ht="12.75">
      <c r="D841" s="49"/>
      <c r="E841" s="49"/>
      <c r="F841" s="49"/>
      <c r="W841" s="59"/>
    </row>
    <row r="842" spans="4:23" ht="12.75">
      <c r="D842" s="49"/>
      <c r="E842" s="49"/>
      <c r="F842" s="49"/>
      <c r="W842" s="59"/>
    </row>
    <row r="843" spans="4:23" ht="12.75">
      <c r="D843" s="49"/>
      <c r="E843" s="49"/>
      <c r="F843" s="49"/>
      <c r="W843" s="59"/>
    </row>
    <row r="844" spans="4:23" ht="12.75">
      <c r="D844" s="49"/>
      <c r="E844" s="49"/>
      <c r="F844" s="49"/>
      <c r="W844" s="59"/>
    </row>
    <row r="845" spans="4:23" ht="12.75">
      <c r="D845" s="49"/>
      <c r="E845" s="49"/>
      <c r="F845" s="49"/>
      <c r="W845" s="59"/>
    </row>
    <row r="846" spans="4:23" ht="12.75">
      <c r="D846" s="49"/>
      <c r="E846" s="49"/>
      <c r="F846" s="49"/>
      <c r="W846" s="59"/>
    </row>
    <row r="847" spans="4:23" ht="12.75">
      <c r="D847" s="49"/>
      <c r="E847" s="49"/>
      <c r="F847" s="49"/>
      <c r="W847" s="59"/>
    </row>
    <row r="848" spans="4:23" ht="12.75">
      <c r="D848" s="49"/>
      <c r="E848" s="49"/>
      <c r="F848" s="49"/>
      <c r="W848" s="59"/>
    </row>
    <row r="849" spans="4:23" ht="12.75">
      <c r="D849" s="49"/>
      <c r="E849" s="49"/>
      <c r="F849" s="49"/>
      <c r="W849" s="59"/>
    </row>
    <row r="850" spans="4:23" ht="12.75">
      <c r="D850" s="49"/>
      <c r="E850" s="49"/>
      <c r="F850" s="49"/>
      <c r="W850" s="59"/>
    </row>
    <row r="851" spans="4:23" ht="12.75">
      <c r="D851" s="49"/>
      <c r="E851" s="49"/>
      <c r="F851" s="49"/>
      <c r="W851" s="59"/>
    </row>
    <row r="852" spans="4:23" ht="12.75">
      <c r="D852" s="49"/>
      <c r="E852" s="49"/>
      <c r="F852" s="49"/>
      <c r="W852" s="59"/>
    </row>
    <row r="853" spans="4:23" ht="12.75">
      <c r="D853" s="49"/>
      <c r="E853" s="49"/>
      <c r="F853" s="49"/>
      <c r="W853" s="59"/>
    </row>
    <row r="854" spans="4:23" ht="12.75">
      <c r="D854" s="49"/>
      <c r="E854" s="49"/>
      <c r="F854" s="49"/>
      <c r="W854" s="59"/>
    </row>
    <row r="855" spans="4:23" ht="12.75">
      <c r="D855" s="49"/>
      <c r="E855" s="49"/>
      <c r="F855" s="49"/>
      <c r="W855" s="59"/>
    </row>
    <row r="856" spans="4:23" ht="12.75">
      <c r="D856" s="49"/>
      <c r="E856" s="49"/>
      <c r="F856" s="49"/>
      <c r="W856" s="59"/>
    </row>
    <row r="857" spans="4:23" ht="12.75">
      <c r="D857" s="49"/>
      <c r="E857" s="49"/>
      <c r="F857" s="49"/>
      <c r="W857" s="59"/>
    </row>
    <row r="858" spans="4:23" ht="12.75">
      <c r="D858" s="49"/>
      <c r="E858" s="49"/>
      <c r="F858" s="49"/>
      <c r="W858" s="59"/>
    </row>
    <row r="859" spans="4:23" ht="12.75">
      <c r="D859" s="49"/>
      <c r="E859" s="49"/>
      <c r="F859" s="49"/>
      <c r="W859" s="59"/>
    </row>
    <row r="860" spans="4:23" ht="12.75">
      <c r="D860" s="49"/>
      <c r="E860" s="49"/>
      <c r="F860" s="49"/>
      <c r="W860" s="59"/>
    </row>
    <row r="861" spans="4:23" ht="12.75">
      <c r="D861" s="49"/>
      <c r="E861" s="49"/>
      <c r="F861" s="49"/>
      <c r="W861" s="59"/>
    </row>
    <row r="862" spans="4:23" ht="12.75">
      <c r="D862" s="49"/>
      <c r="E862" s="49"/>
      <c r="F862" s="49"/>
      <c r="W862" s="59"/>
    </row>
    <row r="863" spans="4:23" ht="12.75">
      <c r="D863" s="49"/>
      <c r="E863" s="49"/>
      <c r="F863" s="49"/>
      <c r="W863" s="59"/>
    </row>
    <row r="864" spans="4:23" ht="12.75">
      <c r="D864" s="49"/>
      <c r="E864" s="49"/>
      <c r="F864" s="49"/>
      <c r="W864" s="59"/>
    </row>
    <row r="865" spans="4:23" ht="12.75">
      <c r="D865" s="49"/>
      <c r="E865" s="49"/>
      <c r="F865" s="49"/>
      <c r="W865" s="59"/>
    </row>
    <row r="866" spans="4:23" ht="12.75">
      <c r="D866" s="49"/>
      <c r="E866" s="49"/>
      <c r="F866" s="49"/>
      <c r="W866" s="59"/>
    </row>
    <row r="867" spans="4:23" ht="12.75">
      <c r="D867" s="49"/>
      <c r="E867" s="49"/>
      <c r="F867" s="49"/>
      <c r="W867" s="59"/>
    </row>
    <row r="868" spans="4:23" ht="12.75">
      <c r="D868" s="49"/>
      <c r="E868" s="49"/>
      <c r="F868" s="49"/>
      <c r="W868" s="59"/>
    </row>
    <row r="869" spans="4:23" ht="12.75">
      <c r="D869" s="49"/>
      <c r="E869" s="49"/>
      <c r="F869" s="49"/>
      <c r="W869" s="59"/>
    </row>
    <row r="870" spans="4:23" ht="12.75">
      <c r="D870" s="49"/>
      <c r="E870" s="49"/>
      <c r="F870" s="49"/>
      <c r="W870" s="59"/>
    </row>
    <row r="871" spans="4:23" ht="12.75">
      <c r="D871" s="49"/>
      <c r="E871" s="49"/>
      <c r="F871" s="49"/>
      <c r="W871" s="59"/>
    </row>
    <row r="872" spans="4:23" ht="12.75">
      <c r="D872" s="49"/>
      <c r="E872" s="49"/>
      <c r="F872" s="49"/>
      <c r="W872" s="59"/>
    </row>
    <row r="873" spans="4:23" ht="12.75">
      <c r="D873" s="49"/>
      <c r="E873" s="49"/>
      <c r="F873" s="49"/>
      <c r="W873" s="59"/>
    </row>
    <row r="874" spans="4:23" ht="12.75">
      <c r="D874" s="49"/>
      <c r="E874" s="49"/>
      <c r="F874" s="49"/>
      <c r="W874" s="59"/>
    </row>
    <row r="875" spans="4:23" ht="12.75">
      <c r="D875" s="49"/>
      <c r="E875" s="49"/>
      <c r="F875" s="49"/>
      <c r="W875" s="59"/>
    </row>
    <row r="876" spans="4:23" ht="12.75">
      <c r="D876" s="49"/>
      <c r="E876" s="49"/>
      <c r="F876" s="49"/>
      <c r="W876" s="59"/>
    </row>
    <row r="877" spans="4:23" ht="12.75">
      <c r="D877" s="49"/>
      <c r="E877" s="49"/>
      <c r="F877" s="49"/>
      <c r="W877" s="59"/>
    </row>
    <row r="878" spans="4:23" ht="12.75">
      <c r="D878" s="49"/>
      <c r="E878" s="49"/>
      <c r="F878" s="49"/>
      <c r="W878" s="59"/>
    </row>
    <row r="879" spans="4:23" ht="12.75">
      <c r="D879" s="49"/>
      <c r="E879" s="49"/>
      <c r="F879" s="49"/>
      <c r="W879" s="59"/>
    </row>
    <row r="880" spans="4:23" ht="12.75">
      <c r="D880" s="49"/>
      <c r="E880" s="49"/>
      <c r="F880" s="49"/>
      <c r="W880" s="59"/>
    </row>
    <row r="881" spans="4:23" ht="12.75">
      <c r="D881" s="49"/>
      <c r="E881" s="49"/>
      <c r="F881" s="49"/>
      <c r="W881" s="59"/>
    </row>
    <row r="882" spans="4:23" ht="12.75">
      <c r="D882" s="49"/>
      <c r="E882" s="49"/>
      <c r="F882" s="49"/>
      <c r="W882" s="59"/>
    </row>
    <row r="883" spans="4:23" ht="12.75">
      <c r="D883" s="49"/>
      <c r="E883" s="49"/>
      <c r="F883" s="49"/>
      <c r="W883" s="59"/>
    </row>
    <row r="884" spans="4:23" ht="12.75">
      <c r="D884" s="49"/>
      <c r="E884" s="49"/>
      <c r="F884" s="49"/>
      <c r="W884" s="59"/>
    </row>
    <row r="885" spans="4:23" ht="12.75">
      <c r="D885" s="49"/>
      <c r="E885" s="49"/>
      <c r="F885" s="49"/>
      <c r="W885" s="59"/>
    </row>
    <row r="886" spans="4:23" ht="12.75">
      <c r="D886" s="49"/>
      <c r="E886" s="49"/>
      <c r="F886" s="49"/>
      <c r="W886" s="59"/>
    </row>
    <row r="887" spans="4:23" ht="12.75">
      <c r="D887" s="49"/>
      <c r="E887" s="49"/>
      <c r="F887" s="49"/>
      <c r="W887" s="59"/>
    </row>
    <row r="888" spans="4:23" ht="12.75">
      <c r="D888" s="49"/>
      <c r="E888" s="49"/>
      <c r="F888" s="49"/>
      <c r="W888" s="59"/>
    </row>
    <row r="889" spans="4:23" ht="12.75">
      <c r="D889" s="49"/>
      <c r="E889" s="49"/>
      <c r="F889" s="49"/>
      <c r="W889" s="59"/>
    </row>
    <row r="890" spans="4:23" ht="12.75">
      <c r="D890" s="49"/>
      <c r="E890" s="49"/>
      <c r="F890" s="49"/>
      <c r="W890" s="59"/>
    </row>
    <row r="891" spans="4:23" ht="12.75">
      <c r="D891" s="49"/>
      <c r="E891" s="49"/>
      <c r="F891" s="49"/>
      <c r="W891" s="59"/>
    </row>
    <row r="892" spans="4:23" ht="12.75">
      <c r="D892" s="49"/>
      <c r="E892" s="49"/>
      <c r="F892" s="49"/>
      <c r="W892" s="59"/>
    </row>
    <row r="893" spans="4:23" ht="12.75">
      <c r="D893" s="49"/>
      <c r="E893" s="49"/>
      <c r="F893" s="49"/>
      <c r="W893" s="59"/>
    </row>
    <row r="894" spans="4:23" ht="12.75">
      <c r="D894" s="49"/>
      <c r="E894" s="49"/>
      <c r="F894" s="49"/>
      <c r="W894" s="59"/>
    </row>
    <row r="895" spans="4:23" ht="12.75">
      <c r="D895" s="49"/>
      <c r="E895" s="49"/>
      <c r="F895" s="49"/>
      <c r="W895" s="59"/>
    </row>
    <row r="896" spans="4:23" ht="12.75">
      <c r="D896" s="49"/>
      <c r="E896" s="49"/>
      <c r="F896" s="49"/>
      <c r="W896" s="59"/>
    </row>
    <row r="897" spans="4:23" ht="12.75">
      <c r="D897" s="49"/>
      <c r="E897" s="49"/>
      <c r="F897" s="49"/>
      <c r="W897" s="59"/>
    </row>
    <row r="898" spans="4:23" ht="12.75">
      <c r="D898" s="49"/>
      <c r="E898" s="49"/>
      <c r="F898" s="49"/>
      <c r="W898" s="59"/>
    </row>
    <row r="899" spans="4:23" ht="12.75">
      <c r="D899" s="49"/>
      <c r="E899" s="49"/>
      <c r="F899" s="49"/>
      <c r="W899" s="59"/>
    </row>
    <row r="900" spans="4:23" ht="12.75">
      <c r="D900" s="49"/>
      <c r="E900" s="49"/>
      <c r="F900" s="49"/>
      <c r="W900" s="59"/>
    </row>
    <row r="901" spans="4:23" ht="12.75">
      <c r="D901" s="49"/>
      <c r="E901" s="49"/>
      <c r="F901" s="49"/>
      <c r="W901" s="59"/>
    </row>
    <row r="902" spans="4:23" ht="12.75">
      <c r="D902" s="49"/>
      <c r="E902" s="49"/>
      <c r="F902" s="49"/>
      <c r="W902" s="59"/>
    </row>
    <row r="903" spans="4:23" ht="12.75">
      <c r="D903" s="49"/>
      <c r="E903" s="49"/>
      <c r="F903" s="49"/>
      <c r="W903" s="59"/>
    </row>
    <row r="904" spans="4:23" ht="12.75">
      <c r="D904" s="49"/>
      <c r="E904" s="49"/>
      <c r="F904" s="49"/>
      <c r="W904" s="59"/>
    </row>
    <row r="905" spans="4:23" ht="12.75">
      <c r="D905" s="49"/>
      <c r="E905" s="49"/>
      <c r="F905" s="49"/>
      <c r="W905" s="59"/>
    </row>
    <row r="906" spans="4:23" ht="12.75">
      <c r="D906" s="49"/>
      <c r="E906" s="49"/>
      <c r="F906" s="49"/>
      <c r="W906" s="59"/>
    </row>
    <row r="907" spans="4:23" ht="12.75">
      <c r="D907" s="49"/>
      <c r="E907" s="49"/>
      <c r="F907" s="49"/>
      <c r="W907" s="59"/>
    </row>
    <row r="908" spans="4:23" ht="12.75">
      <c r="D908" s="49"/>
      <c r="E908" s="49"/>
      <c r="F908" s="49"/>
      <c r="W908" s="59"/>
    </row>
    <row r="909" spans="4:23" ht="12.75">
      <c r="D909" s="49"/>
      <c r="E909" s="49"/>
      <c r="F909" s="49"/>
      <c r="W909" s="59"/>
    </row>
    <row r="910" spans="4:23" ht="12.75">
      <c r="D910" s="49"/>
      <c r="E910" s="49"/>
      <c r="F910" s="49"/>
      <c r="W910" s="59"/>
    </row>
    <row r="911" spans="4:23" ht="12.75">
      <c r="D911" s="49"/>
      <c r="E911" s="49"/>
      <c r="F911" s="49"/>
      <c r="W911" s="59"/>
    </row>
    <row r="912" spans="4:23" ht="12.75">
      <c r="D912" s="49"/>
      <c r="E912" s="49"/>
      <c r="F912" s="49"/>
      <c r="W912" s="59"/>
    </row>
    <row r="913" spans="4:23" ht="12.75">
      <c r="D913" s="49"/>
      <c r="E913" s="49"/>
      <c r="F913" s="49"/>
      <c r="W913" s="59"/>
    </row>
    <row r="914" spans="4:23" ht="12.75">
      <c r="D914" s="49"/>
      <c r="E914" s="49"/>
      <c r="F914" s="49"/>
      <c r="W914" s="59"/>
    </row>
    <row r="915" spans="4:23" ht="12.75">
      <c r="D915" s="49"/>
      <c r="E915" s="49"/>
      <c r="F915" s="49"/>
      <c r="W915" s="59"/>
    </row>
    <row r="916" spans="4:23" ht="12.75">
      <c r="D916" s="49"/>
      <c r="E916" s="49"/>
      <c r="F916" s="49"/>
      <c r="W916" s="59"/>
    </row>
    <row r="917" spans="4:23" ht="12.75">
      <c r="D917" s="49"/>
      <c r="E917" s="49"/>
      <c r="F917" s="49"/>
      <c r="W917" s="59"/>
    </row>
    <row r="918" spans="4:23" ht="12.75">
      <c r="D918" s="49"/>
      <c r="E918" s="49"/>
      <c r="F918" s="49"/>
      <c r="W918" s="59"/>
    </row>
    <row r="919" spans="4:23" ht="12.75">
      <c r="D919" s="49"/>
      <c r="E919" s="49"/>
      <c r="F919" s="49"/>
      <c r="W919" s="59"/>
    </row>
    <row r="920" spans="4:23" ht="12.75">
      <c r="D920" s="49"/>
      <c r="E920" s="49"/>
      <c r="F920" s="49"/>
      <c r="W920" s="59"/>
    </row>
    <row r="921" spans="4:23" ht="12.75">
      <c r="D921" s="49"/>
      <c r="E921" s="49"/>
      <c r="F921" s="49"/>
      <c r="W921" s="59"/>
    </row>
    <row r="922" spans="4:23" ht="12.75">
      <c r="D922" s="49"/>
      <c r="E922" s="49"/>
      <c r="F922" s="49"/>
      <c r="W922" s="59"/>
    </row>
    <row r="923" spans="4:23" ht="12.75">
      <c r="D923" s="49"/>
      <c r="E923" s="49"/>
      <c r="F923" s="49"/>
      <c r="W923" s="59"/>
    </row>
    <row r="924" spans="4:23" ht="12.75">
      <c r="D924" s="49"/>
      <c r="E924" s="49"/>
      <c r="F924" s="49"/>
      <c r="W924" s="59"/>
    </row>
    <row r="925" spans="4:23" ht="12.75">
      <c r="D925" s="49"/>
      <c r="E925" s="49"/>
      <c r="F925" s="49"/>
      <c r="W925" s="59"/>
    </row>
    <row r="926" spans="4:23" ht="12.75">
      <c r="D926" s="49"/>
      <c r="E926" s="49"/>
      <c r="F926" s="49"/>
      <c r="W926" s="59"/>
    </row>
    <row r="927" spans="4:23" ht="12.75">
      <c r="D927" s="49"/>
      <c r="E927" s="49"/>
      <c r="F927" s="49"/>
      <c r="W927" s="59"/>
    </row>
    <row r="928" spans="4:23" ht="12.75">
      <c r="D928" s="49"/>
      <c r="E928" s="49"/>
      <c r="F928" s="49"/>
      <c r="W928" s="59"/>
    </row>
    <row r="929" spans="4:23" ht="12.75">
      <c r="D929" s="49"/>
      <c r="E929" s="49"/>
      <c r="F929" s="49"/>
      <c r="W929" s="59"/>
    </row>
    <row r="930" spans="4:23" ht="12.75">
      <c r="D930" s="49"/>
      <c r="E930" s="49"/>
      <c r="F930" s="49"/>
      <c r="W930" s="59"/>
    </row>
    <row r="931" spans="4:23" ht="12.75">
      <c r="D931" s="49"/>
      <c r="E931" s="49"/>
      <c r="F931" s="49"/>
      <c r="W931" s="59"/>
    </row>
    <row r="932" spans="4:23" ht="12.75">
      <c r="D932" s="49"/>
      <c r="E932" s="49"/>
      <c r="F932" s="49"/>
      <c r="W932" s="59"/>
    </row>
    <row r="933" spans="4:23" ht="12.75">
      <c r="D933" s="49"/>
      <c r="E933" s="49"/>
      <c r="F933" s="49"/>
      <c r="W933" s="59"/>
    </row>
    <row r="934" spans="4:23" ht="12.75">
      <c r="D934" s="49"/>
      <c r="E934" s="49"/>
      <c r="F934" s="49"/>
      <c r="W934" s="59"/>
    </row>
    <row r="935" spans="4:23" ht="12.75">
      <c r="D935" s="49"/>
      <c r="E935" s="49"/>
      <c r="F935" s="49"/>
      <c r="W935" s="59"/>
    </row>
    <row r="936" spans="4:23" ht="12.75">
      <c r="D936" s="49"/>
      <c r="E936" s="49"/>
      <c r="F936" s="49"/>
      <c r="W936" s="59"/>
    </row>
    <row r="937" spans="4:23" ht="12.75">
      <c r="D937" s="49"/>
      <c r="E937" s="49"/>
      <c r="F937" s="49"/>
      <c r="W937" s="59"/>
    </row>
    <row r="938" spans="4:23" ht="12.75">
      <c r="D938" s="49"/>
      <c r="E938" s="49"/>
      <c r="F938" s="49"/>
      <c r="W938" s="59"/>
    </row>
    <row r="939" spans="4:23" ht="12.75">
      <c r="D939" s="49"/>
      <c r="E939" s="49"/>
      <c r="F939" s="49"/>
      <c r="W939" s="59"/>
    </row>
    <row r="940" spans="4:23" ht="12.75">
      <c r="D940" s="49"/>
      <c r="E940" s="49"/>
      <c r="F940" s="49"/>
      <c r="W940" s="59"/>
    </row>
    <row r="941" spans="4:23" ht="12.75">
      <c r="D941" s="49"/>
      <c r="E941" s="49"/>
      <c r="F941" s="49"/>
      <c r="W941" s="59"/>
    </row>
    <row r="942" spans="4:23" ht="12.75">
      <c r="D942" s="49"/>
      <c r="E942" s="49"/>
      <c r="F942" s="49"/>
      <c r="W942" s="59"/>
    </row>
    <row r="943" spans="4:23" ht="12.75">
      <c r="D943" s="49"/>
      <c r="E943" s="49"/>
      <c r="F943" s="49"/>
      <c r="W943" s="59"/>
    </row>
    <row r="944" spans="4:23" ht="12.75">
      <c r="D944" s="49"/>
      <c r="E944" s="49"/>
      <c r="F944" s="49"/>
      <c r="W944" s="59"/>
    </row>
    <row r="945" spans="4:23" ht="12.75">
      <c r="D945" s="49"/>
      <c r="E945" s="49"/>
      <c r="F945" s="49"/>
      <c r="W945" s="59"/>
    </row>
    <row r="946" spans="4:23" ht="12.75">
      <c r="D946" s="49"/>
      <c r="E946" s="49"/>
      <c r="F946" s="49"/>
      <c r="W946" s="59"/>
    </row>
    <row r="947" spans="4:23" ht="12.75">
      <c r="D947" s="49"/>
      <c r="E947" s="49"/>
      <c r="F947" s="49"/>
      <c r="W947" s="59"/>
    </row>
    <row r="948" spans="4:23" ht="12.75">
      <c r="D948" s="49"/>
      <c r="E948" s="49"/>
      <c r="F948" s="49"/>
      <c r="W948" s="59"/>
    </row>
    <row r="949" spans="4:23" ht="12.75">
      <c r="D949" s="49"/>
      <c r="E949" s="49"/>
      <c r="F949" s="49"/>
      <c r="W949" s="59"/>
    </row>
    <row r="950" spans="4:23" ht="12.75">
      <c r="D950" s="49"/>
      <c r="E950" s="49"/>
      <c r="F950" s="49"/>
      <c r="W950" s="59"/>
    </row>
    <row r="951" spans="4:23" ht="12.75">
      <c r="D951" s="49"/>
      <c r="E951" s="49"/>
      <c r="F951" s="49"/>
      <c r="W951" s="59"/>
    </row>
    <row r="952" spans="4:23" ht="12.75">
      <c r="D952" s="49"/>
      <c r="E952" s="49"/>
      <c r="F952" s="49"/>
      <c r="W952" s="59"/>
    </row>
    <row r="953" spans="4:23" ht="12.75">
      <c r="D953" s="49"/>
      <c r="E953" s="49"/>
      <c r="F953" s="49"/>
      <c r="W953" s="59"/>
    </row>
    <row r="954" spans="4:23" ht="12.75">
      <c r="D954" s="49"/>
      <c r="E954" s="49"/>
      <c r="F954" s="49"/>
      <c r="W954" s="59"/>
    </row>
    <row r="955" spans="4:23" ht="12.75">
      <c r="D955" s="49"/>
      <c r="E955" s="49"/>
      <c r="F955" s="49"/>
      <c r="W955" s="59"/>
    </row>
    <row r="956" spans="4:23" ht="12.75">
      <c r="D956" s="49"/>
      <c r="E956" s="49"/>
      <c r="F956" s="49"/>
      <c r="W956" s="59"/>
    </row>
    <row r="957" spans="4:23" ht="12.75">
      <c r="D957" s="49"/>
      <c r="E957" s="49"/>
      <c r="F957" s="49"/>
      <c r="W957" s="59"/>
    </row>
    <row r="958" spans="4:23" ht="12.75">
      <c r="D958" s="49"/>
      <c r="E958" s="49"/>
      <c r="F958" s="49"/>
      <c r="W958" s="59"/>
    </row>
    <row r="959" spans="4:23" ht="12.75">
      <c r="D959" s="49"/>
      <c r="E959" s="49"/>
      <c r="F959" s="49"/>
      <c r="W959" s="59"/>
    </row>
    <row r="960" spans="4:23" ht="12.75">
      <c r="D960" s="49"/>
      <c r="E960" s="49"/>
      <c r="F960" s="49"/>
      <c r="W960" s="59"/>
    </row>
    <row r="961" spans="4:23" ht="12.75">
      <c r="D961" s="49"/>
      <c r="E961" s="49"/>
      <c r="F961" s="49"/>
      <c r="W961" s="59"/>
    </row>
    <row r="962" spans="4:23" ht="12.75">
      <c r="D962" s="49"/>
      <c r="E962" s="49"/>
      <c r="F962" s="49"/>
      <c r="W962" s="59"/>
    </row>
    <row r="963" spans="4:23" ht="12.75">
      <c r="D963" s="49"/>
      <c r="E963" s="49"/>
      <c r="F963" s="49"/>
      <c r="W963" s="59"/>
    </row>
    <row r="964" spans="4:23" ht="12.75">
      <c r="D964" s="49"/>
      <c r="E964" s="49"/>
      <c r="F964" s="49"/>
      <c r="W964" s="59"/>
    </row>
    <row r="965" spans="4:23" ht="12.75">
      <c r="D965" s="49"/>
      <c r="E965" s="49"/>
      <c r="F965" s="49"/>
      <c r="W965" s="59"/>
    </row>
    <row r="966" spans="4:23" ht="12.75">
      <c r="D966" s="49"/>
      <c r="E966" s="49"/>
      <c r="F966" s="49"/>
      <c r="W966" s="59"/>
    </row>
    <row r="967" spans="4:23" ht="12.75">
      <c r="D967" s="49"/>
      <c r="E967" s="49"/>
      <c r="F967" s="49"/>
      <c r="W967" s="59"/>
    </row>
    <row r="968" spans="4:23" ht="12.75">
      <c r="D968" s="49"/>
      <c r="E968" s="49"/>
      <c r="F968" s="49"/>
      <c r="W968" s="59"/>
    </row>
    <row r="969" spans="4:23" ht="12.75">
      <c r="D969" s="49"/>
      <c r="E969" s="49"/>
      <c r="F969" s="49"/>
      <c r="W969" s="59"/>
    </row>
    <row r="970" spans="4:23" ht="12.75">
      <c r="D970" s="49"/>
      <c r="E970" s="49"/>
      <c r="F970" s="49"/>
      <c r="W970" s="59"/>
    </row>
    <row r="971" spans="4:23" ht="12.75">
      <c r="D971" s="49"/>
      <c r="E971" s="49"/>
      <c r="F971" s="49"/>
      <c r="W971" s="59"/>
    </row>
    <row r="972" spans="4:23" ht="12.75">
      <c r="D972" s="49"/>
      <c r="E972" s="49"/>
      <c r="F972" s="49"/>
      <c r="W972" s="59"/>
    </row>
    <row r="973" spans="4:23" ht="12.75">
      <c r="D973" s="49"/>
      <c r="E973" s="49"/>
      <c r="F973" s="49"/>
      <c r="W973" s="59"/>
    </row>
    <row r="974" spans="4:23" ht="12.75">
      <c r="D974" s="49"/>
      <c r="E974" s="49"/>
      <c r="F974" s="49"/>
      <c r="W974" s="59"/>
    </row>
    <row r="975" spans="4:23" ht="12.75">
      <c r="D975" s="49"/>
      <c r="E975" s="49"/>
      <c r="F975" s="49"/>
      <c r="W975" s="59"/>
    </row>
    <row r="976" spans="4:23" ht="12.75">
      <c r="D976" s="49"/>
      <c r="E976" s="49"/>
      <c r="F976" s="49"/>
      <c r="W976" s="59"/>
    </row>
    <row r="977" spans="4:23" ht="12.75">
      <c r="D977" s="49"/>
      <c r="E977" s="49"/>
      <c r="F977" s="49"/>
      <c r="W977" s="59"/>
    </row>
    <row r="978" spans="4:23" ht="12.75">
      <c r="D978" s="49"/>
      <c r="E978" s="49"/>
      <c r="F978" s="49"/>
      <c r="W978" s="59"/>
    </row>
    <row r="979" spans="4:23" ht="12.75">
      <c r="D979" s="49"/>
      <c r="E979" s="49"/>
      <c r="F979" s="49"/>
      <c r="W979" s="59"/>
    </row>
    <row r="980" spans="4:23" ht="12.75">
      <c r="D980" s="49"/>
      <c r="E980" s="49"/>
      <c r="F980" s="49"/>
      <c r="W980" s="59"/>
    </row>
    <row r="981" spans="4:23" ht="12.75">
      <c r="D981" s="49"/>
      <c r="E981" s="49"/>
      <c r="F981" s="49"/>
      <c r="W981" s="59"/>
    </row>
    <row r="982" spans="4:23" ht="12.75">
      <c r="D982" s="49"/>
      <c r="E982" s="49"/>
      <c r="F982" s="49"/>
      <c r="W982" s="59"/>
    </row>
    <row r="983" spans="4:23" ht="12.75">
      <c r="D983" s="49"/>
      <c r="E983" s="49"/>
      <c r="F983" s="49"/>
      <c r="W983" s="59"/>
    </row>
    <row r="984" spans="4:23" ht="12.75">
      <c r="D984" s="49"/>
      <c r="E984" s="49"/>
      <c r="F984" s="49"/>
      <c r="W984" s="59"/>
    </row>
    <row r="985" spans="4:23" ht="12.75">
      <c r="D985" s="49"/>
      <c r="E985" s="49"/>
      <c r="F985" s="49"/>
      <c r="W985" s="59"/>
    </row>
    <row r="986" spans="4:23" ht="12.75">
      <c r="D986" s="49"/>
      <c r="E986" s="49"/>
      <c r="F986" s="49"/>
      <c r="W986" s="59"/>
    </row>
    <row r="987" spans="4:23" ht="12.75">
      <c r="D987" s="49"/>
      <c r="E987" s="49"/>
      <c r="F987" s="49"/>
      <c r="W987" s="59"/>
    </row>
    <row r="988" spans="4:23" ht="12.75">
      <c r="D988" s="49"/>
      <c r="E988" s="49"/>
      <c r="F988" s="49"/>
      <c r="W988" s="59"/>
    </row>
  </sheetData>
  <mergeCells count="10">
    <mergeCell ref="V5:Y5"/>
    <mergeCell ref="Z5:AD5"/>
    <mergeCell ref="AE5:AK5"/>
    <mergeCell ref="A1:AD2"/>
    <mergeCell ref="A3:AD4"/>
    <mergeCell ref="A5:B5"/>
    <mergeCell ref="D5:F5"/>
    <mergeCell ref="G5:M5"/>
    <mergeCell ref="N5:P5"/>
    <mergeCell ref="Q5:U5"/>
  </mergeCells>
  <phoneticPr fontId="40" type="noConversion"/>
  <conditionalFormatting sqref="A7:A24">
    <cfRule type="notContainsBlanks" dxfId="6" priority="1">
      <formula>LEN(TRIM(A7))&gt;0</formula>
    </cfRule>
  </conditionalFormatting>
  <dataValidations count="1">
    <dataValidation type="list" allowBlank="1" showErrorMessage="1" sqref="A7:A24" xr:uid="{00000000-0002-0000-0400-000000000000}">
      <formula1>$AE$7:$AE$24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K987"/>
  <sheetViews>
    <sheetView workbookViewId="0"/>
  </sheetViews>
  <sheetFormatPr defaultColWidth="12.5703125" defaultRowHeight="15.75" customHeight="1"/>
  <cols>
    <col min="2" max="2" width="18.7109375" customWidth="1"/>
    <col min="31" max="31" width="33" customWidth="1"/>
  </cols>
  <sheetData>
    <row r="1" spans="1:37" ht="14.25">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3"/>
      <c r="AF1" s="3"/>
      <c r="AG1" s="4"/>
      <c r="AH1" s="4"/>
      <c r="AI1" s="4"/>
      <c r="AJ1" s="4"/>
      <c r="AK1" s="4"/>
    </row>
    <row r="2" spans="1:37" ht="14.25">
      <c r="A2" s="249"/>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3"/>
      <c r="AF2" s="3"/>
      <c r="AG2" s="4"/>
      <c r="AH2" s="4"/>
      <c r="AI2" s="4"/>
      <c r="AJ2" s="4"/>
      <c r="AK2" s="4"/>
    </row>
    <row r="3" spans="1:37" ht="14.25">
      <c r="A3" s="251" t="s">
        <v>1</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2"/>
      <c r="AE3" s="3" t="s">
        <v>2</v>
      </c>
      <c r="AF3" s="3" t="s">
        <v>3</v>
      </c>
      <c r="AG3" s="4"/>
      <c r="AH3" s="4"/>
      <c r="AI3" s="4"/>
      <c r="AJ3" s="4"/>
      <c r="AK3" s="4"/>
    </row>
    <row r="4" spans="1:37" ht="14.2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5"/>
      <c r="AE4" s="3">
        <v>192.41</v>
      </c>
      <c r="AF4" s="3">
        <v>1385</v>
      </c>
      <c r="AG4" s="4"/>
      <c r="AH4" s="4"/>
      <c r="AI4" s="4"/>
      <c r="AJ4" s="4"/>
      <c r="AK4" s="4"/>
    </row>
    <row r="5" spans="1:37" ht="15">
      <c r="A5" s="235" t="s">
        <v>4</v>
      </c>
      <c r="B5" s="236"/>
      <c r="C5" s="12" t="s">
        <v>4</v>
      </c>
      <c r="D5" s="240"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60" t="s">
        <v>7</v>
      </c>
      <c r="B6" s="60" t="s">
        <v>8</v>
      </c>
      <c r="C6" s="61" t="s">
        <v>9</v>
      </c>
      <c r="D6" s="90" t="s">
        <v>10</v>
      </c>
      <c r="E6" s="90" t="s">
        <v>11</v>
      </c>
      <c r="F6" s="90" t="s">
        <v>12</v>
      </c>
      <c r="G6" s="61" t="s">
        <v>13</v>
      </c>
      <c r="H6" s="61" t="s">
        <v>14</v>
      </c>
      <c r="I6" s="61" t="s">
        <v>15</v>
      </c>
      <c r="J6" s="61" t="s">
        <v>16</v>
      </c>
      <c r="K6" s="61" t="s">
        <v>17</v>
      </c>
      <c r="L6" s="61" t="s">
        <v>18</v>
      </c>
      <c r="M6" s="61" t="s">
        <v>19</v>
      </c>
      <c r="N6" s="19" t="s">
        <v>20</v>
      </c>
      <c r="O6" s="64" t="s">
        <v>6</v>
      </c>
      <c r="P6" s="60" t="s">
        <v>21</v>
      </c>
      <c r="Q6" s="61" t="s">
        <v>22</v>
      </c>
      <c r="R6" s="61" t="s">
        <v>23</v>
      </c>
      <c r="S6" s="61" t="s">
        <v>24</v>
      </c>
      <c r="T6" s="61" t="s">
        <v>25</v>
      </c>
      <c r="U6" s="61" t="s">
        <v>26</v>
      </c>
      <c r="V6" s="60" t="s">
        <v>27</v>
      </c>
      <c r="W6" s="65" t="s">
        <v>28</v>
      </c>
      <c r="X6" s="60"/>
      <c r="Y6" s="60" t="s">
        <v>29</v>
      </c>
      <c r="Z6" s="66" t="s">
        <v>30</v>
      </c>
      <c r="AA6" s="66" t="s">
        <v>31</v>
      </c>
      <c r="AB6" s="66" t="s">
        <v>32</v>
      </c>
      <c r="AC6" s="66" t="s">
        <v>33</v>
      </c>
      <c r="AD6" s="67" t="s">
        <v>34</v>
      </c>
      <c r="AE6" s="3" t="s">
        <v>35</v>
      </c>
      <c r="AF6" s="4" t="s">
        <v>36</v>
      </c>
      <c r="AG6" s="3" t="s">
        <v>37</v>
      </c>
      <c r="AH6" s="3"/>
      <c r="AI6" s="3"/>
      <c r="AJ6" s="3"/>
      <c r="AK6" s="3"/>
    </row>
    <row r="7" spans="1:37" ht="37.5" customHeight="1">
      <c r="A7" s="25" t="s">
        <v>40</v>
      </c>
      <c r="B7" s="25"/>
      <c r="C7" s="26"/>
      <c r="D7" s="72"/>
      <c r="E7" s="72"/>
      <c r="F7" s="72"/>
      <c r="G7" s="72"/>
      <c r="H7" s="70"/>
      <c r="I7" s="29"/>
      <c r="J7" s="30"/>
      <c r="K7" s="31"/>
      <c r="L7" s="31"/>
      <c r="M7" s="32"/>
      <c r="N7" s="33"/>
      <c r="O7" s="32"/>
      <c r="P7" s="34"/>
      <c r="Q7" s="34"/>
      <c r="R7" s="35"/>
      <c r="S7" s="25"/>
      <c r="T7" s="35"/>
      <c r="U7" s="35"/>
      <c r="V7" s="35"/>
      <c r="W7" s="36"/>
      <c r="X7" s="71"/>
      <c r="Y7" s="35"/>
      <c r="Z7" s="38"/>
      <c r="AA7" s="39"/>
      <c r="AB7" s="39"/>
      <c r="AC7" s="39"/>
      <c r="AD7" s="40"/>
      <c r="AE7" s="41" t="s">
        <v>40</v>
      </c>
      <c r="AF7" s="41"/>
      <c r="AG7" s="42">
        <v>0.08</v>
      </c>
      <c r="AH7" s="43"/>
      <c r="AI7" s="43"/>
      <c r="AJ7" s="44"/>
      <c r="AK7" s="44"/>
    </row>
    <row r="8" spans="1:37" ht="37.5" customHeight="1">
      <c r="A8" s="25"/>
      <c r="B8" s="25"/>
      <c r="C8" s="26"/>
      <c r="D8" s="72"/>
      <c r="E8" s="72"/>
      <c r="F8" s="72"/>
      <c r="G8" s="72"/>
      <c r="H8" s="70"/>
      <c r="I8" s="29"/>
      <c r="J8" s="30"/>
      <c r="K8" s="31"/>
      <c r="L8" s="31"/>
      <c r="M8" s="32"/>
      <c r="N8" s="33"/>
      <c r="O8" s="32"/>
      <c r="P8" s="34"/>
      <c r="Q8" s="34"/>
      <c r="R8" s="35"/>
      <c r="S8" s="25"/>
      <c r="T8" s="35"/>
      <c r="U8" s="35"/>
      <c r="V8" s="35"/>
      <c r="W8" s="36"/>
      <c r="X8" s="71"/>
      <c r="Y8" s="35"/>
      <c r="Z8" s="38"/>
      <c r="AA8" s="39"/>
      <c r="AB8" s="39"/>
      <c r="AC8" s="39"/>
      <c r="AD8" s="40"/>
      <c r="AE8" s="41"/>
      <c r="AF8" s="41"/>
      <c r="AG8" s="42"/>
      <c r="AH8" s="43"/>
      <c r="AI8" s="43"/>
      <c r="AJ8" s="44"/>
      <c r="AK8" s="44"/>
    </row>
    <row r="9" spans="1:37" ht="37.5" customHeight="1">
      <c r="A9" s="25"/>
      <c r="B9" s="25"/>
      <c r="C9" s="26"/>
      <c r="D9" s="72"/>
      <c r="E9" s="72"/>
      <c r="F9" s="72"/>
      <c r="G9" s="72"/>
      <c r="H9" s="70"/>
      <c r="I9" s="29"/>
      <c r="J9" s="30"/>
      <c r="K9" s="31"/>
      <c r="L9" s="31"/>
      <c r="M9" s="32"/>
      <c r="N9" s="33"/>
      <c r="O9" s="32"/>
      <c r="P9" s="34"/>
      <c r="Q9" s="34"/>
      <c r="R9" s="35"/>
      <c r="S9" s="25"/>
      <c r="T9" s="35"/>
      <c r="U9" s="35"/>
      <c r="V9" s="35"/>
      <c r="W9" s="36"/>
      <c r="X9" s="71"/>
      <c r="Y9" s="35"/>
      <c r="Z9" s="38"/>
      <c r="AA9" s="39"/>
      <c r="AB9" s="39"/>
      <c r="AC9" s="39"/>
      <c r="AD9" s="40"/>
      <c r="AE9" s="41"/>
      <c r="AF9" s="41"/>
      <c r="AG9" s="42"/>
      <c r="AH9" s="43"/>
      <c r="AI9" s="43"/>
      <c r="AJ9" s="44"/>
      <c r="AK9" s="44"/>
    </row>
    <row r="10" spans="1:37" ht="37.5" customHeight="1">
      <c r="A10" s="25"/>
      <c r="B10" s="25"/>
      <c r="C10" s="26"/>
      <c r="D10" s="72"/>
      <c r="E10" s="72"/>
      <c r="F10" s="72"/>
      <c r="G10" s="72"/>
      <c r="H10" s="70"/>
      <c r="I10" s="29"/>
      <c r="J10" s="30"/>
      <c r="K10" s="31"/>
      <c r="L10" s="31"/>
      <c r="M10" s="32"/>
      <c r="N10" s="33"/>
      <c r="O10" s="32"/>
      <c r="P10" s="34"/>
      <c r="Q10" s="34"/>
      <c r="R10" s="35"/>
      <c r="S10" s="25"/>
      <c r="T10" s="35"/>
      <c r="U10" s="35"/>
      <c r="V10" s="35"/>
      <c r="W10" s="36"/>
      <c r="X10" s="71"/>
      <c r="Y10" s="35"/>
      <c r="Z10" s="38"/>
      <c r="AA10" s="39"/>
      <c r="AB10" s="39"/>
      <c r="AC10" s="39"/>
      <c r="AD10" s="40"/>
      <c r="AE10" s="41"/>
      <c r="AF10" s="41"/>
      <c r="AG10" s="45"/>
      <c r="AH10" s="43"/>
      <c r="AI10" s="43"/>
      <c r="AJ10" s="44"/>
      <c r="AK10" s="44"/>
    </row>
    <row r="11" spans="1:37" ht="37.5" customHeight="1">
      <c r="A11" s="25"/>
      <c r="B11" s="25"/>
      <c r="C11" s="26"/>
      <c r="D11" s="72"/>
      <c r="E11" s="72"/>
      <c r="F11" s="72"/>
      <c r="G11" s="72"/>
      <c r="H11" s="70"/>
      <c r="I11" s="29"/>
      <c r="J11" s="30"/>
      <c r="K11" s="31"/>
      <c r="L11" s="31"/>
      <c r="M11" s="32"/>
      <c r="N11" s="33"/>
      <c r="O11" s="32"/>
      <c r="P11" s="34"/>
      <c r="Q11" s="34"/>
      <c r="R11" s="35"/>
      <c r="S11" s="25"/>
      <c r="T11" s="35"/>
      <c r="U11" s="35"/>
      <c r="V11" s="35"/>
      <c r="W11" s="36"/>
      <c r="X11" s="71"/>
      <c r="Y11" s="35"/>
      <c r="Z11" s="38"/>
      <c r="AA11" s="39"/>
      <c r="AB11" s="39"/>
      <c r="AC11" s="39"/>
      <c r="AD11" s="40"/>
      <c r="AE11" s="41"/>
      <c r="AF11" s="41"/>
      <c r="AG11" s="45"/>
      <c r="AH11" s="43"/>
      <c r="AI11" s="43"/>
      <c r="AJ11" s="44"/>
      <c r="AK11" s="44"/>
    </row>
    <row r="12" spans="1:37" ht="37.5" customHeight="1">
      <c r="A12" s="25"/>
      <c r="B12" s="25"/>
      <c r="C12" s="26"/>
      <c r="D12" s="72"/>
      <c r="E12" s="72"/>
      <c r="F12" s="72"/>
      <c r="G12" s="72"/>
      <c r="H12" s="70"/>
      <c r="I12" s="29"/>
      <c r="J12" s="30"/>
      <c r="K12" s="31"/>
      <c r="L12" s="31"/>
      <c r="M12" s="32"/>
      <c r="N12" s="33"/>
      <c r="O12" s="32"/>
      <c r="P12" s="34"/>
      <c r="Q12" s="34"/>
      <c r="R12" s="35"/>
      <c r="S12" s="25"/>
      <c r="T12" s="35"/>
      <c r="U12" s="35"/>
      <c r="V12" s="35"/>
      <c r="W12" s="36"/>
      <c r="X12" s="71"/>
      <c r="Y12" s="35"/>
      <c r="Z12" s="38"/>
      <c r="AA12" s="39"/>
      <c r="AB12" s="39"/>
      <c r="AC12" s="39"/>
      <c r="AD12" s="40"/>
      <c r="AE12" s="41"/>
      <c r="AF12" s="41"/>
      <c r="AG12" s="45"/>
      <c r="AH12" s="43"/>
      <c r="AI12" s="43"/>
      <c r="AJ12" s="44"/>
      <c r="AK12" s="44"/>
    </row>
    <row r="13" spans="1:37" ht="37.5" customHeight="1">
      <c r="A13" s="25"/>
      <c r="B13" s="25"/>
      <c r="C13" s="26"/>
      <c r="D13" s="72"/>
      <c r="E13" s="72"/>
      <c r="F13" s="72"/>
      <c r="G13" s="72"/>
      <c r="H13" s="70"/>
      <c r="I13" s="29"/>
      <c r="J13" s="30"/>
      <c r="K13" s="31"/>
      <c r="L13" s="31"/>
      <c r="M13" s="32"/>
      <c r="N13" s="33"/>
      <c r="O13" s="32"/>
      <c r="P13" s="34"/>
      <c r="Q13" s="34"/>
      <c r="R13" s="35"/>
      <c r="S13" s="25"/>
      <c r="T13" s="35"/>
      <c r="U13" s="35"/>
      <c r="V13" s="35"/>
      <c r="W13" s="36"/>
      <c r="X13" s="71"/>
      <c r="Y13" s="35"/>
      <c r="Z13" s="38"/>
      <c r="AA13" s="39"/>
      <c r="AB13" s="39"/>
      <c r="AC13" s="39"/>
      <c r="AD13" s="40"/>
      <c r="AE13" s="41"/>
      <c r="AF13" s="41"/>
      <c r="AG13" s="45"/>
      <c r="AH13" s="43"/>
      <c r="AI13" s="43"/>
      <c r="AJ13" s="44"/>
      <c r="AK13" s="44"/>
    </row>
    <row r="14" spans="1:37" ht="37.5" customHeight="1">
      <c r="A14" s="25"/>
      <c r="B14" s="25"/>
      <c r="C14" s="26"/>
      <c r="D14" s="72"/>
      <c r="E14" s="72"/>
      <c r="F14" s="72"/>
      <c r="G14" s="72"/>
      <c r="H14" s="70"/>
      <c r="I14" s="29"/>
      <c r="J14" s="30"/>
      <c r="K14" s="31"/>
      <c r="L14" s="31"/>
      <c r="M14" s="32"/>
      <c r="N14" s="33"/>
      <c r="O14" s="32"/>
      <c r="P14" s="34"/>
      <c r="Q14" s="34"/>
      <c r="R14" s="35"/>
      <c r="S14" s="25"/>
      <c r="T14" s="35"/>
      <c r="U14" s="35"/>
      <c r="V14" s="35"/>
      <c r="W14" s="36"/>
      <c r="X14" s="71"/>
      <c r="Y14" s="35"/>
      <c r="Z14" s="38"/>
      <c r="AA14" s="39"/>
      <c r="AB14" s="39"/>
      <c r="AC14" s="39"/>
      <c r="AD14" s="40"/>
      <c r="AE14" s="41"/>
      <c r="AF14" s="41"/>
      <c r="AG14" s="45"/>
      <c r="AH14" s="43"/>
      <c r="AI14" s="43"/>
      <c r="AJ14" s="44"/>
      <c r="AK14" s="44"/>
    </row>
    <row r="15" spans="1:37" ht="37.5" customHeight="1">
      <c r="A15" s="25"/>
      <c r="B15" s="25"/>
      <c r="C15" s="26"/>
      <c r="D15" s="72"/>
      <c r="E15" s="72"/>
      <c r="F15" s="72"/>
      <c r="G15" s="72"/>
      <c r="H15" s="70"/>
      <c r="I15" s="29"/>
      <c r="J15" s="30"/>
      <c r="K15" s="31"/>
      <c r="L15" s="31"/>
      <c r="M15" s="32"/>
      <c r="N15" s="33"/>
      <c r="O15" s="32"/>
      <c r="P15" s="34"/>
      <c r="Q15" s="34"/>
      <c r="R15" s="35"/>
      <c r="S15" s="25"/>
      <c r="T15" s="35"/>
      <c r="U15" s="35"/>
      <c r="V15" s="35"/>
      <c r="W15" s="36"/>
      <c r="X15" s="71"/>
      <c r="Y15" s="35"/>
      <c r="Z15" s="38"/>
      <c r="AA15" s="39"/>
      <c r="AB15" s="39"/>
      <c r="AC15" s="39"/>
      <c r="AD15" s="40"/>
      <c r="AE15" s="41"/>
      <c r="AF15" s="41"/>
      <c r="AG15" s="45"/>
      <c r="AH15" s="43"/>
      <c r="AI15" s="43"/>
      <c r="AJ15" s="44"/>
      <c r="AK15" s="44"/>
    </row>
    <row r="16" spans="1:37" ht="37.5" customHeight="1">
      <c r="A16" s="25"/>
      <c r="B16" s="25"/>
      <c r="C16" s="26"/>
      <c r="D16" s="72"/>
      <c r="E16" s="72"/>
      <c r="F16" s="72"/>
      <c r="G16" s="72"/>
      <c r="H16" s="70"/>
      <c r="I16" s="29"/>
      <c r="J16" s="30"/>
      <c r="K16" s="31"/>
      <c r="L16" s="31"/>
      <c r="M16" s="32"/>
      <c r="N16" s="33"/>
      <c r="O16" s="32"/>
      <c r="P16" s="34"/>
      <c r="Q16" s="34"/>
      <c r="R16" s="35"/>
      <c r="S16" s="25"/>
      <c r="T16" s="35"/>
      <c r="U16" s="35"/>
      <c r="V16" s="35"/>
      <c r="W16" s="36"/>
      <c r="X16" s="71"/>
      <c r="Y16" s="35"/>
      <c r="Z16" s="38"/>
      <c r="AA16" s="39"/>
      <c r="AB16" s="39"/>
      <c r="AC16" s="39"/>
      <c r="AD16" s="40"/>
      <c r="AE16" s="41"/>
      <c r="AF16" s="41"/>
      <c r="AG16" s="45"/>
      <c r="AH16" s="43"/>
      <c r="AI16" s="43"/>
      <c r="AJ16" s="44"/>
      <c r="AK16" s="44"/>
    </row>
    <row r="17" spans="1:37" ht="37.5" customHeight="1">
      <c r="A17" s="25"/>
      <c r="B17" s="25"/>
      <c r="C17" s="26"/>
      <c r="D17" s="72"/>
      <c r="E17" s="72"/>
      <c r="F17" s="72"/>
      <c r="G17" s="72"/>
      <c r="H17" s="70"/>
      <c r="I17" s="29"/>
      <c r="J17" s="30"/>
      <c r="K17" s="31"/>
      <c r="L17" s="31"/>
      <c r="M17" s="32"/>
      <c r="N17" s="33"/>
      <c r="O17" s="32"/>
      <c r="P17" s="34"/>
      <c r="Q17" s="34"/>
      <c r="R17" s="35"/>
      <c r="S17" s="25"/>
      <c r="T17" s="35"/>
      <c r="U17" s="35"/>
      <c r="V17" s="35"/>
      <c r="W17" s="36"/>
      <c r="X17" s="71"/>
      <c r="Y17" s="35"/>
      <c r="Z17" s="38"/>
      <c r="AA17" s="39"/>
      <c r="AB17" s="39"/>
      <c r="AC17" s="39"/>
      <c r="AD17" s="40"/>
      <c r="AE17" s="41"/>
      <c r="AF17" s="41"/>
      <c r="AG17" s="45"/>
      <c r="AH17" s="43"/>
      <c r="AI17" s="43"/>
      <c r="AJ17" s="44"/>
      <c r="AK17" s="44"/>
    </row>
    <row r="18" spans="1:37" ht="37.5" customHeight="1">
      <c r="A18" s="25"/>
      <c r="B18" s="25"/>
      <c r="C18" s="26"/>
      <c r="D18" s="72"/>
      <c r="E18" s="72"/>
      <c r="F18" s="72"/>
      <c r="G18" s="72"/>
      <c r="H18" s="70"/>
      <c r="I18" s="29"/>
      <c r="J18" s="30"/>
      <c r="K18" s="31"/>
      <c r="L18" s="31"/>
      <c r="M18" s="32"/>
      <c r="N18" s="34"/>
      <c r="O18" s="32"/>
      <c r="P18" s="34"/>
      <c r="Q18" s="34"/>
      <c r="R18" s="35"/>
      <c r="S18" s="25"/>
      <c r="T18" s="35"/>
      <c r="U18" s="35"/>
      <c r="V18" s="35"/>
      <c r="W18" s="36"/>
      <c r="X18" s="71"/>
      <c r="Y18" s="35"/>
      <c r="Z18" s="38"/>
      <c r="AA18" s="39"/>
      <c r="AB18" s="39"/>
      <c r="AC18" s="39"/>
      <c r="AD18" s="40"/>
      <c r="AE18" s="41"/>
      <c r="AF18" s="41"/>
      <c r="AG18" s="45"/>
      <c r="AH18" s="43"/>
      <c r="AI18" s="43"/>
      <c r="AJ18" s="44"/>
      <c r="AK18" s="44"/>
    </row>
    <row r="19" spans="1:37" ht="37.5" customHeight="1">
      <c r="A19" s="25"/>
      <c r="B19" s="25"/>
      <c r="C19" s="26"/>
      <c r="D19" s="72"/>
      <c r="E19" s="72"/>
      <c r="F19" s="72"/>
      <c r="G19" s="72"/>
      <c r="H19" s="70"/>
      <c r="I19" s="29"/>
      <c r="J19" s="30"/>
      <c r="K19" s="31"/>
      <c r="L19" s="31"/>
      <c r="M19" s="32"/>
      <c r="N19" s="34"/>
      <c r="O19" s="32"/>
      <c r="P19" s="34"/>
      <c r="Q19" s="34"/>
      <c r="R19" s="35"/>
      <c r="S19" s="25"/>
      <c r="T19" s="35"/>
      <c r="U19" s="35"/>
      <c r="V19" s="35"/>
      <c r="W19" s="36"/>
      <c r="X19" s="71"/>
      <c r="Y19" s="35"/>
      <c r="Z19" s="38"/>
      <c r="AA19" s="39"/>
      <c r="AB19" s="39"/>
      <c r="AC19" s="39"/>
      <c r="AD19" s="40"/>
      <c r="AE19" s="41"/>
      <c r="AF19" s="41"/>
      <c r="AG19" s="45"/>
      <c r="AH19" s="43"/>
      <c r="AI19" s="43"/>
      <c r="AJ19" s="44"/>
      <c r="AK19" s="44"/>
    </row>
    <row r="20" spans="1:37" ht="37.5" customHeight="1">
      <c r="A20" s="25"/>
      <c r="B20" s="25"/>
      <c r="C20" s="26"/>
      <c r="D20" s="72"/>
      <c r="E20" s="72"/>
      <c r="F20" s="72"/>
      <c r="G20" s="72"/>
      <c r="H20" s="70"/>
      <c r="I20" s="29"/>
      <c r="J20" s="30"/>
      <c r="K20" s="31"/>
      <c r="L20" s="31"/>
      <c r="M20" s="32"/>
      <c r="N20" s="34"/>
      <c r="O20" s="32"/>
      <c r="P20" s="34"/>
      <c r="Q20" s="34"/>
      <c r="R20" s="35"/>
      <c r="S20" s="25"/>
      <c r="T20" s="35"/>
      <c r="U20" s="35"/>
      <c r="V20" s="35"/>
      <c r="W20" s="36"/>
      <c r="X20" s="71"/>
      <c r="Y20" s="35"/>
      <c r="Z20" s="38"/>
      <c r="AA20" s="39"/>
      <c r="AB20" s="39"/>
      <c r="AC20" s="39"/>
      <c r="AD20" s="40"/>
      <c r="AE20" s="41"/>
      <c r="AF20" s="41"/>
      <c r="AG20" s="45"/>
      <c r="AH20" s="43"/>
      <c r="AI20" s="43"/>
      <c r="AJ20" s="44"/>
      <c r="AK20" s="44"/>
    </row>
    <row r="21" spans="1:37" ht="37.5" customHeight="1">
      <c r="A21" s="25"/>
      <c r="B21" s="25"/>
      <c r="C21" s="26"/>
      <c r="D21" s="72"/>
      <c r="E21" s="72"/>
      <c r="F21" s="72"/>
      <c r="G21" s="72"/>
      <c r="H21" s="70"/>
      <c r="I21" s="29"/>
      <c r="J21" s="30"/>
      <c r="K21" s="31"/>
      <c r="L21" s="31"/>
      <c r="M21" s="32"/>
      <c r="N21" s="34"/>
      <c r="O21" s="32"/>
      <c r="P21" s="34"/>
      <c r="Q21" s="34"/>
      <c r="R21" s="35"/>
      <c r="S21" s="25"/>
      <c r="T21" s="35"/>
      <c r="U21" s="35"/>
      <c r="V21" s="35"/>
      <c r="W21" s="36"/>
      <c r="X21" s="71"/>
      <c r="Y21" s="35"/>
      <c r="Z21" s="38"/>
      <c r="AA21" s="39"/>
      <c r="AB21" s="39"/>
      <c r="AC21" s="39"/>
      <c r="AD21" s="40"/>
      <c r="AE21" s="41"/>
      <c r="AF21" s="41"/>
      <c r="AG21" s="45"/>
      <c r="AH21" s="43"/>
      <c r="AI21" s="43"/>
      <c r="AJ21" s="44"/>
      <c r="AK21" s="44"/>
    </row>
    <row r="22" spans="1:37" ht="37.5" customHeight="1">
      <c r="A22" s="25"/>
      <c r="B22" s="25"/>
      <c r="C22" s="26"/>
      <c r="D22" s="72"/>
      <c r="E22" s="72"/>
      <c r="F22" s="72"/>
      <c r="G22" s="72"/>
      <c r="H22" s="70"/>
      <c r="I22" s="29"/>
      <c r="J22" s="30"/>
      <c r="K22" s="31"/>
      <c r="L22" s="31"/>
      <c r="M22" s="32"/>
      <c r="N22" s="34"/>
      <c r="O22" s="32"/>
      <c r="P22" s="34"/>
      <c r="Q22" s="34"/>
      <c r="R22" s="35"/>
      <c r="S22" s="25"/>
      <c r="T22" s="35"/>
      <c r="U22" s="35"/>
      <c r="V22" s="35"/>
      <c r="W22" s="36"/>
      <c r="X22" s="71"/>
      <c r="Y22" s="35"/>
      <c r="Z22" s="38"/>
      <c r="AA22" s="39"/>
      <c r="AB22" s="39"/>
      <c r="AC22" s="39"/>
      <c r="AD22" s="40"/>
      <c r="AE22" s="41"/>
      <c r="AF22" s="41"/>
      <c r="AG22" s="45"/>
      <c r="AH22" s="43"/>
      <c r="AI22" s="43"/>
      <c r="AJ22" s="44"/>
      <c r="AK22" s="44"/>
    </row>
    <row r="23" spans="1:37" ht="37.5" customHeight="1">
      <c r="A23" s="25"/>
      <c r="B23" s="25"/>
      <c r="C23" s="26"/>
      <c r="D23" s="72"/>
      <c r="E23" s="72"/>
      <c r="F23" s="72"/>
      <c r="G23" s="72"/>
      <c r="H23" s="70"/>
      <c r="I23" s="29"/>
      <c r="J23" s="30"/>
      <c r="K23" s="31"/>
      <c r="L23" s="31"/>
      <c r="M23" s="32"/>
      <c r="N23" s="34"/>
      <c r="O23" s="32"/>
      <c r="P23" s="34"/>
      <c r="Q23" s="34"/>
      <c r="R23" s="35"/>
      <c r="S23" s="25"/>
      <c r="T23" s="35"/>
      <c r="U23" s="35"/>
      <c r="V23" s="35"/>
      <c r="W23" s="36"/>
      <c r="X23" s="71"/>
      <c r="Y23" s="35"/>
      <c r="Z23" s="38"/>
      <c r="AA23" s="39"/>
      <c r="AB23" s="39"/>
      <c r="AC23" s="39"/>
      <c r="AD23" s="40"/>
      <c r="AE23" s="41"/>
      <c r="AF23" s="41"/>
      <c r="AG23" s="45"/>
      <c r="AH23" s="43"/>
      <c r="AI23" s="43"/>
      <c r="AJ23" s="44"/>
      <c r="AK23" s="44"/>
    </row>
    <row r="24" spans="1:37" ht="37.5" customHeight="1">
      <c r="A24" s="52"/>
      <c r="B24" s="52"/>
      <c r="C24" s="52"/>
      <c r="D24" s="52"/>
      <c r="E24" s="52"/>
      <c r="F24" s="52"/>
      <c r="G24" s="52"/>
      <c r="H24" s="52"/>
      <c r="I24" s="52"/>
      <c r="J24" s="52"/>
      <c r="K24" s="52"/>
      <c r="L24" s="52"/>
      <c r="M24" s="52"/>
      <c r="N24" s="52"/>
      <c r="O24" s="52"/>
      <c r="P24" s="52"/>
      <c r="Q24" s="52"/>
      <c r="R24" s="52"/>
      <c r="S24" s="52"/>
      <c r="T24" s="52"/>
      <c r="U24" s="52"/>
      <c r="V24" s="52"/>
      <c r="W24" s="56"/>
      <c r="X24" s="52"/>
      <c r="Y24" s="52"/>
      <c r="Z24" s="52"/>
      <c r="AA24" s="52"/>
      <c r="AB24" s="52"/>
      <c r="AC24" s="52"/>
      <c r="AD24" s="57"/>
      <c r="AE24" s="3"/>
      <c r="AF24" s="58"/>
      <c r="AG24" s="4"/>
      <c r="AH24" s="58"/>
      <c r="AI24" s="4"/>
      <c r="AJ24" s="4"/>
      <c r="AK24" s="4"/>
    </row>
    <row r="25" spans="1:37" ht="37.5" customHeight="1">
      <c r="A25" s="52"/>
      <c r="B25" s="52"/>
      <c r="C25" s="52"/>
      <c r="D25" s="52"/>
      <c r="E25" s="52"/>
      <c r="F25" s="52"/>
      <c r="G25" s="52"/>
      <c r="H25" s="52"/>
      <c r="I25" s="52"/>
      <c r="J25" s="52"/>
      <c r="K25" s="52"/>
      <c r="L25" s="52"/>
      <c r="M25" s="52"/>
      <c r="N25" s="52"/>
      <c r="O25" s="52"/>
      <c r="P25" s="52"/>
      <c r="Q25" s="52"/>
      <c r="R25" s="52"/>
      <c r="S25" s="52"/>
      <c r="T25" s="52"/>
      <c r="U25" s="52"/>
      <c r="V25" s="52"/>
      <c r="W25" s="56"/>
      <c r="X25" s="52"/>
      <c r="Y25" s="52"/>
      <c r="Z25" s="52"/>
      <c r="AA25" s="52"/>
      <c r="AB25" s="52"/>
      <c r="AC25" s="52"/>
      <c r="AD25" s="57"/>
      <c r="AE25" s="3"/>
      <c r="AF25" s="58"/>
      <c r="AG25" s="4"/>
      <c r="AH25" s="58"/>
      <c r="AI25" s="4"/>
      <c r="AJ25" s="4"/>
      <c r="AK25" s="4"/>
    </row>
    <row r="26" spans="1:37" ht="37.5" customHeight="1">
      <c r="A26" s="52"/>
      <c r="B26" s="52"/>
      <c r="C26" s="52"/>
      <c r="D26" s="52"/>
      <c r="E26" s="52"/>
      <c r="F26" s="52"/>
      <c r="G26" s="52"/>
      <c r="H26" s="52"/>
      <c r="I26" s="52"/>
      <c r="J26" s="52"/>
      <c r="K26" s="52"/>
      <c r="L26" s="52"/>
      <c r="M26" s="52"/>
      <c r="N26" s="52"/>
      <c r="O26" s="52"/>
      <c r="P26" s="52"/>
      <c r="Q26" s="52"/>
      <c r="R26" s="52"/>
      <c r="S26" s="52"/>
      <c r="T26" s="52"/>
      <c r="U26" s="52"/>
      <c r="V26" s="52"/>
      <c r="W26" s="56"/>
      <c r="X26" s="52"/>
      <c r="Y26" s="52"/>
      <c r="Z26" s="52"/>
      <c r="AA26" s="52"/>
      <c r="AB26" s="52"/>
      <c r="AC26" s="52"/>
      <c r="AD26" s="57"/>
      <c r="AE26" s="3"/>
      <c r="AF26" s="58"/>
      <c r="AG26" s="4"/>
      <c r="AH26" s="58"/>
      <c r="AI26" s="4"/>
      <c r="AJ26" s="4"/>
      <c r="AK26" s="4"/>
    </row>
    <row r="27" spans="1:37" ht="37.5" customHeight="1">
      <c r="A27" s="52"/>
      <c r="B27" s="52"/>
      <c r="C27" s="52"/>
      <c r="D27" s="52"/>
      <c r="E27" s="52"/>
      <c r="F27" s="52"/>
      <c r="G27" s="52"/>
      <c r="H27" s="52"/>
      <c r="I27" s="52"/>
      <c r="J27" s="52"/>
      <c r="K27" s="52"/>
      <c r="L27" s="52"/>
      <c r="M27" s="52"/>
      <c r="N27" s="52"/>
      <c r="O27" s="52"/>
      <c r="P27" s="52"/>
      <c r="Q27" s="52"/>
      <c r="R27" s="52"/>
      <c r="S27" s="52"/>
      <c r="T27" s="52"/>
      <c r="U27" s="52"/>
      <c r="V27" s="52"/>
      <c r="W27" s="56"/>
      <c r="X27" s="52"/>
      <c r="Y27" s="52"/>
      <c r="Z27" s="52"/>
      <c r="AA27" s="52"/>
      <c r="AB27" s="52"/>
      <c r="AC27" s="52"/>
      <c r="AD27" s="57"/>
      <c r="AE27" s="3"/>
      <c r="AF27" s="58"/>
      <c r="AG27" s="4"/>
      <c r="AH27" s="58"/>
      <c r="AI27" s="4"/>
      <c r="AJ27" s="4"/>
      <c r="AK27" s="4"/>
    </row>
    <row r="28" spans="1:37" ht="37.5" customHeight="1">
      <c r="A28" s="52"/>
      <c r="B28" s="52"/>
      <c r="C28" s="52"/>
      <c r="D28" s="52"/>
      <c r="E28" s="52"/>
      <c r="F28" s="52"/>
      <c r="G28" s="52"/>
      <c r="H28" s="52"/>
      <c r="I28" s="52"/>
      <c r="J28" s="52"/>
      <c r="K28" s="52"/>
      <c r="L28" s="52"/>
      <c r="M28" s="52"/>
      <c r="N28" s="52"/>
      <c r="O28" s="52"/>
      <c r="P28" s="52"/>
      <c r="Q28" s="52"/>
      <c r="R28" s="52"/>
      <c r="S28" s="52"/>
      <c r="T28" s="52"/>
      <c r="U28" s="52"/>
      <c r="V28" s="52"/>
      <c r="W28" s="56"/>
      <c r="X28" s="52"/>
      <c r="Y28" s="52"/>
      <c r="Z28" s="52"/>
      <c r="AA28" s="52"/>
      <c r="AB28" s="52"/>
      <c r="AC28" s="52"/>
      <c r="AD28" s="57"/>
      <c r="AE28" s="3"/>
      <c r="AF28" s="58"/>
      <c r="AG28" s="4"/>
      <c r="AH28" s="58"/>
      <c r="AI28" s="4"/>
      <c r="AJ28" s="4"/>
      <c r="AK28" s="4"/>
    </row>
    <row r="29" spans="1:37" ht="37.5" customHeight="1">
      <c r="A29" s="52"/>
      <c r="B29" s="52"/>
      <c r="C29" s="52"/>
      <c r="D29" s="52"/>
      <c r="E29" s="52"/>
      <c r="F29" s="52"/>
      <c r="G29" s="52"/>
      <c r="H29" s="52"/>
      <c r="I29" s="52"/>
      <c r="J29" s="52"/>
      <c r="K29" s="52"/>
      <c r="L29" s="52"/>
      <c r="M29" s="52"/>
      <c r="N29" s="52"/>
      <c r="O29" s="52"/>
      <c r="P29" s="52"/>
      <c r="Q29" s="52"/>
      <c r="R29" s="52"/>
      <c r="S29" s="52"/>
      <c r="T29" s="52"/>
      <c r="U29" s="52"/>
      <c r="V29" s="52"/>
      <c r="W29" s="56"/>
      <c r="X29" s="52"/>
      <c r="Y29" s="52"/>
      <c r="Z29" s="52"/>
      <c r="AA29" s="52"/>
      <c r="AB29" s="52"/>
      <c r="AC29" s="52"/>
      <c r="AD29" s="57"/>
      <c r="AE29" s="3"/>
      <c r="AF29" s="58"/>
      <c r="AG29" s="4"/>
      <c r="AH29" s="58"/>
      <c r="AI29" s="4"/>
      <c r="AJ29" s="4"/>
      <c r="AK29" s="4"/>
    </row>
    <row r="30" spans="1:37" ht="37.5" customHeight="1">
      <c r="A30" s="52"/>
      <c r="B30" s="52"/>
      <c r="C30" s="52"/>
      <c r="D30" s="52"/>
      <c r="E30" s="52"/>
      <c r="F30" s="52"/>
      <c r="G30" s="52"/>
      <c r="H30" s="52"/>
      <c r="I30" s="52"/>
      <c r="J30" s="52"/>
      <c r="K30" s="52"/>
      <c r="L30" s="52"/>
      <c r="M30" s="52"/>
      <c r="N30" s="52"/>
      <c r="O30" s="52"/>
      <c r="P30" s="52"/>
      <c r="Q30" s="52"/>
      <c r="R30" s="52"/>
      <c r="S30" s="52"/>
      <c r="T30" s="52"/>
      <c r="U30" s="52"/>
      <c r="V30" s="52"/>
      <c r="W30" s="56"/>
      <c r="X30" s="52"/>
      <c r="Y30" s="52"/>
      <c r="Z30" s="52"/>
      <c r="AA30" s="52"/>
      <c r="AB30" s="52"/>
      <c r="AC30" s="52"/>
      <c r="AD30" s="57"/>
      <c r="AE30" s="3"/>
      <c r="AF30" s="58"/>
      <c r="AG30" s="4"/>
      <c r="AH30" s="58"/>
      <c r="AI30" s="4"/>
      <c r="AJ30" s="4"/>
      <c r="AK30" s="4"/>
    </row>
    <row r="31" spans="1:37" ht="37.5" customHeight="1">
      <c r="A31" s="52"/>
      <c r="B31" s="52"/>
      <c r="C31" s="52"/>
      <c r="D31" s="52"/>
      <c r="E31" s="52"/>
      <c r="F31" s="52"/>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row>
    <row r="32" spans="1:37" ht="14.25">
      <c r="A32" s="52"/>
      <c r="B32" s="52"/>
      <c r="C32" s="52"/>
      <c r="D32" s="52"/>
      <c r="E32" s="52"/>
      <c r="F32" s="52"/>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row>
    <row r="33" spans="1:37" ht="14.25">
      <c r="A33" s="52"/>
      <c r="B33" s="52"/>
      <c r="C33" s="52"/>
      <c r="D33" s="52"/>
      <c r="E33" s="52"/>
      <c r="F33" s="52"/>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14.25">
      <c r="A34" s="52"/>
      <c r="B34" s="52"/>
      <c r="C34" s="52"/>
      <c r="D34" s="52"/>
      <c r="E34" s="52"/>
      <c r="F34" s="52"/>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14.25">
      <c r="A35" s="52"/>
      <c r="B35" s="52"/>
      <c r="C35" s="52"/>
      <c r="D35" s="52"/>
      <c r="E35" s="52"/>
      <c r="F35" s="52"/>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14.25">
      <c r="A36" s="52"/>
      <c r="B36" s="52"/>
      <c r="C36" s="52"/>
      <c r="D36" s="52"/>
      <c r="E36" s="52"/>
      <c r="F36" s="52"/>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3"/>
      <c r="AG36" s="4"/>
      <c r="AH36" s="4"/>
      <c r="AI36" s="4"/>
      <c r="AJ36" s="4"/>
      <c r="AK36" s="4"/>
    </row>
    <row r="37" spans="1:37" ht="14.25">
      <c r="A37" s="52"/>
      <c r="B37" s="52"/>
      <c r="C37" s="52"/>
      <c r="D37" s="52"/>
      <c r="E37" s="52"/>
      <c r="F37" s="52"/>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3"/>
      <c r="AG37" s="4"/>
      <c r="AH37" s="4"/>
      <c r="AI37" s="4"/>
      <c r="AJ37" s="4"/>
      <c r="AK37" s="4"/>
    </row>
    <row r="38" spans="1:37" ht="14.25">
      <c r="A38" s="52"/>
      <c r="B38" s="52"/>
      <c r="C38" s="52"/>
      <c r="D38" s="52"/>
      <c r="E38" s="52"/>
      <c r="F38" s="52"/>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3"/>
      <c r="AG38" s="4"/>
      <c r="AH38" s="4"/>
      <c r="AI38" s="4"/>
      <c r="AJ38" s="4"/>
      <c r="AK38" s="4"/>
    </row>
    <row r="39" spans="1:37" ht="14.25">
      <c r="A39" s="52"/>
      <c r="B39" s="52"/>
      <c r="C39" s="52"/>
      <c r="D39" s="52"/>
      <c r="E39" s="52"/>
      <c r="F39" s="52"/>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3"/>
      <c r="AG39" s="4"/>
      <c r="AH39" s="4"/>
      <c r="AI39" s="4"/>
      <c r="AJ39" s="4"/>
      <c r="AK39" s="4"/>
    </row>
    <row r="40" spans="1:37" ht="14.25">
      <c r="A40" s="52"/>
      <c r="B40" s="52"/>
      <c r="C40" s="52"/>
      <c r="D40" s="52"/>
      <c r="E40" s="52"/>
      <c r="F40" s="52"/>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3"/>
      <c r="AG40" s="4"/>
      <c r="AH40" s="4"/>
      <c r="AI40" s="4"/>
      <c r="AJ40" s="4"/>
      <c r="AK40" s="4"/>
    </row>
    <row r="41" spans="1:37" ht="14.25">
      <c r="A41" s="52"/>
      <c r="B41" s="52"/>
      <c r="C41" s="52"/>
      <c r="D41" s="52"/>
      <c r="E41" s="52"/>
      <c r="F41" s="52"/>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3"/>
      <c r="AG41" s="4"/>
      <c r="AH41" s="4"/>
      <c r="AI41" s="4"/>
      <c r="AJ41" s="4"/>
      <c r="AK41" s="4"/>
    </row>
    <row r="42" spans="1:37" ht="14.25">
      <c r="A42" s="52"/>
      <c r="B42" s="52"/>
      <c r="C42" s="52"/>
      <c r="D42" s="52"/>
      <c r="E42" s="52"/>
      <c r="F42" s="52"/>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3"/>
      <c r="AG42" s="4"/>
      <c r="AH42" s="4"/>
      <c r="AI42" s="4"/>
      <c r="AJ42" s="4"/>
      <c r="AK42" s="4"/>
    </row>
    <row r="43" spans="1:37" ht="14.25">
      <c r="A43" s="52"/>
      <c r="B43" s="52"/>
      <c r="C43" s="52"/>
      <c r="D43" s="52"/>
      <c r="E43" s="52"/>
      <c r="F43" s="52"/>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2"/>
      <c r="E44" s="52"/>
      <c r="F44" s="52"/>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2"/>
      <c r="E45" s="52"/>
      <c r="F45" s="52"/>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2"/>
      <c r="E46" s="52"/>
      <c r="F46" s="52"/>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2"/>
      <c r="E47" s="52"/>
      <c r="F47" s="52"/>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2"/>
      <c r="E48" s="52"/>
      <c r="F48" s="52"/>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2"/>
      <c r="E49" s="52"/>
      <c r="F49" s="52"/>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2"/>
      <c r="E50" s="52"/>
      <c r="F50" s="52"/>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2"/>
      <c r="E51" s="52"/>
      <c r="F51" s="52"/>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2"/>
      <c r="E52" s="52"/>
      <c r="F52" s="52"/>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2"/>
      <c r="E53" s="52"/>
      <c r="F53" s="52"/>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2"/>
      <c r="E54" s="52"/>
      <c r="F54" s="52"/>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2"/>
      <c r="E55" s="52"/>
      <c r="F55" s="52"/>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2"/>
      <c r="E56" s="52"/>
      <c r="F56" s="52"/>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2"/>
      <c r="E57" s="52"/>
      <c r="F57" s="52"/>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2"/>
      <c r="E58" s="52"/>
      <c r="F58" s="52"/>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2"/>
      <c r="E59" s="52"/>
      <c r="F59" s="52"/>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2"/>
      <c r="E60" s="52"/>
      <c r="F60" s="52"/>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2"/>
      <c r="E61" s="52"/>
      <c r="F61" s="52"/>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2"/>
      <c r="E62" s="52"/>
      <c r="F62" s="52"/>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2"/>
      <c r="E63" s="52"/>
      <c r="F63" s="52"/>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2"/>
      <c r="E64" s="52"/>
      <c r="F64" s="52"/>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2"/>
      <c r="E65" s="52"/>
      <c r="F65" s="52"/>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2"/>
      <c r="E66" s="52"/>
      <c r="F66" s="52"/>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2"/>
      <c r="E67" s="52"/>
      <c r="F67" s="52"/>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2"/>
      <c r="E68" s="52"/>
      <c r="F68" s="52"/>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2"/>
      <c r="E69" s="52"/>
      <c r="F69" s="52"/>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2"/>
      <c r="E70" s="52"/>
      <c r="F70" s="52"/>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2"/>
      <c r="E71" s="52"/>
      <c r="F71" s="52"/>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2"/>
      <c r="E72" s="52"/>
      <c r="F72" s="52"/>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2"/>
      <c r="E73" s="52"/>
      <c r="F73" s="52"/>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2"/>
      <c r="E74" s="52"/>
      <c r="F74" s="52"/>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2"/>
      <c r="E75" s="52"/>
      <c r="F75" s="52"/>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2"/>
      <c r="E76" s="52"/>
      <c r="F76" s="52"/>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2"/>
      <c r="E77" s="52"/>
      <c r="F77" s="52"/>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2"/>
      <c r="E78" s="52"/>
      <c r="F78" s="52"/>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2"/>
      <c r="E79" s="52"/>
      <c r="F79" s="52"/>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2"/>
      <c r="E80" s="52"/>
      <c r="F80" s="52"/>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2"/>
      <c r="E81" s="52"/>
      <c r="F81" s="52"/>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2"/>
      <c r="E82" s="52"/>
      <c r="F82" s="52"/>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2"/>
      <c r="E83" s="52"/>
      <c r="F83" s="52"/>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2"/>
      <c r="E84" s="52"/>
      <c r="F84" s="52"/>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2"/>
      <c r="E85" s="52"/>
      <c r="F85" s="52"/>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2"/>
      <c r="E86" s="52"/>
      <c r="F86" s="52"/>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2"/>
      <c r="E87" s="52"/>
      <c r="F87" s="52"/>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2"/>
      <c r="E88" s="52"/>
      <c r="F88" s="52"/>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2"/>
      <c r="E89" s="52"/>
      <c r="F89" s="52"/>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2"/>
      <c r="E90" s="52"/>
      <c r="F90" s="52"/>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2"/>
      <c r="E91" s="52"/>
      <c r="F91" s="52"/>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2"/>
      <c r="E92" s="52"/>
      <c r="F92" s="52"/>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2"/>
      <c r="E93" s="52"/>
      <c r="F93" s="52"/>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2"/>
      <c r="E94" s="52"/>
      <c r="F94" s="52"/>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2"/>
      <c r="E95" s="52"/>
      <c r="F95" s="52"/>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2"/>
      <c r="E96" s="52"/>
      <c r="F96" s="52"/>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2"/>
      <c r="E97" s="52"/>
      <c r="F97" s="52"/>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2"/>
      <c r="E98" s="52"/>
      <c r="F98" s="52"/>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2"/>
      <c r="E99" s="52"/>
      <c r="F99" s="52"/>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2.75">
      <c r="W100" s="59"/>
    </row>
    <row r="101" spans="1:37" ht="12.75">
      <c r="W101" s="59"/>
    </row>
    <row r="102" spans="1:37" ht="12.75">
      <c r="W102" s="59"/>
    </row>
    <row r="103" spans="1:37" ht="12.75">
      <c r="W103" s="59"/>
    </row>
    <row r="104" spans="1:37" ht="12.75">
      <c r="W104" s="59"/>
    </row>
    <row r="105" spans="1:37" ht="12.75">
      <c r="W105" s="59"/>
    </row>
    <row r="106" spans="1:37" ht="12.75">
      <c r="W106" s="59"/>
    </row>
    <row r="107" spans="1:37" ht="12.75">
      <c r="W107" s="59"/>
    </row>
    <row r="108" spans="1:37" ht="12.75">
      <c r="W108" s="59"/>
    </row>
    <row r="109" spans="1:37" ht="12.75">
      <c r="W109" s="59"/>
    </row>
    <row r="110" spans="1:37" ht="12.75">
      <c r="W110" s="59"/>
    </row>
    <row r="111" spans="1:37" ht="12.75">
      <c r="W111" s="59"/>
    </row>
    <row r="112" spans="1:37" ht="12.75">
      <c r="W112" s="59"/>
    </row>
    <row r="113" spans="23:23" ht="12.75">
      <c r="W113" s="59"/>
    </row>
    <row r="114" spans="23:23" ht="12.75">
      <c r="W114" s="59"/>
    </row>
    <row r="115" spans="23:23" ht="12.75">
      <c r="W115" s="59"/>
    </row>
    <row r="116" spans="23:23" ht="12.75">
      <c r="W116" s="59"/>
    </row>
    <row r="117" spans="23:23" ht="12.75">
      <c r="W117" s="59"/>
    </row>
    <row r="118" spans="23:23" ht="12.75">
      <c r="W118" s="59"/>
    </row>
    <row r="119" spans="23:23" ht="12.75">
      <c r="W119" s="59"/>
    </row>
    <row r="120" spans="23:23" ht="12.75">
      <c r="W120" s="59"/>
    </row>
    <row r="121" spans="23:23" ht="12.75">
      <c r="W121" s="59"/>
    </row>
    <row r="122" spans="23:23" ht="12.75">
      <c r="W122" s="59"/>
    </row>
    <row r="123" spans="23:23" ht="12.75">
      <c r="W123" s="59"/>
    </row>
    <row r="124" spans="23:23" ht="12.75">
      <c r="W124" s="59"/>
    </row>
    <row r="125" spans="23:23" ht="12.75">
      <c r="W125" s="59"/>
    </row>
    <row r="126" spans="23:23" ht="12.75">
      <c r="W126" s="59"/>
    </row>
    <row r="127" spans="23:23" ht="12.75">
      <c r="W127" s="59"/>
    </row>
    <row r="128" spans="23:23" ht="12.75">
      <c r="W128" s="59"/>
    </row>
    <row r="129" spans="23:23" ht="12.75">
      <c r="W129" s="59"/>
    </row>
    <row r="130" spans="23:23" ht="12.75">
      <c r="W130" s="59"/>
    </row>
    <row r="131" spans="23:23" ht="12.75">
      <c r="W131" s="59"/>
    </row>
    <row r="132" spans="23:23" ht="12.75">
      <c r="W132" s="59"/>
    </row>
    <row r="133" spans="23:23" ht="12.75">
      <c r="W133" s="59"/>
    </row>
    <row r="134" spans="23:23" ht="12.75">
      <c r="W134" s="59"/>
    </row>
    <row r="135" spans="23:23" ht="12.75">
      <c r="W135" s="59"/>
    </row>
    <row r="136" spans="23:23" ht="12.75">
      <c r="W136" s="59"/>
    </row>
    <row r="137" spans="23:23" ht="12.75">
      <c r="W137" s="59"/>
    </row>
    <row r="138" spans="23:23" ht="12.75">
      <c r="W138" s="59"/>
    </row>
    <row r="139" spans="23:23" ht="12.75">
      <c r="W139" s="59"/>
    </row>
    <row r="140" spans="23:23" ht="12.75">
      <c r="W140" s="59"/>
    </row>
    <row r="141" spans="23:23" ht="12.75">
      <c r="W141" s="59"/>
    </row>
    <row r="142" spans="23:23" ht="12.75">
      <c r="W142" s="59"/>
    </row>
    <row r="143" spans="23:23" ht="12.75">
      <c r="W143" s="59"/>
    </row>
    <row r="144" spans="23:23" ht="12.75">
      <c r="W144" s="59"/>
    </row>
    <row r="145" spans="23:23" ht="12.75">
      <c r="W145" s="59"/>
    </row>
    <row r="146" spans="23:23" ht="12.75">
      <c r="W146" s="59"/>
    </row>
    <row r="147" spans="23:23" ht="12.75">
      <c r="W147" s="59"/>
    </row>
    <row r="148" spans="23:23" ht="12.75">
      <c r="W148" s="59"/>
    </row>
    <row r="149" spans="23:23" ht="12.75">
      <c r="W149" s="59"/>
    </row>
    <row r="150" spans="23:23" ht="12.75">
      <c r="W150" s="59"/>
    </row>
    <row r="151" spans="23:23" ht="12.75">
      <c r="W151" s="59"/>
    </row>
    <row r="152" spans="23:23" ht="12.75">
      <c r="W152" s="59"/>
    </row>
    <row r="153" spans="23:23" ht="12.75">
      <c r="W153" s="59"/>
    </row>
    <row r="154" spans="23:23" ht="12.75">
      <c r="W154" s="59"/>
    </row>
    <row r="155" spans="23:23" ht="12.75">
      <c r="W155" s="59"/>
    </row>
    <row r="156" spans="23:23" ht="12.75">
      <c r="W156" s="59"/>
    </row>
    <row r="157" spans="23:23" ht="12.75">
      <c r="W157" s="59"/>
    </row>
    <row r="158" spans="23:23" ht="12.75">
      <c r="W158" s="59"/>
    </row>
    <row r="159" spans="23:23" ht="12.75">
      <c r="W159" s="59"/>
    </row>
    <row r="160" spans="23:23" ht="12.75">
      <c r="W160" s="59"/>
    </row>
    <row r="161" spans="23:23" ht="12.75">
      <c r="W161" s="59"/>
    </row>
    <row r="162" spans="23:23" ht="12.75">
      <c r="W162" s="59"/>
    </row>
    <row r="163" spans="23:23" ht="12.75">
      <c r="W163" s="59"/>
    </row>
    <row r="164" spans="23:23" ht="12.75">
      <c r="W164" s="59"/>
    </row>
    <row r="165" spans="23:23" ht="12.75">
      <c r="W165" s="59"/>
    </row>
    <row r="166" spans="23:23" ht="12.75">
      <c r="W166" s="59"/>
    </row>
    <row r="167" spans="23:23" ht="12.75">
      <c r="W167" s="59"/>
    </row>
    <row r="168" spans="23:23" ht="12.75">
      <c r="W168" s="59"/>
    </row>
    <row r="169" spans="23:23" ht="12.75">
      <c r="W169" s="59"/>
    </row>
    <row r="170" spans="23:23" ht="12.75">
      <c r="W170" s="59"/>
    </row>
    <row r="171" spans="23:23" ht="12.75">
      <c r="W171" s="59"/>
    </row>
    <row r="172" spans="23:23" ht="12.75">
      <c r="W172" s="59"/>
    </row>
    <row r="173" spans="23:23" ht="12.75">
      <c r="W173" s="59"/>
    </row>
    <row r="174" spans="23:23" ht="12.75">
      <c r="W174" s="59"/>
    </row>
    <row r="175" spans="23:23" ht="12.75">
      <c r="W175" s="59"/>
    </row>
    <row r="176" spans="23:23" ht="12.75">
      <c r="W176" s="59"/>
    </row>
    <row r="177" spans="23:23" ht="12.75">
      <c r="W177" s="59"/>
    </row>
    <row r="178" spans="23:23" ht="12.75">
      <c r="W178" s="59"/>
    </row>
    <row r="179" spans="23:23" ht="12.75">
      <c r="W179" s="59"/>
    </row>
    <row r="180" spans="23:23" ht="12.75">
      <c r="W180" s="59"/>
    </row>
    <row r="181" spans="23:23" ht="12.75">
      <c r="W181" s="59"/>
    </row>
    <row r="182" spans="23:23" ht="12.75">
      <c r="W182" s="59"/>
    </row>
    <row r="183" spans="23:23" ht="12.75">
      <c r="W183" s="59"/>
    </row>
    <row r="184" spans="23:23" ht="12.75">
      <c r="W184" s="59"/>
    </row>
    <row r="185" spans="23:23" ht="12.75">
      <c r="W185" s="59"/>
    </row>
    <row r="186" spans="23:23" ht="12.75">
      <c r="W186" s="59"/>
    </row>
    <row r="187" spans="23:23" ht="12.75">
      <c r="W187" s="59"/>
    </row>
    <row r="188" spans="23:23" ht="12.75">
      <c r="W188" s="59"/>
    </row>
    <row r="189" spans="23:23" ht="12.75">
      <c r="W189" s="59"/>
    </row>
    <row r="190" spans="23:23" ht="12.75">
      <c r="W190" s="59"/>
    </row>
    <row r="191" spans="23:23" ht="12.75">
      <c r="W191" s="59"/>
    </row>
    <row r="192" spans="23:23" ht="12.75">
      <c r="W192" s="59"/>
    </row>
    <row r="193" spans="23:23" ht="12.75">
      <c r="W193" s="59"/>
    </row>
    <row r="194" spans="23:23" ht="12.75">
      <c r="W194" s="59"/>
    </row>
    <row r="195" spans="23:23" ht="12.75">
      <c r="W195" s="59"/>
    </row>
    <row r="196" spans="23:23" ht="12.75">
      <c r="W196" s="59"/>
    </row>
    <row r="197" spans="23:23" ht="12.75">
      <c r="W197" s="59"/>
    </row>
    <row r="198" spans="23:23" ht="12.75">
      <c r="W198" s="59"/>
    </row>
    <row r="199" spans="23:23" ht="12.75">
      <c r="W199" s="59"/>
    </row>
    <row r="200" spans="23:23" ht="12.75">
      <c r="W200" s="59"/>
    </row>
    <row r="201" spans="23:23" ht="12.75">
      <c r="W201" s="59"/>
    </row>
    <row r="202" spans="23:23" ht="12.75">
      <c r="W202" s="59"/>
    </row>
    <row r="203" spans="23:23" ht="12.75">
      <c r="W203" s="59"/>
    </row>
    <row r="204" spans="23:23" ht="12.75">
      <c r="W204" s="59"/>
    </row>
    <row r="205" spans="23:23" ht="12.75">
      <c r="W205" s="59"/>
    </row>
    <row r="206" spans="23:23" ht="12.75">
      <c r="W206" s="59"/>
    </row>
    <row r="207" spans="23:23" ht="12.75">
      <c r="W207" s="59"/>
    </row>
    <row r="208" spans="23:23" ht="12.75">
      <c r="W208" s="59"/>
    </row>
    <row r="209" spans="23:23" ht="12.75">
      <c r="W209" s="59"/>
    </row>
    <row r="210" spans="23:23" ht="12.75">
      <c r="W210" s="59"/>
    </row>
    <row r="211" spans="23:23" ht="12.75">
      <c r="W211" s="59"/>
    </row>
    <row r="212" spans="23:23" ht="12.75">
      <c r="W212" s="59"/>
    </row>
    <row r="213" spans="23:23" ht="12.75">
      <c r="W213" s="59"/>
    </row>
    <row r="214" spans="23:23" ht="12.75">
      <c r="W214" s="59"/>
    </row>
    <row r="215" spans="23:23" ht="12.75">
      <c r="W215" s="59"/>
    </row>
    <row r="216" spans="23:23" ht="12.75">
      <c r="W216" s="59"/>
    </row>
    <row r="217" spans="23:23" ht="12.75">
      <c r="W217" s="59"/>
    </row>
    <row r="218" spans="23:23" ht="12.75">
      <c r="W218" s="59"/>
    </row>
    <row r="219" spans="23:23" ht="12.75">
      <c r="W219" s="59"/>
    </row>
    <row r="220" spans="23:23" ht="12.75">
      <c r="W220" s="59"/>
    </row>
    <row r="221" spans="23:23" ht="12.75">
      <c r="W221" s="59"/>
    </row>
    <row r="222" spans="23:23" ht="12.75">
      <c r="W222" s="59"/>
    </row>
    <row r="223" spans="23:23" ht="12.75">
      <c r="W223" s="59"/>
    </row>
    <row r="224" spans="23:23" ht="12.75">
      <c r="W224" s="59"/>
    </row>
    <row r="225" spans="23:23" ht="12.75">
      <c r="W225" s="59"/>
    </row>
    <row r="226" spans="23:23" ht="12.75">
      <c r="W226" s="59"/>
    </row>
    <row r="227" spans="23:23" ht="12.75">
      <c r="W227" s="59"/>
    </row>
    <row r="228" spans="23:23" ht="12.75">
      <c r="W228" s="59"/>
    </row>
    <row r="229" spans="23:23" ht="12.75">
      <c r="W229" s="59"/>
    </row>
    <row r="230" spans="23:23" ht="12.75">
      <c r="W230" s="59"/>
    </row>
    <row r="231" spans="23:23" ht="12.75">
      <c r="W231" s="59"/>
    </row>
    <row r="232" spans="23:23" ht="12.75">
      <c r="W232" s="59"/>
    </row>
    <row r="233" spans="23:23" ht="12.75">
      <c r="W233" s="59"/>
    </row>
    <row r="234" spans="23:23" ht="12.75">
      <c r="W234" s="59"/>
    </row>
    <row r="235" spans="23:23" ht="12.75">
      <c r="W235" s="59"/>
    </row>
    <row r="236" spans="23:23" ht="12.75">
      <c r="W236" s="59"/>
    </row>
    <row r="237" spans="23:23" ht="12.75">
      <c r="W237" s="59"/>
    </row>
    <row r="238" spans="23:23" ht="12.75">
      <c r="W238" s="59"/>
    </row>
    <row r="239" spans="23:23" ht="12.75">
      <c r="W239" s="59"/>
    </row>
    <row r="240" spans="23:23" ht="12.75">
      <c r="W240" s="59"/>
    </row>
    <row r="241" spans="23:23" ht="12.75">
      <c r="W241" s="59"/>
    </row>
    <row r="242" spans="23:23" ht="12.75">
      <c r="W242" s="59"/>
    </row>
    <row r="243" spans="23:23" ht="12.75">
      <c r="W243" s="59"/>
    </row>
    <row r="244" spans="23:23" ht="12.75">
      <c r="W244" s="59"/>
    </row>
    <row r="245" spans="23:23" ht="12.75">
      <c r="W245" s="59"/>
    </row>
    <row r="246" spans="23:23" ht="12.75">
      <c r="W246" s="59"/>
    </row>
    <row r="247" spans="23:23" ht="12.75">
      <c r="W247" s="59"/>
    </row>
    <row r="248" spans="23:23" ht="12.75">
      <c r="W248" s="59"/>
    </row>
    <row r="249" spans="23:23" ht="12.75">
      <c r="W249" s="59"/>
    </row>
    <row r="250" spans="23:23" ht="12.75">
      <c r="W250" s="59"/>
    </row>
    <row r="251" spans="23:23" ht="12.75">
      <c r="W251" s="59"/>
    </row>
    <row r="252" spans="23:23" ht="12.75">
      <c r="W252" s="59"/>
    </row>
    <row r="253" spans="23:23" ht="12.75">
      <c r="W253" s="59"/>
    </row>
    <row r="254" spans="23:23" ht="12.75">
      <c r="W254" s="59"/>
    </row>
    <row r="255" spans="23:23" ht="12.75">
      <c r="W255" s="59"/>
    </row>
    <row r="256" spans="23:23" ht="12.75">
      <c r="W256" s="59"/>
    </row>
    <row r="257" spans="23:23" ht="12.75">
      <c r="W257" s="59"/>
    </row>
    <row r="258" spans="23:23" ht="12.75">
      <c r="W258" s="59"/>
    </row>
    <row r="259" spans="23:23" ht="12.75">
      <c r="W259" s="59"/>
    </row>
    <row r="260" spans="23:23" ht="12.75">
      <c r="W260" s="59"/>
    </row>
    <row r="261" spans="23:23" ht="12.75">
      <c r="W261" s="59"/>
    </row>
    <row r="262" spans="23:23" ht="12.75">
      <c r="W262" s="59"/>
    </row>
    <row r="263" spans="23:23" ht="12.75">
      <c r="W263" s="59"/>
    </row>
    <row r="264" spans="23:23" ht="12.75">
      <c r="W264" s="59"/>
    </row>
    <row r="265" spans="23:23" ht="12.75">
      <c r="W265" s="59"/>
    </row>
    <row r="266" spans="23:23" ht="12.75">
      <c r="W266" s="59"/>
    </row>
    <row r="267" spans="23:23" ht="12.75">
      <c r="W267" s="59"/>
    </row>
    <row r="268" spans="23:23" ht="12.75">
      <c r="W268" s="59"/>
    </row>
    <row r="269" spans="23:23" ht="12.75">
      <c r="W269" s="59"/>
    </row>
    <row r="270" spans="23:23" ht="12.75">
      <c r="W270" s="59"/>
    </row>
    <row r="271" spans="23:23" ht="12.75">
      <c r="W271" s="59"/>
    </row>
    <row r="272" spans="23:23" ht="12.75">
      <c r="W272" s="59"/>
    </row>
    <row r="273" spans="23:23" ht="12.75">
      <c r="W273" s="59"/>
    </row>
    <row r="274" spans="23:23" ht="12.75">
      <c r="W274" s="59"/>
    </row>
    <row r="275" spans="23:23" ht="12.75">
      <c r="W275" s="59"/>
    </row>
    <row r="276" spans="23:23" ht="12.75">
      <c r="W276" s="59"/>
    </row>
    <row r="277" spans="23:23" ht="12.75">
      <c r="W277" s="59"/>
    </row>
    <row r="278" spans="23:23" ht="12.75">
      <c r="W278" s="59"/>
    </row>
    <row r="279" spans="23:23" ht="12.75">
      <c r="W279" s="59"/>
    </row>
    <row r="280" spans="23:23" ht="12.75">
      <c r="W280" s="59"/>
    </row>
    <row r="281" spans="23:23" ht="12.75">
      <c r="W281" s="59"/>
    </row>
    <row r="282" spans="23:23" ht="12.75">
      <c r="W282" s="59"/>
    </row>
    <row r="283" spans="23:23" ht="12.75">
      <c r="W283" s="59"/>
    </row>
    <row r="284" spans="23:23" ht="12.75">
      <c r="W284" s="59"/>
    </row>
    <row r="285" spans="23:23" ht="12.75">
      <c r="W285" s="59"/>
    </row>
    <row r="286" spans="23:23" ht="12.75">
      <c r="W286" s="59"/>
    </row>
    <row r="287" spans="23:23" ht="12.75">
      <c r="W287" s="59"/>
    </row>
    <row r="288" spans="23:23" ht="12.75">
      <c r="W288" s="59"/>
    </row>
    <row r="289" spans="23:23" ht="12.75">
      <c r="W289" s="59"/>
    </row>
    <row r="290" spans="23:23" ht="12.75">
      <c r="W290" s="59"/>
    </row>
    <row r="291" spans="23:23" ht="12.75">
      <c r="W291" s="59"/>
    </row>
    <row r="292" spans="23:23" ht="12.75">
      <c r="W292" s="59"/>
    </row>
    <row r="293" spans="23:23" ht="12.75">
      <c r="W293" s="59"/>
    </row>
    <row r="294" spans="23:23" ht="12.75">
      <c r="W294" s="59"/>
    </row>
    <row r="295" spans="23:23" ht="12.75">
      <c r="W295" s="59"/>
    </row>
    <row r="296" spans="23:23" ht="12.75">
      <c r="W296" s="59"/>
    </row>
    <row r="297" spans="23:23" ht="12.75">
      <c r="W297" s="59"/>
    </row>
    <row r="298" spans="23:23" ht="12.75">
      <c r="W298" s="59"/>
    </row>
    <row r="299" spans="23:23" ht="12.75">
      <c r="W299" s="59"/>
    </row>
    <row r="300" spans="23:23" ht="12.75">
      <c r="W300" s="59"/>
    </row>
    <row r="301" spans="23:23" ht="12.75">
      <c r="W301" s="59"/>
    </row>
    <row r="302" spans="23:23" ht="12.75">
      <c r="W302" s="59"/>
    </row>
    <row r="303" spans="23:23" ht="12.75">
      <c r="W303" s="59"/>
    </row>
    <row r="304" spans="23:23" ht="12.75">
      <c r="W304" s="59"/>
    </row>
    <row r="305" spans="23:23" ht="12.75">
      <c r="W305" s="59"/>
    </row>
    <row r="306" spans="23:23" ht="12.75">
      <c r="W306" s="59"/>
    </row>
    <row r="307" spans="23:23" ht="12.75">
      <c r="W307" s="59"/>
    </row>
    <row r="308" spans="23:23" ht="12.75">
      <c r="W308" s="59"/>
    </row>
    <row r="309" spans="23:23" ht="12.75">
      <c r="W309" s="59"/>
    </row>
    <row r="310" spans="23:23" ht="12.75">
      <c r="W310" s="59"/>
    </row>
    <row r="311" spans="23:23" ht="12.75">
      <c r="W311" s="59"/>
    </row>
    <row r="312" spans="23:23" ht="12.75">
      <c r="W312" s="59"/>
    </row>
    <row r="313" spans="23:23" ht="12.75">
      <c r="W313" s="59"/>
    </row>
    <row r="314" spans="23:23" ht="12.75">
      <c r="W314" s="59"/>
    </row>
    <row r="315" spans="23:23" ht="12.75">
      <c r="W315" s="59"/>
    </row>
    <row r="316" spans="23:23" ht="12.75">
      <c r="W316" s="59"/>
    </row>
    <row r="317" spans="23:23" ht="12.75">
      <c r="W317" s="59"/>
    </row>
    <row r="318" spans="23:23" ht="12.75">
      <c r="W318" s="59"/>
    </row>
    <row r="319" spans="23:23" ht="12.75">
      <c r="W319" s="59"/>
    </row>
    <row r="320" spans="23:23" ht="12.75">
      <c r="W320" s="59"/>
    </row>
    <row r="321" spans="23:23" ht="12.75">
      <c r="W321" s="59"/>
    </row>
    <row r="322" spans="23:23" ht="12.75">
      <c r="W322" s="59"/>
    </row>
    <row r="323" spans="23:23" ht="12.75">
      <c r="W323" s="59"/>
    </row>
    <row r="324" spans="23:23" ht="12.75">
      <c r="W324" s="59"/>
    </row>
    <row r="325" spans="23:23" ht="12.75">
      <c r="W325" s="59"/>
    </row>
    <row r="326" spans="23:23" ht="12.75">
      <c r="W326" s="59"/>
    </row>
    <row r="327" spans="23:23" ht="12.75">
      <c r="W327" s="59"/>
    </row>
    <row r="328" spans="23:23" ht="12.75">
      <c r="W328" s="59"/>
    </row>
    <row r="329" spans="23:23" ht="12.75">
      <c r="W329" s="59"/>
    </row>
    <row r="330" spans="23:23" ht="12.75">
      <c r="W330" s="59"/>
    </row>
    <row r="331" spans="23:23" ht="12.75">
      <c r="W331" s="59"/>
    </row>
    <row r="332" spans="23:23" ht="12.75">
      <c r="W332" s="59"/>
    </row>
    <row r="333" spans="23:23" ht="12.75">
      <c r="W333" s="59"/>
    </row>
    <row r="334" spans="23:23" ht="12.75">
      <c r="W334" s="59"/>
    </row>
    <row r="335" spans="23:23" ht="12.75">
      <c r="W335" s="59"/>
    </row>
    <row r="336" spans="23:23" ht="12.75">
      <c r="W336" s="59"/>
    </row>
    <row r="337" spans="23:23" ht="12.75">
      <c r="W337" s="59"/>
    </row>
    <row r="338" spans="23:23" ht="12.75">
      <c r="W338" s="59"/>
    </row>
    <row r="339" spans="23:23" ht="12.75">
      <c r="W339" s="59"/>
    </row>
    <row r="340" spans="23:23" ht="12.75">
      <c r="W340" s="59"/>
    </row>
    <row r="341" spans="23:23" ht="12.75">
      <c r="W341" s="59"/>
    </row>
    <row r="342" spans="23:23" ht="12.75">
      <c r="W342" s="59"/>
    </row>
    <row r="343" spans="23:23" ht="12.75">
      <c r="W343" s="59"/>
    </row>
    <row r="344" spans="23:23" ht="12.75">
      <c r="W344" s="59"/>
    </row>
    <row r="345" spans="23:23" ht="12.75">
      <c r="W345" s="59"/>
    </row>
    <row r="346" spans="23:23" ht="12.75">
      <c r="W346" s="59"/>
    </row>
    <row r="347" spans="23:23" ht="12.75">
      <c r="W347" s="59"/>
    </row>
    <row r="348" spans="23:23" ht="12.75">
      <c r="W348" s="59"/>
    </row>
    <row r="349" spans="23:23" ht="12.75">
      <c r="W349" s="59"/>
    </row>
    <row r="350" spans="23:23" ht="12.75">
      <c r="W350" s="59"/>
    </row>
    <row r="351" spans="23:23" ht="12.75">
      <c r="W351" s="59"/>
    </row>
    <row r="352" spans="23:23" ht="12.75">
      <c r="W352" s="59"/>
    </row>
    <row r="353" spans="23:23" ht="12.75">
      <c r="W353" s="59"/>
    </row>
    <row r="354" spans="23:23" ht="12.75">
      <c r="W354" s="59"/>
    </row>
    <row r="355" spans="23:23" ht="12.75">
      <c r="W355" s="59"/>
    </row>
    <row r="356" spans="23:23" ht="12.75">
      <c r="W356" s="59"/>
    </row>
    <row r="357" spans="23:23" ht="12.75">
      <c r="W357" s="59"/>
    </row>
    <row r="358" spans="23:23" ht="12.75">
      <c r="W358" s="59"/>
    </row>
    <row r="359" spans="23:23" ht="12.75">
      <c r="W359" s="59"/>
    </row>
    <row r="360" spans="23:23" ht="12.75">
      <c r="W360" s="59"/>
    </row>
    <row r="361" spans="23:23" ht="12.75">
      <c r="W361" s="59"/>
    </row>
    <row r="362" spans="23:23" ht="12.75">
      <c r="W362" s="59"/>
    </row>
    <row r="363" spans="23:23" ht="12.75">
      <c r="W363" s="59"/>
    </row>
    <row r="364" spans="23:23" ht="12.75">
      <c r="W364" s="59"/>
    </row>
    <row r="365" spans="23:23" ht="12.75">
      <c r="W365" s="59"/>
    </row>
    <row r="366" spans="23:23" ht="12.75">
      <c r="W366" s="59"/>
    </row>
    <row r="367" spans="23:23" ht="12.75">
      <c r="W367" s="59"/>
    </row>
    <row r="368" spans="23:23" ht="12.75">
      <c r="W368" s="59"/>
    </row>
    <row r="369" spans="23:23" ht="12.75">
      <c r="W369" s="59"/>
    </row>
    <row r="370" spans="23:23" ht="12.75">
      <c r="W370" s="59"/>
    </row>
    <row r="371" spans="23:23" ht="12.75">
      <c r="W371" s="59"/>
    </row>
    <row r="372" spans="23:23" ht="12.75">
      <c r="W372" s="59"/>
    </row>
    <row r="373" spans="23:23" ht="12.75">
      <c r="W373" s="59"/>
    </row>
    <row r="374" spans="23:23" ht="12.75">
      <c r="W374" s="59"/>
    </row>
    <row r="375" spans="23:23" ht="12.75">
      <c r="W375" s="59"/>
    </row>
    <row r="376" spans="23:23" ht="12.75">
      <c r="W376" s="59"/>
    </row>
    <row r="377" spans="23:23" ht="12.75">
      <c r="W377" s="59"/>
    </row>
    <row r="378" spans="23:23" ht="12.75">
      <c r="W378" s="59"/>
    </row>
    <row r="379" spans="23:23" ht="12.75">
      <c r="W379" s="59"/>
    </row>
    <row r="380" spans="23:23" ht="12.75">
      <c r="W380" s="59"/>
    </row>
    <row r="381" spans="23:23" ht="12.75">
      <c r="W381" s="59"/>
    </row>
    <row r="382" spans="23:23" ht="12.75">
      <c r="W382" s="59"/>
    </row>
    <row r="383" spans="23:23" ht="12.75">
      <c r="W383" s="59"/>
    </row>
    <row r="384" spans="23:23" ht="12.75">
      <c r="W384" s="59"/>
    </row>
    <row r="385" spans="23:23" ht="12.75">
      <c r="W385" s="59"/>
    </row>
    <row r="386" spans="23:23" ht="12.75">
      <c r="W386" s="59"/>
    </row>
    <row r="387" spans="23:23" ht="12.75">
      <c r="W387" s="59"/>
    </row>
    <row r="388" spans="23:23" ht="12.75">
      <c r="W388" s="59"/>
    </row>
    <row r="389" spans="23:23" ht="12.75">
      <c r="W389" s="59"/>
    </row>
    <row r="390" spans="23:23" ht="12.75">
      <c r="W390" s="59"/>
    </row>
    <row r="391" spans="23:23" ht="12.75">
      <c r="W391" s="59"/>
    </row>
    <row r="392" spans="23:23" ht="12.75">
      <c r="W392" s="59"/>
    </row>
    <row r="393" spans="23:23" ht="12.75">
      <c r="W393" s="59"/>
    </row>
    <row r="394" spans="23:23" ht="12.75">
      <c r="W394" s="59"/>
    </row>
    <row r="395" spans="23:23" ht="12.75">
      <c r="W395" s="59"/>
    </row>
    <row r="396" spans="23:23" ht="12.75">
      <c r="W396" s="59"/>
    </row>
    <row r="397" spans="23:23" ht="12.75">
      <c r="W397" s="59"/>
    </row>
    <row r="398" spans="23:23" ht="12.75">
      <c r="W398" s="59"/>
    </row>
    <row r="399" spans="23:23" ht="12.75">
      <c r="W399" s="59"/>
    </row>
    <row r="400" spans="23:23" ht="12.75">
      <c r="W400" s="59"/>
    </row>
    <row r="401" spans="23:23" ht="12.75">
      <c r="W401" s="59"/>
    </row>
    <row r="402" spans="23:23" ht="12.75">
      <c r="W402" s="59"/>
    </row>
    <row r="403" spans="23:23" ht="12.75">
      <c r="W403" s="59"/>
    </row>
    <row r="404" spans="23:23" ht="12.75">
      <c r="W404" s="59"/>
    </row>
    <row r="405" spans="23:23" ht="12.75">
      <c r="W405" s="59"/>
    </row>
    <row r="406" spans="23:23" ht="12.75">
      <c r="W406" s="59"/>
    </row>
    <row r="407" spans="23:23" ht="12.75">
      <c r="W407" s="59"/>
    </row>
    <row r="408" spans="23:23" ht="12.75">
      <c r="W408" s="59"/>
    </row>
    <row r="409" spans="23:23" ht="12.75">
      <c r="W409" s="59"/>
    </row>
    <row r="410" spans="23:23" ht="12.75">
      <c r="W410" s="59"/>
    </row>
    <row r="411" spans="23:23" ht="12.75">
      <c r="W411" s="59"/>
    </row>
    <row r="412" spans="23:23" ht="12.75">
      <c r="W412" s="59"/>
    </row>
    <row r="413" spans="23:23" ht="12.75">
      <c r="W413" s="59"/>
    </row>
    <row r="414" spans="23:23" ht="12.75">
      <c r="W414" s="59"/>
    </row>
    <row r="415" spans="23:23" ht="12.75">
      <c r="W415" s="59"/>
    </row>
    <row r="416" spans="23:23" ht="12.75">
      <c r="W416" s="59"/>
    </row>
    <row r="417" spans="23:23" ht="12.75">
      <c r="W417" s="59"/>
    </row>
    <row r="418" spans="23:23" ht="12.75">
      <c r="W418" s="59"/>
    </row>
    <row r="419" spans="23:23" ht="12.75">
      <c r="W419" s="59"/>
    </row>
    <row r="420" spans="23:23" ht="12.75">
      <c r="W420" s="59"/>
    </row>
    <row r="421" spans="23:23" ht="12.75">
      <c r="W421" s="59"/>
    </row>
    <row r="422" spans="23:23" ht="12.75">
      <c r="W422" s="59"/>
    </row>
    <row r="423" spans="23:23" ht="12.75">
      <c r="W423" s="59"/>
    </row>
    <row r="424" spans="23:23" ht="12.75">
      <c r="W424" s="59"/>
    </row>
    <row r="425" spans="23:23" ht="12.75">
      <c r="W425" s="59"/>
    </row>
    <row r="426" spans="23:23" ht="12.75">
      <c r="W426" s="59"/>
    </row>
    <row r="427" spans="23:23" ht="12.75">
      <c r="W427" s="59"/>
    </row>
    <row r="428" spans="23:23" ht="12.75">
      <c r="W428" s="59"/>
    </row>
    <row r="429" spans="23:23" ht="12.75">
      <c r="W429" s="59"/>
    </row>
    <row r="430" spans="23:23" ht="12.75">
      <c r="W430" s="59"/>
    </row>
    <row r="431" spans="23:23" ht="12.75">
      <c r="W431" s="59"/>
    </row>
    <row r="432" spans="23:23" ht="12.75">
      <c r="W432" s="59"/>
    </row>
    <row r="433" spans="23:23" ht="12.75">
      <c r="W433" s="59"/>
    </row>
    <row r="434" spans="23:23" ht="12.75">
      <c r="W434" s="59"/>
    </row>
    <row r="435" spans="23:23" ht="12.75">
      <c r="W435" s="59"/>
    </row>
    <row r="436" spans="23:23" ht="12.75">
      <c r="W436" s="59"/>
    </row>
    <row r="437" spans="23:23" ht="12.75">
      <c r="W437" s="59"/>
    </row>
    <row r="438" spans="23:23" ht="12.75">
      <c r="W438" s="59"/>
    </row>
    <row r="439" spans="23:23" ht="12.75">
      <c r="W439" s="59"/>
    </row>
    <row r="440" spans="23:23" ht="12.75">
      <c r="W440" s="59"/>
    </row>
    <row r="441" spans="23:23" ht="12.75">
      <c r="W441" s="59"/>
    </row>
    <row r="442" spans="23:23" ht="12.75">
      <c r="W442" s="59"/>
    </row>
    <row r="443" spans="23:23" ht="12.75">
      <c r="W443" s="59"/>
    </row>
    <row r="444" spans="23:23" ht="12.75">
      <c r="W444" s="59"/>
    </row>
    <row r="445" spans="23:23" ht="12.75">
      <c r="W445" s="59"/>
    </row>
    <row r="446" spans="23:23" ht="12.75">
      <c r="W446" s="59"/>
    </row>
    <row r="447" spans="23:23" ht="12.75">
      <c r="W447" s="59"/>
    </row>
    <row r="448" spans="23:23" ht="12.75">
      <c r="W448" s="59"/>
    </row>
    <row r="449" spans="23:23" ht="12.75">
      <c r="W449" s="59"/>
    </row>
    <row r="450" spans="23:23" ht="12.75">
      <c r="W450" s="59"/>
    </row>
    <row r="451" spans="23:23" ht="12.75">
      <c r="W451" s="59"/>
    </row>
    <row r="452" spans="23:23" ht="12.75">
      <c r="W452" s="59"/>
    </row>
    <row r="453" spans="23:23" ht="12.75">
      <c r="W453" s="59"/>
    </row>
    <row r="454" spans="23:23" ht="12.75">
      <c r="W454" s="59"/>
    </row>
    <row r="455" spans="23:23" ht="12.75">
      <c r="W455" s="59"/>
    </row>
    <row r="456" spans="23:23" ht="12.75">
      <c r="W456" s="59"/>
    </row>
    <row r="457" spans="23:23" ht="12.75">
      <c r="W457" s="59"/>
    </row>
    <row r="458" spans="23:23" ht="12.75">
      <c r="W458" s="59"/>
    </row>
    <row r="459" spans="23:23" ht="12.75">
      <c r="W459" s="59"/>
    </row>
    <row r="460" spans="23:23" ht="12.75">
      <c r="W460" s="59"/>
    </row>
    <row r="461" spans="23:23" ht="12.75">
      <c r="W461" s="59"/>
    </row>
    <row r="462" spans="23:23" ht="12.75">
      <c r="W462" s="59"/>
    </row>
    <row r="463" spans="23:23" ht="12.75">
      <c r="W463" s="59"/>
    </row>
    <row r="464" spans="23:23" ht="12.75">
      <c r="W464" s="59"/>
    </row>
    <row r="465" spans="23:23" ht="12.75">
      <c r="W465" s="59"/>
    </row>
    <row r="466" spans="23:23" ht="12.75">
      <c r="W466" s="59"/>
    </row>
    <row r="467" spans="23:23" ht="12.75">
      <c r="W467" s="59"/>
    </row>
    <row r="468" spans="23:23" ht="12.75">
      <c r="W468" s="59"/>
    </row>
    <row r="469" spans="23:23" ht="12.75">
      <c r="W469" s="59"/>
    </row>
    <row r="470" spans="23:23" ht="12.75">
      <c r="W470" s="59"/>
    </row>
    <row r="471" spans="23:23" ht="12.75">
      <c r="W471" s="59"/>
    </row>
    <row r="472" spans="23:23" ht="12.75">
      <c r="W472" s="59"/>
    </row>
    <row r="473" spans="23:23" ht="12.75">
      <c r="W473" s="59"/>
    </row>
    <row r="474" spans="23:23" ht="12.75">
      <c r="W474" s="59"/>
    </row>
    <row r="475" spans="23:23" ht="12.75">
      <c r="W475" s="59"/>
    </row>
    <row r="476" spans="23:23" ht="12.75">
      <c r="W476" s="59"/>
    </row>
    <row r="477" spans="23:23" ht="12.75">
      <c r="W477" s="59"/>
    </row>
    <row r="478" spans="23:23" ht="12.75">
      <c r="W478" s="59"/>
    </row>
    <row r="479" spans="23:23" ht="12.75">
      <c r="W479" s="59"/>
    </row>
    <row r="480" spans="23:23" ht="12.75">
      <c r="W480" s="59"/>
    </row>
    <row r="481" spans="23:23" ht="12.75">
      <c r="W481" s="59"/>
    </row>
    <row r="482" spans="23:23" ht="12.75">
      <c r="W482" s="59"/>
    </row>
    <row r="483" spans="23:23" ht="12.75">
      <c r="W483" s="59"/>
    </row>
    <row r="484" spans="23:23" ht="12.75">
      <c r="W484" s="59"/>
    </row>
    <row r="485" spans="23:23" ht="12.75">
      <c r="W485" s="59"/>
    </row>
    <row r="486" spans="23:23" ht="12.75">
      <c r="W486" s="59"/>
    </row>
    <row r="487" spans="23:23" ht="12.75">
      <c r="W487" s="59"/>
    </row>
    <row r="488" spans="23:23" ht="12.75">
      <c r="W488" s="59"/>
    </row>
    <row r="489" spans="23:23" ht="12.75">
      <c r="W489" s="59"/>
    </row>
    <row r="490" spans="23:23" ht="12.75">
      <c r="W490" s="59"/>
    </row>
    <row r="491" spans="23:23" ht="12.75">
      <c r="W491" s="59"/>
    </row>
    <row r="492" spans="23:23" ht="12.75">
      <c r="W492" s="59"/>
    </row>
    <row r="493" spans="23:23" ht="12.75">
      <c r="W493" s="59"/>
    </row>
    <row r="494" spans="23:23" ht="12.75">
      <c r="W494" s="59"/>
    </row>
    <row r="495" spans="23:23" ht="12.75">
      <c r="W495" s="59"/>
    </row>
    <row r="496" spans="23:23" ht="12.75">
      <c r="W496" s="59"/>
    </row>
    <row r="497" spans="23:23" ht="12.75">
      <c r="W497" s="59"/>
    </row>
    <row r="498" spans="23:23" ht="12.75">
      <c r="W498" s="59"/>
    </row>
    <row r="499" spans="23:23" ht="12.75">
      <c r="W499" s="59"/>
    </row>
    <row r="500" spans="23:23" ht="12.75">
      <c r="W500" s="59"/>
    </row>
    <row r="501" spans="23:23" ht="12.75">
      <c r="W501" s="59"/>
    </row>
    <row r="502" spans="23:23" ht="12.75">
      <c r="W502" s="59"/>
    </row>
    <row r="503" spans="23:23" ht="12.75">
      <c r="W503" s="59"/>
    </row>
    <row r="504" spans="23:23" ht="12.75">
      <c r="W504" s="59"/>
    </row>
    <row r="505" spans="23:23" ht="12.75">
      <c r="W505" s="59"/>
    </row>
    <row r="506" spans="23:23" ht="12.75">
      <c r="W506" s="59"/>
    </row>
    <row r="507" spans="23:23" ht="12.75">
      <c r="W507" s="59"/>
    </row>
    <row r="508" spans="23:23" ht="12.75">
      <c r="W508" s="59"/>
    </row>
    <row r="509" spans="23:23" ht="12.75">
      <c r="W509" s="59"/>
    </row>
    <row r="510" spans="23:23" ht="12.75">
      <c r="W510" s="59"/>
    </row>
    <row r="511" spans="23:23" ht="12.75">
      <c r="W511" s="59"/>
    </row>
    <row r="512" spans="23:23" ht="12.75">
      <c r="W512" s="59"/>
    </row>
    <row r="513" spans="23:23" ht="12.75">
      <c r="W513" s="59"/>
    </row>
    <row r="514" spans="23:23" ht="12.75">
      <c r="W514" s="59"/>
    </row>
    <row r="515" spans="23:23" ht="12.75">
      <c r="W515" s="59"/>
    </row>
    <row r="516" spans="23:23" ht="12.75">
      <c r="W516" s="59"/>
    </row>
    <row r="517" spans="23:23" ht="12.75">
      <c r="W517" s="59"/>
    </row>
    <row r="518" spans="23:23" ht="12.75">
      <c r="W518" s="59"/>
    </row>
    <row r="519" spans="23:23" ht="12.75">
      <c r="W519" s="59"/>
    </row>
    <row r="520" spans="23:23" ht="12.75">
      <c r="W520" s="59"/>
    </row>
    <row r="521" spans="23:23" ht="12.75">
      <c r="W521" s="59"/>
    </row>
    <row r="522" spans="23:23" ht="12.75">
      <c r="W522" s="59"/>
    </row>
    <row r="523" spans="23:23" ht="12.75">
      <c r="W523" s="59"/>
    </row>
    <row r="524" spans="23:23" ht="12.75">
      <c r="W524" s="59"/>
    </row>
    <row r="525" spans="23:23" ht="12.75">
      <c r="W525" s="59"/>
    </row>
    <row r="526" spans="23:23" ht="12.75">
      <c r="W526" s="59"/>
    </row>
    <row r="527" spans="23:23" ht="12.75">
      <c r="W527" s="59"/>
    </row>
    <row r="528" spans="23:23" ht="12.75">
      <c r="W528" s="59"/>
    </row>
    <row r="529" spans="23:23" ht="12.75">
      <c r="W529" s="59"/>
    </row>
    <row r="530" spans="23:23" ht="12.75">
      <c r="W530" s="59"/>
    </row>
    <row r="531" spans="23:23" ht="12.75">
      <c r="W531" s="59"/>
    </row>
    <row r="532" spans="23:23" ht="12.75">
      <c r="W532" s="59"/>
    </row>
    <row r="533" spans="23:23" ht="12.75">
      <c r="W533" s="59"/>
    </row>
    <row r="534" spans="23:23" ht="12.75">
      <c r="W534" s="59"/>
    </row>
    <row r="535" spans="23:23" ht="12.75">
      <c r="W535" s="59"/>
    </row>
    <row r="536" spans="23:23" ht="12.75">
      <c r="W536" s="59"/>
    </row>
    <row r="537" spans="23:23" ht="12.75">
      <c r="W537" s="59"/>
    </row>
    <row r="538" spans="23:23" ht="12.75">
      <c r="W538" s="59"/>
    </row>
    <row r="539" spans="23:23" ht="12.75">
      <c r="W539" s="59"/>
    </row>
    <row r="540" spans="23:23" ht="12.75">
      <c r="W540" s="59"/>
    </row>
    <row r="541" spans="23:23" ht="12.75">
      <c r="W541" s="59"/>
    </row>
    <row r="542" spans="23:23" ht="12.75">
      <c r="W542" s="59"/>
    </row>
    <row r="543" spans="23:23" ht="12.75">
      <c r="W543" s="59"/>
    </row>
    <row r="544" spans="23:23" ht="12.75">
      <c r="W544" s="59"/>
    </row>
    <row r="545" spans="23:23" ht="12.75">
      <c r="W545" s="59"/>
    </row>
    <row r="546" spans="23:23" ht="12.75">
      <c r="W546" s="59"/>
    </row>
    <row r="547" spans="23:23" ht="12.75">
      <c r="W547" s="59"/>
    </row>
    <row r="548" spans="23:23" ht="12.75">
      <c r="W548" s="59"/>
    </row>
    <row r="549" spans="23:23" ht="12.75">
      <c r="W549" s="59"/>
    </row>
    <row r="550" spans="23:23" ht="12.75">
      <c r="W550" s="59"/>
    </row>
    <row r="551" spans="23:23" ht="12.75">
      <c r="W551" s="59"/>
    </row>
    <row r="552" spans="23:23" ht="12.75">
      <c r="W552" s="59"/>
    </row>
    <row r="553" spans="23:23" ht="12.75">
      <c r="W553" s="59"/>
    </row>
    <row r="554" spans="23:23" ht="12.75">
      <c r="W554" s="59"/>
    </row>
    <row r="555" spans="23:23" ht="12.75">
      <c r="W555" s="59"/>
    </row>
    <row r="556" spans="23:23" ht="12.75">
      <c r="W556" s="59"/>
    </row>
    <row r="557" spans="23:23" ht="12.75">
      <c r="W557" s="59"/>
    </row>
    <row r="558" spans="23:23" ht="12.75">
      <c r="W558" s="59"/>
    </row>
    <row r="559" spans="23:23" ht="12.75">
      <c r="W559" s="59"/>
    </row>
    <row r="560" spans="23:23" ht="12.75">
      <c r="W560" s="59"/>
    </row>
    <row r="561" spans="23:23" ht="12.75">
      <c r="W561" s="59"/>
    </row>
    <row r="562" spans="23:23" ht="12.75">
      <c r="W562" s="59"/>
    </row>
    <row r="563" spans="23:23" ht="12.75">
      <c r="W563" s="59"/>
    </row>
    <row r="564" spans="23:23" ht="12.75">
      <c r="W564" s="59"/>
    </row>
    <row r="565" spans="23:23" ht="12.75">
      <c r="W565" s="59"/>
    </row>
    <row r="566" spans="23:23" ht="12.75">
      <c r="W566" s="59"/>
    </row>
    <row r="567" spans="23:23" ht="12.75">
      <c r="W567" s="59"/>
    </row>
    <row r="568" spans="23:23" ht="12.75">
      <c r="W568" s="59"/>
    </row>
    <row r="569" spans="23:23" ht="12.75">
      <c r="W569" s="59"/>
    </row>
    <row r="570" spans="23:23" ht="12.75">
      <c r="W570" s="59"/>
    </row>
    <row r="571" spans="23:23" ht="12.75">
      <c r="W571" s="59"/>
    </row>
    <row r="572" spans="23:23" ht="12.75">
      <c r="W572" s="59"/>
    </row>
    <row r="573" spans="23:23" ht="12.75">
      <c r="W573" s="59"/>
    </row>
    <row r="574" spans="23:23" ht="12.75">
      <c r="W574" s="59"/>
    </row>
    <row r="575" spans="23:23" ht="12.75">
      <c r="W575" s="59"/>
    </row>
    <row r="576" spans="23:23" ht="12.75">
      <c r="W576" s="59"/>
    </row>
    <row r="577" spans="23:23" ht="12.75">
      <c r="W577" s="59"/>
    </row>
    <row r="578" spans="23:23" ht="12.75">
      <c r="W578" s="59"/>
    </row>
    <row r="579" spans="23:23" ht="12.75">
      <c r="W579" s="59"/>
    </row>
    <row r="580" spans="23:23" ht="12.75">
      <c r="W580" s="59"/>
    </row>
    <row r="581" spans="23:23" ht="12.75">
      <c r="W581" s="59"/>
    </row>
    <row r="582" spans="23:23" ht="12.75">
      <c r="W582" s="59"/>
    </row>
    <row r="583" spans="23:23" ht="12.75">
      <c r="W583" s="59"/>
    </row>
    <row r="584" spans="23:23" ht="12.75">
      <c r="W584" s="59"/>
    </row>
    <row r="585" spans="23:23" ht="12.75">
      <c r="W585" s="59"/>
    </row>
    <row r="586" spans="23:23" ht="12.75">
      <c r="W586" s="59"/>
    </row>
    <row r="587" spans="23:23" ht="12.75">
      <c r="W587" s="59"/>
    </row>
    <row r="588" spans="23:23" ht="12.75">
      <c r="W588" s="59"/>
    </row>
    <row r="589" spans="23:23" ht="12.75">
      <c r="W589" s="59"/>
    </row>
    <row r="590" spans="23:23" ht="12.75">
      <c r="W590" s="59"/>
    </row>
    <row r="591" spans="23:23" ht="12.75">
      <c r="W591" s="59"/>
    </row>
    <row r="592" spans="23:23" ht="12.75">
      <c r="W592" s="59"/>
    </row>
    <row r="593" spans="23:23" ht="12.75">
      <c r="W593" s="59"/>
    </row>
    <row r="594" spans="23:23" ht="12.75">
      <c r="W594" s="59"/>
    </row>
    <row r="595" spans="23:23" ht="12.75">
      <c r="W595" s="59"/>
    </row>
    <row r="596" spans="23:23" ht="12.75">
      <c r="W596" s="59"/>
    </row>
    <row r="597" spans="23:23" ht="12.75">
      <c r="W597" s="59"/>
    </row>
    <row r="598" spans="23:23" ht="12.75">
      <c r="W598" s="59"/>
    </row>
    <row r="599" spans="23:23" ht="12.75">
      <c r="W599" s="59"/>
    </row>
    <row r="600" spans="23:23" ht="12.75">
      <c r="W600" s="59"/>
    </row>
    <row r="601" spans="23:23" ht="12.75">
      <c r="W601" s="59"/>
    </row>
    <row r="602" spans="23:23" ht="12.75">
      <c r="W602" s="59"/>
    </row>
    <row r="603" spans="23:23" ht="12.75">
      <c r="W603" s="59"/>
    </row>
    <row r="604" spans="23:23" ht="12.75">
      <c r="W604" s="59"/>
    </row>
    <row r="605" spans="23:23" ht="12.75">
      <c r="W605" s="59"/>
    </row>
    <row r="606" spans="23:23" ht="12.75">
      <c r="W606" s="59"/>
    </row>
    <row r="607" spans="23:23" ht="12.75">
      <c r="W607" s="59"/>
    </row>
    <row r="608" spans="23:23" ht="12.75">
      <c r="W608" s="59"/>
    </row>
    <row r="609" spans="23:23" ht="12.75">
      <c r="W609" s="59"/>
    </row>
    <row r="610" spans="23:23" ht="12.75">
      <c r="W610" s="59"/>
    </row>
    <row r="611" spans="23:23" ht="12.75">
      <c r="W611" s="59"/>
    </row>
    <row r="612" spans="23:23" ht="12.75">
      <c r="W612" s="59"/>
    </row>
    <row r="613" spans="23:23" ht="12.75">
      <c r="W613" s="59"/>
    </row>
    <row r="614" spans="23:23" ht="12.75">
      <c r="W614" s="59"/>
    </row>
    <row r="615" spans="23:23" ht="12.75">
      <c r="W615" s="59"/>
    </row>
    <row r="616" spans="23:23" ht="12.75">
      <c r="W616" s="59"/>
    </row>
    <row r="617" spans="23:23" ht="12.75">
      <c r="W617" s="59"/>
    </row>
    <row r="618" spans="23:23" ht="12.75">
      <c r="W618" s="59"/>
    </row>
    <row r="619" spans="23:23" ht="12.75">
      <c r="W619" s="59"/>
    </row>
    <row r="620" spans="23:23" ht="12.75">
      <c r="W620" s="59"/>
    </row>
    <row r="621" spans="23:23" ht="12.75">
      <c r="W621" s="59"/>
    </row>
    <row r="622" spans="23:23" ht="12.75">
      <c r="W622" s="59"/>
    </row>
    <row r="623" spans="23:23" ht="12.75">
      <c r="W623" s="59"/>
    </row>
    <row r="624" spans="23:23" ht="12.75">
      <c r="W624" s="59"/>
    </row>
    <row r="625" spans="23:23" ht="12.75">
      <c r="W625" s="59"/>
    </row>
    <row r="626" spans="23:23" ht="12.75">
      <c r="W626" s="59"/>
    </row>
    <row r="627" spans="23:23" ht="12.75">
      <c r="W627" s="59"/>
    </row>
    <row r="628" spans="23:23" ht="12.75">
      <c r="W628" s="59"/>
    </row>
    <row r="629" spans="23:23" ht="12.75">
      <c r="W629" s="59"/>
    </row>
    <row r="630" spans="23:23" ht="12.75">
      <c r="W630" s="59"/>
    </row>
    <row r="631" spans="23:23" ht="12.75">
      <c r="W631" s="59"/>
    </row>
    <row r="632" spans="23:23" ht="12.75">
      <c r="W632" s="59"/>
    </row>
    <row r="633" spans="23:23" ht="12.75">
      <c r="W633" s="59"/>
    </row>
    <row r="634" spans="23:23" ht="12.75">
      <c r="W634" s="59"/>
    </row>
    <row r="635" spans="23:23" ht="12.75">
      <c r="W635" s="59"/>
    </row>
    <row r="636" spans="23:23" ht="12.75">
      <c r="W636" s="59"/>
    </row>
    <row r="637" spans="23:23" ht="12.75">
      <c r="W637" s="59"/>
    </row>
    <row r="638" spans="23:23" ht="12.75">
      <c r="W638" s="59"/>
    </row>
    <row r="639" spans="23:23" ht="12.75">
      <c r="W639" s="59"/>
    </row>
    <row r="640" spans="23:23" ht="12.75">
      <c r="W640" s="59"/>
    </row>
    <row r="641" spans="23:23" ht="12.75">
      <c r="W641" s="59"/>
    </row>
    <row r="642" spans="23:23" ht="12.75">
      <c r="W642" s="59"/>
    </row>
    <row r="643" spans="23:23" ht="12.75">
      <c r="W643" s="59"/>
    </row>
    <row r="644" spans="23:23" ht="12.75">
      <c r="W644" s="59"/>
    </row>
    <row r="645" spans="23:23" ht="12.75">
      <c r="W645" s="59"/>
    </row>
    <row r="646" spans="23:23" ht="12.75">
      <c r="W646" s="59"/>
    </row>
    <row r="647" spans="23:23" ht="12.75">
      <c r="W647" s="59"/>
    </row>
    <row r="648" spans="23:23" ht="12.75">
      <c r="W648" s="59"/>
    </row>
    <row r="649" spans="23:23" ht="12.75">
      <c r="W649" s="59"/>
    </row>
    <row r="650" spans="23:23" ht="12.75">
      <c r="W650" s="59"/>
    </row>
    <row r="651" spans="23:23" ht="12.75">
      <c r="W651" s="59"/>
    </row>
    <row r="652" spans="23:23" ht="12.75">
      <c r="W652" s="59"/>
    </row>
    <row r="653" spans="23:23" ht="12.75">
      <c r="W653" s="59"/>
    </row>
    <row r="654" spans="23:23" ht="12.75">
      <c r="W654" s="59"/>
    </row>
    <row r="655" spans="23:23" ht="12.75">
      <c r="W655" s="59"/>
    </row>
    <row r="656" spans="23:23" ht="12.75">
      <c r="W656" s="59"/>
    </row>
    <row r="657" spans="23:23" ht="12.75">
      <c r="W657" s="59"/>
    </row>
    <row r="658" spans="23:23" ht="12.75">
      <c r="W658" s="59"/>
    </row>
    <row r="659" spans="23:23" ht="12.75">
      <c r="W659" s="59"/>
    </row>
    <row r="660" spans="23:23" ht="12.75">
      <c r="W660" s="59"/>
    </row>
    <row r="661" spans="23:23" ht="12.75">
      <c r="W661" s="59"/>
    </row>
    <row r="662" spans="23:23" ht="12.75">
      <c r="W662" s="59"/>
    </row>
    <row r="663" spans="23:23" ht="12.75">
      <c r="W663" s="59"/>
    </row>
    <row r="664" spans="23:23" ht="12.75">
      <c r="W664" s="59"/>
    </row>
    <row r="665" spans="23:23" ht="12.75">
      <c r="W665" s="59"/>
    </row>
    <row r="666" spans="23:23" ht="12.75">
      <c r="W666" s="59"/>
    </row>
    <row r="667" spans="23:23" ht="12.75">
      <c r="W667" s="59"/>
    </row>
    <row r="668" spans="23:23" ht="12.75">
      <c r="W668" s="59"/>
    </row>
    <row r="669" spans="23:23" ht="12.75">
      <c r="W669" s="59"/>
    </row>
    <row r="670" spans="23:23" ht="12.75">
      <c r="W670" s="59"/>
    </row>
    <row r="671" spans="23:23" ht="12.75">
      <c r="W671" s="59"/>
    </row>
    <row r="672" spans="23:23" ht="12.75">
      <c r="W672" s="59"/>
    </row>
    <row r="673" spans="23:23" ht="12.75">
      <c r="W673" s="59"/>
    </row>
    <row r="674" spans="23:23" ht="12.75">
      <c r="W674" s="59"/>
    </row>
    <row r="675" spans="23:23" ht="12.75">
      <c r="W675" s="59"/>
    </row>
    <row r="676" spans="23:23" ht="12.75">
      <c r="W676" s="59"/>
    </row>
    <row r="677" spans="23:23" ht="12.75">
      <c r="W677" s="59"/>
    </row>
    <row r="678" spans="23:23" ht="12.75">
      <c r="W678" s="59"/>
    </row>
    <row r="679" spans="23:23" ht="12.75">
      <c r="W679" s="59"/>
    </row>
    <row r="680" spans="23:23" ht="12.75">
      <c r="W680" s="59"/>
    </row>
    <row r="681" spans="23:23" ht="12.75">
      <c r="W681" s="59"/>
    </row>
    <row r="682" spans="23:23" ht="12.75">
      <c r="W682" s="59"/>
    </row>
    <row r="683" spans="23:23" ht="12.75">
      <c r="W683" s="59"/>
    </row>
    <row r="684" spans="23:23" ht="12.75">
      <c r="W684" s="59"/>
    </row>
    <row r="685" spans="23:23" ht="12.75">
      <c r="W685" s="59"/>
    </row>
    <row r="686" spans="23:23" ht="12.75">
      <c r="W686" s="59"/>
    </row>
    <row r="687" spans="23:23" ht="12.75">
      <c r="W687" s="59"/>
    </row>
    <row r="688" spans="23:23" ht="12.75">
      <c r="W688" s="59"/>
    </row>
    <row r="689" spans="23:23" ht="12.75">
      <c r="W689" s="59"/>
    </row>
    <row r="690" spans="23:23" ht="12.75">
      <c r="W690" s="59"/>
    </row>
    <row r="691" spans="23:23" ht="12.75">
      <c r="W691" s="59"/>
    </row>
    <row r="692" spans="23:23" ht="12.75">
      <c r="W692" s="59"/>
    </row>
    <row r="693" spans="23:23" ht="12.75">
      <c r="W693" s="59"/>
    </row>
    <row r="694" spans="23:23" ht="12.75">
      <c r="W694" s="59"/>
    </row>
    <row r="695" spans="23:23" ht="12.75">
      <c r="W695" s="59"/>
    </row>
    <row r="696" spans="23:23" ht="12.75">
      <c r="W696" s="59"/>
    </row>
    <row r="697" spans="23:23" ht="12.75">
      <c r="W697" s="59"/>
    </row>
    <row r="698" spans="23:23" ht="12.75">
      <c r="W698" s="59"/>
    </row>
    <row r="699" spans="23:23" ht="12.75">
      <c r="W699" s="59"/>
    </row>
    <row r="700" spans="23:23" ht="12.75">
      <c r="W700" s="59"/>
    </row>
    <row r="701" spans="23:23" ht="12.75">
      <c r="W701" s="59"/>
    </row>
    <row r="702" spans="23:23" ht="12.75">
      <c r="W702" s="59"/>
    </row>
    <row r="703" spans="23:23" ht="12.75">
      <c r="W703" s="59"/>
    </row>
    <row r="704" spans="23:23" ht="12.75">
      <c r="W704" s="59"/>
    </row>
    <row r="705" spans="23:23" ht="12.75">
      <c r="W705" s="59"/>
    </row>
    <row r="706" spans="23:23" ht="12.75">
      <c r="W706" s="59"/>
    </row>
    <row r="707" spans="23:23" ht="12.75">
      <c r="W707" s="59"/>
    </row>
    <row r="708" spans="23:23" ht="12.75">
      <c r="W708" s="59"/>
    </row>
    <row r="709" spans="23:23" ht="12.75">
      <c r="W709" s="59"/>
    </row>
    <row r="710" spans="23:23" ht="12.75">
      <c r="W710" s="59"/>
    </row>
    <row r="711" spans="23:23" ht="12.75">
      <c r="W711" s="59"/>
    </row>
    <row r="712" spans="23:23" ht="12.75">
      <c r="W712" s="59"/>
    </row>
    <row r="713" spans="23:23" ht="12.75">
      <c r="W713" s="59"/>
    </row>
    <row r="714" spans="23:23" ht="12.75">
      <c r="W714" s="59"/>
    </row>
    <row r="715" spans="23:23" ht="12.75">
      <c r="W715" s="59"/>
    </row>
    <row r="716" spans="23:23" ht="12.75">
      <c r="W716" s="59"/>
    </row>
    <row r="717" spans="23:23" ht="12.75">
      <c r="W717" s="59"/>
    </row>
    <row r="718" spans="23:23" ht="12.75">
      <c r="W718" s="59"/>
    </row>
    <row r="719" spans="23:23" ht="12.75">
      <c r="W719" s="59"/>
    </row>
    <row r="720" spans="23:23" ht="12.75">
      <c r="W720" s="59"/>
    </row>
    <row r="721" spans="23:23" ht="12.75">
      <c r="W721" s="59"/>
    </row>
    <row r="722" spans="23:23" ht="12.75">
      <c r="W722" s="59"/>
    </row>
    <row r="723" spans="23:23" ht="12.75">
      <c r="W723" s="59"/>
    </row>
    <row r="724" spans="23:23" ht="12.75">
      <c r="W724" s="59"/>
    </row>
    <row r="725" spans="23:23" ht="12.75">
      <c r="W725" s="59"/>
    </row>
    <row r="726" spans="23:23" ht="12.75">
      <c r="W726" s="59"/>
    </row>
    <row r="727" spans="23:23" ht="12.75">
      <c r="W727" s="59"/>
    </row>
    <row r="728" spans="23:23" ht="12.75">
      <c r="W728" s="59"/>
    </row>
    <row r="729" spans="23:23" ht="12.75">
      <c r="W729" s="59"/>
    </row>
    <row r="730" spans="23:23" ht="12.75">
      <c r="W730" s="59"/>
    </row>
    <row r="731" spans="23:23" ht="12.75">
      <c r="W731" s="59"/>
    </row>
    <row r="732" spans="23:23" ht="12.75">
      <c r="W732" s="59"/>
    </row>
    <row r="733" spans="23:23" ht="12.75">
      <c r="W733" s="59"/>
    </row>
    <row r="734" spans="23:23" ht="12.75">
      <c r="W734" s="59"/>
    </row>
    <row r="735" spans="23:23" ht="12.75">
      <c r="W735" s="59"/>
    </row>
    <row r="736" spans="23:23" ht="12.75">
      <c r="W736" s="59"/>
    </row>
    <row r="737" spans="23:23" ht="12.75">
      <c r="W737" s="59"/>
    </row>
    <row r="738" spans="23:23" ht="12.75">
      <c r="W738" s="59"/>
    </row>
    <row r="739" spans="23:23" ht="12.75">
      <c r="W739" s="59"/>
    </row>
    <row r="740" spans="23:23" ht="12.75">
      <c r="W740" s="59"/>
    </row>
    <row r="741" spans="23:23" ht="12.75">
      <c r="W741" s="59"/>
    </row>
    <row r="742" spans="23:23" ht="12.75">
      <c r="W742" s="59"/>
    </row>
    <row r="743" spans="23:23" ht="12.75">
      <c r="W743" s="59"/>
    </row>
    <row r="744" spans="23:23" ht="12.75">
      <c r="W744" s="59"/>
    </row>
    <row r="745" spans="23:23" ht="12.75">
      <c r="W745" s="59"/>
    </row>
    <row r="746" spans="23:23" ht="12.75">
      <c r="W746" s="59"/>
    </row>
    <row r="747" spans="23:23" ht="12.75">
      <c r="W747" s="59"/>
    </row>
    <row r="748" spans="23:23" ht="12.75">
      <c r="W748" s="59"/>
    </row>
    <row r="749" spans="23:23" ht="12.75">
      <c r="W749" s="59"/>
    </row>
    <row r="750" spans="23:23" ht="12.75">
      <c r="W750" s="59"/>
    </row>
    <row r="751" spans="23:23" ht="12.75">
      <c r="W751" s="59"/>
    </row>
    <row r="752" spans="23:23" ht="12.75">
      <c r="W752" s="59"/>
    </row>
    <row r="753" spans="23:23" ht="12.75">
      <c r="W753" s="59"/>
    </row>
    <row r="754" spans="23:23" ht="12.75">
      <c r="W754" s="59"/>
    </row>
    <row r="755" spans="23:23" ht="12.75">
      <c r="W755" s="59"/>
    </row>
    <row r="756" spans="23:23" ht="12.75">
      <c r="W756" s="59"/>
    </row>
    <row r="757" spans="23:23" ht="12.75">
      <c r="W757" s="59"/>
    </row>
    <row r="758" spans="23:23" ht="12.75">
      <c r="W758" s="59"/>
    </row>
    <row r="759" spans="23:23" ht="12.75">
      <c r="W759" s="59"/>
    </row>
    <row r="760" spans="23:23" ht="12.75">
      <c r="W760" s="59"/>
    </row>
    <row r="761" spans="23:23" ht="12.75">
      <c r="W761" s="59"/>
    </row>
    <row r="762" spans="23:23" ht="12.75">
      <c r="W762" s="59"/>
    </row>
    <row r="763" spans="23:23" ht="12.75">
      <c r="W763" s="59"/>
    </row>
    <row r="764" spans="23:23" ht="12.75">
      <c r="W764" s="59"/>
    </row>
    <row r="765" spans="23:23" ht="12.75">
      <c r="W765" s="59"/>
    </row>
    <row r="766" spans="23:23" ht="12.75">
      <c r="W766" s="59"/>
    </row>
    <row r="767" spans="23:23" ht="12.75">
      <c r="W767" s="59"/>
    </row>
    <row r="768" spans="23:23" ht="12.75">
      <c r="W768" s="59"/>
    </row>
    <row r="769" spans="23:23" ht="12.75">
      <c r="W769" s="59"/>
    </row>
    <row r="770" spans="23:23" ht="12.75">
      <c r="W770" s="59"/>
    </row>
    <row r="771" spans="23:23" ht="12.75">
      <c r="W771" s="59"/>
    </row>
    <row r="772" spans="23:23" ht="12.75">
      <c r="W772" s="59"/>
    </row>
    <row r="773" spans="23:23" ht="12.75">
      <c r="W773" s="59"/>
    </row>
    <row r="774" spans="23:23" ht="12.75">
      <c r="W774" s="59"/>
    </row>
    <row r="775" spans="23:23" ht="12.75">
      <c r="W775" s="59"/>
    </row>
    <row r="776" spans="23:23" ht="12.75">
      <c r="W776" s="59"/>
    </row>
    <row r="777" spans="23:23" ht="12.75">
      <c r="W777" s="59"/>
    </row>
    <row r="778" spans="23:23" ht="12.75">
      <c r="W778" s="59"/>
    </row>
    <row r="779" spans="23:23" ht="12.75">
      <c r="W779" s="59"/>
    </row>
    <row r="780" spans="23:23" ht="12.75">
      <c r="W780" s="59"/>
    </row>
    <row r="781" spans="23:23" ht="12.75">
      <c r="W781" s="59"/>
    </row>
    <row r="782" spans="23:23" ht="12.75">
      <c r="W782" s="59"/>
    </row>
    <row r="783" spans="23:23" ht="12.75">
      <c r="W783" s="59"/>
    </row>
    <row r="784" spans="23:23" ht="12.75">
      <c r="W784" s="59"/>
    </row>
    <row r="785" spans="23:23" ht="12.75">
      <c r="W785" s="59"/>
    </row>
    <row r="786" spans="23:23" ht="12.75">
      <c r="W786" s="59"/>
    </row>
    <row r="787" spans="23:23" ht="12.75">
      <c r="W787" s="59"/>
    </row>
    <row r="788" spans="23:23" ht="12.75">
      <c r="W788" s="59"/>
    </row>
    <row r="789" spans="23:23" ht="12.75">
      <c r="W789" s="59"/>
    </row>
    <row r="790" spans="23:23" ht="12.75">
      <c r="W790" s="59"/>
    </row>
    <row r="791" spans="23:23" ht="12.75">
      <c r="W791" s="59"/>
    </row>
    <row r="792" spans="23:23" ht="12.75">
      <c r="W792" s="59"/>
    </row>
    <row r="793" spans="23:23" ht="12.75">
      <c r="W793" s="59"/>
    </row>
    <row r="794" spans="23:23" ht="12.75">
      <c r="W794" s="59"/>
    </row>
    <row r="795" spans="23:23" ht="12.75">
      <c r="W795" s="59"/>
    </row>
    <row r="796" spans="23:23" ht="12.75">
      <c r="W796" s="59"/>
    </row>
    <row r="797" spans="23:23" ht="12.75">
      <c r="W797" s="59"/>
    </row>
    <row r="798" spans="23:23" ht="12.75">
      <c r="W798" s="59"/>
    </row>
    <row r="799" spans="23:23" ht="12.75">
      <c r="W799" s="59"/>
    </row>
    <row r="800" spans="23:23" ht="12.75">
      <c r="W800" s="59"/>
    </row>
    <row r="801" spans="23:23" ht="12.75">
      <c r="W801" s="59"/>
    </row>
    <row r="802" spans="23:23" ht="12.75">
      <c r="W802" s="59"/>
    </row>
    <row r="803" spans="23:23" ht="12.75">
      <c r="W803" s="59"/>
    </row>
    <row r="804" spans="23:23" ht="12.75">
      <c r="W804" s="59"/>
    </row>
    <row r="805" spans="23:23" ht="12.75">
      <c r="W805" s="59"/>
    </row>
    <row r="806" spans="23:23" ht="12.75">
      <c r="W806" s="59"/>
    </row>
    <row r="807" spans="23:23" ht="12.75">
      <c r="W807" s="59"/>
    </row>
    <row r="808" spans="23:23" ht="12.75">
      <c r="W808" s="59"/>
    </row>
    <row r="809" spans="23:23" ht="12.75">
      <c r="W809" s="59"/>
    </row>
    <row r="810" spans="23:23" ht="12.75">
      <c r="W810" s="59"/>
    </row>
    <row r="811" spans="23:23" ht="12.75">
      <c r="W811" s="59"/>
    </row>
    <row r="812" spans="23:23" ht="12.75">
      <c r="W812" s="59"/>
    </row>
    <row r="813" spans="23:23" ht="12.75">
      <c r="W813" s="59"/>
    </row>
    <row r="814" spans="23:23" ht="12.75">
      <c r="W814" s="59"/>
    </row>
    <row r="815" spans="23:23" ht="12.75">
      <c r="W815" s="59"/>
    </row>
    <row r="816" spans="23:23" ht="12.75">
      <c r="W816" s="59"/>
    </row>
    <row r="817" spans="23:23" ht="12.75">
      <c r="W817" s="59"/>
    </row>
    <row r="818" spans="23:23" ht="12.75">
      <c r="W818" s="59"/>
    </row>
    <row r="819" spans="23:23" ht="12.75">
      <c r="W819" s="59"/>
    </row>
    <row r="820" spans="23:23" ht="12.75">
      <c r="W820" s="59"/>
    </row>
    <row r="821" spans="23:23" ht="12.75">
      <c r="W821" s="59"/>
    </row>
    <row r="822" spans="23:23" ht="12.75">
      <c r="W822" s="59"/>
    </row>
    <row r="823" spans="23:23" ht="12.75">
      <c r="W823" s="59"/>
    </row>
    <row r="824" spans="23:23" ht="12.75">
      <c r="W824" s="59"/>
    </row>
    <row r="825" spans="23:23" ht="12.75">
      <c r="W825" s="59"/>
    </row>
    <row r="826" spans="23:23" ht="12.75">
      <c r="W826" s="59"/>
    </row>
    <row r="827" spans="23:23" ht="12.75">
      <c r="W827" s="59"/>
    </row>
    <row r="828" spans="23:23" ht="12.75">
      <c r="W828" s="59"/>
    </row>
    <row r="829" spans="23:23" ht="12.75">
      <c r="W829" s="59"/>
    </row>
    <row r="830" spans="23:23" ht="12.75">
      <c r="W830" s="59"/>
    </row>
    <row r="831" spans="23:23" ht="12.75">
      <c r="W831" s="59"/>
    </row>
    <row r="832" spans="23:23" ht="12.75">
      <c r="W832" s="59"/>
    </row>
    <row r="833" spans="23:23" ht="12.75">
      <c r="W833" s="59"/>
    </row>
    <row r="834" spans="23:23" ht="12.75">
      <c r="W834" s="59"/>
    </row>
    <row r="835" spans="23:23" ht="12.75">
      <c r="W835" s="59"/>
    </row>
    <row r="836" spans="23:23" ht="12.75">
      <c r="W836" s="59"/>
    </row>
    <row r="837" spans="23:23" ht="12.75">
      <c r="W837" s="59"/>
    </row>
    <row r="838" spans="23:23" ht="12.75">
      <c r="W838" s="59"/>
    </row>
    <row r="839" spans="23:23" ht="12.75">
      <c r="W839" s="59"/>
    </row>
    <row r="840" spans="23:23" ht="12.75">
      <c r="W840" s="59"/>
    </row>
    <row r="841" spans="23:23" ht="12.75">
      <c r="W841" s="59"/>
    </row>
    <row r="842" spans="23:23" ht="12.75">
      <c r="W842" s="59"/>
    </row>
    <row r="843" spans="23:23" ht="12.75">
      <c r="W843" s="59"/>
    </row>
    <row r="844" spans="23:23" ht="12.75">
      <c r="W844" s="59"/>
    </row>
    <row r="845" spans="23:23" ht="12.75">
      <c r="W845" s="59"/>
    </row>
    <row r="846" spans="23:23" ht="12.75">
      <c r="W846" s="59"/>
    </row>
    <row r="847" spans="23:23" ht="12.75">
      <c r="W847" s="59"/>
    </row>
    <row r="848" spans="23:23" ht="12.75">
      <c r="W848" s="59"/>
    </row>
    <row r="849" spans="23:23" ht="12.75">
      <c r="W849" s="59"/>
    </row>
    <row r="850" spans="23:23" ht="12.75">
      <c r="W850" s="59"/>
    </row>
    <row r="851" spans="23:23" ht="12.75">
      <c r="W851" s="59"/>
    </row>
    <row r="852" spans="23:23" ht="12.75">
      <c r="W852" s="59"/>
    </row>
    <row r="853" spans="23:23" ht="12.75">
      <c r="W853" s="59"/>
    </row>
    <row r="854" spans="23:23" ht="12.75">
      <c r="W854" s="59"/>
    </row>
    <row r="855" spans="23:23" ht="12.75">
      <c r="W855" s="59"/>
    </row>
    <row r="856" spans="23:23" ht="12.75">
      <c r="W856" s="59"/>
    </row>
    <row r="857" spans="23:23" ht="12.75">
      <c r="W857" s="59"/>
    </row>
    <row r="858" spans="23:23" ht="12.75">
      <c r="W858" s="59"/>
    </row>
    <row r="859" spans="23:23" ht="12.75">
      <c r="W859" s="59"/>
    </row>
    <row r="860" spans="23:23" ht="12.75">
      <c r="W860" s="59"/>
    </row>
    <row r="861" spans="23:23" ht="12.75">
      <c r="W861" s="59"/>
    </row>
    <row r="862" spans="23:23" ht="12.75">
      <c r="W862" s="59"/>
    </row>
    <row r="863" spans="23:23" ht="12.75">
      <c r="W863" s="59"/>
    </row>
    <row r="864" spans="23:23" ht="12.75">
      <c r="W864" s="59"/>
    </row>
    <row r="865" spans="23:23" ht="12.75">
      <c r="W865" s="59"/>
    </row>
    <row r="866" spans="23:23" ht="12.75">
      <c r="W866" s="59"/>
    </row>
    <row r="867" spans="23:23" ht="12.75">
      <c r="W867" s="59"/>
    </row>
    <row r="868" spans="23:23" ht="12.75">
      <c r="W868" s="59"/>
    </row>
    <row r="869" spans="23:23" ht="12.75">
      <c r="W869" s="59"/>
    </row>
    <row r="870" spans="23:23" ht="12.75">
      <c r="W870" s="59"/>
    </row>
    <row r="871" spans="23:23" ht="12.75">
      <c r="W871" s="59"/>
    </row>
    <row r="872" spans="23:23" ht="12.75">
      <c r="W872" s="59"/>
    </row>
    <row r="873" spans="23:23" ht="12.75">
      <c r="W873" s="59"/>
    </row>
    <row r="874" spans="23:23" ht="12.75">
      <c r="W874" s="59"/>
    </row>
    <row r="875" spans="23:23" ht="12.75">
      <c r="W875" s="59"/>
    </row>
    <row r="876" spans="23:23" ht="12.75">
      <c r="W876" s="59"/>
    </row>
    <row r="877" spans="23:23" ht="12.75">
      <c r="W877" s="59"/>
    </row>
    <row r="878" spans="23:23" ht="12.75">
      <c r="W878" s="59"/>
    </row>
    <row r="879" spans="23:23" ht="12.75">
      <c r="W879" s="59"/>
    </row>
    <row r="880" spans="23:23" ht="12.75">
      <c r="W880" s="59"/>
    </row>
    <row r="881" spans="23:23" ht="12.75">
      <c r="W881" s="59"/>
    </row>
    <row r="882" spans="23:23" ht="12.75">
      <c r="W882" s="59"/>
    </row>
    <row r="883" spans="23:23" ht="12.75">
      <c r="W883" s="59"/>
    </row>
    <row r="884" spans="23:23" ht="12.75">
      <c r="W884" s="59"/>
    </row>
    <row r="885" spans="23:23" ht="12.75">
      <c r="W885" s="59"/>
    </row>
    <row r="886" spans="23:23" ht="12.75">
      <c r="W886" s="59"/>
    </row>
    <row r="887" spans="23:23" ht="12.75">
      <c r="W887" s="59"/>
    </row>
    <row r="888" spans="23:23" ht="12.75">
      <c r="W888" s="59"/>
    </row>
    <row r="889" spans="23:23" ht="12.75">
      <c r="W889" s="59"/>
    </row>
    <row r="890" spans="23:23" ht="12.75">
      <c r="W890" s="59"/>
    </row>
    <row r="891" spans="23:23" ht="12.75">
      <c r="W891" s="59"/>
    </row>
    <row r="892" spans="23:23" ht="12.75">
      <c r="W892" s="59"/>
    </row>
    <row r="893" spans="23:23" ht="12.75">
      <c r="W893" s="59"/>
    </row>
    <row r="894" spans="23:23" ht="12.75">
      <c r="W894" s="59"/>
    </row>
    <row r="895" spans="23:23" ht="12.75">
      <c r="W895" s="59"/>
    </row>
    <row r="896" spans="23:23" ht="12.75">
      <c r="W896" s="59"/>
    </row>
    <row r="897" spans="23:23" ht="12.75">
      <c r="W897" s="59"/>
    </row>
    <row r="898" spans="23:23" ht="12.75">
      <c r="W898" s="59"/>
    </row>
    <row r="899" spans="23:23" ht="12.75">
      <c r="W899" s="59"/>
    </row>
    <row r="900" spans="23:23" ht="12.75">
      <c r="W900" s="59"/>
    </row>
    <row r="901" spans="23:23" ht="12.75">
      <c r="W901" s="59"/>
    </row>
    <row r="902" spans="23:23" ht="12.75">
      <c r="W902" s="59"/>
    </row>
    <row r="903" spans="23:23" ht="12.75">
      <c r="W903" s="59"/>
    </row>
    <row r="904" spans="23:23" ht="12.75">
      <c r="W904" s="59"/>
    </row>
    <row r="905" spans="23:23" ht="12.75">
      <c r="W905" s="59"/>
    </row>
    <row r="906" spans="23:23" ht="12.75">
      <c r="W906" s="59"/>
    </row>
    <row r="907" spans="23:23" ht="12.75">
      <c r="W907" s="59"/>
    </row>
    <row r="908" spans="23:23" ht="12.75">
      <c r="W908" s="59"/>
    </row>
    <row r="909" spans="23:23" ht="12.75">
      <c r="W909" s="59"/>
    </row>
    <row r="910" spans="23:23" ht="12.75">
      <c r="W910" s="59"/>
    </row>
    <row r="911" spans="23:23" ht="12.75">
      <c r="W911" s="59"/>
    </row>
    <row r="912" spans="23:23" ht="12.75">
      <c r="W912" s="59"/>
    </row>
    <row r="913" spans="23:23" ht="12.75">
      <c r="W913" s="59"/>
    </row>
    <row r="914" spans="23:23" ht="12.75">
      <c r="W914" s="59"/>
    </row>
    <row r="915" spans="23:23" ht="12.75">
      <c r="W915" s="59"/>
    </row>
    <row r="916" spans="23:23" ht="12.75">
      <c r="W916" s="59"/>
    </row>
    <row r="917" spans="23:23" ht="12.75">
      <c r="W917" s="59"/>
    </row>
    <row r="918" spans="23:23" ht="12.75">
      <c r="W918" s="59"/>
    </row>
    <row r="919" spans="23:23" ht="12.75">
      <c r="W919" s="59"/>
    </row>
    <row r="920" spans="23:23" ht="12.75">
      <c r="W920" s="59"/>
    </row>
    <row r="921" spans="23:23" ht="12.75">
      <c r="W921" s="59"/>
    </row>
    <row r="922" spans="23:23" ht="12.75">
      <c r="W922" s="59"/>
    </row>
    <row r="923" spans="23:23" ht="12.75">
      <c r="W923" s="59"/>
    </row>
    <row r="924" spans="23:23" ht="12.75">
      <c r="W924" s="59"/>
    </row>
    <row r="925" spans="23:23" ht="12.75">
      <c r="W925" s="59"/>
    </row>
    <row r="926" spans="23:23" ht="12.75">
      <c r="W926" s="59"/>
    </row>
    <row r="927" spans="23:23" ht="12.75">
      <c r="W927" s="59"/>
    </row>
    <row r="928" spans="23:23" ht="12.75">
      <c r="W928" s="59"/>
    </row>
    <row r="929" spans="23:23" ht="12.75">
      <c r="W929" s="59"/>
    </row>
    <row r="930" spans="23:23" ht="12.75">
      <c r="W930" s="59"/>
    </row>
    <row r="931" spans="23:23" ht="12.75">
      <c r="W931" s="59"/>
    </row>
    <row r="932" spans="23:23" ht="12.75">
      <c r="W932" s="59"/>
    </row>
    <row r="933" spans="23:23" ht="12.75">
      <c r="W933" s="59"/>
    </row>
    <row r="934" spans="23:23" ht="12.75">
      <c r="W934" s="59"/>
    </row>
    <row r="935" spans="23:23" ht="12.75">
      <c r="W935" s="59"/>
    </row>
    <row r="936" spans="23:23" ht="12.75">
      <c r="W936" s="59"/>
    </row>
    <row r="937" spans="23:23" ht="12.75">
      <c r="W937" s="59"/>
    </row>
    <row r="938" spans="23:23" ht="12.75">
      <c r="W938" s="59"/>
    </row>
    <row r="939" spans="23:23" ht="12.75">
      <c r="W939" s="59"/>
    </row>
    <row r="940" spans="23:23" ht="12.75">
      <c r="W940" s="59"/>
    </row>
    <row r="941" spans="23:23" ht="12.75">
      <c r="W941" s="59"/>
    </row>
    <row r="942" spans="23:23" ht="12.75">
      <c r="W942" s="59"/>
    </row>
    <row r="943" spans="23:23" ht="12.75">
      <c r="W943" s="59"/>
    </row>
    <row r="944" spans="23:23" ht="12.75">
      <c r="W944" s="59"/>
    </row>
    <row r="945" spans="23:23" ht="12.75">
      <c r="W945" s="59"/>
    </row>
    <row r="946" spans="23:23" ht="12.75">
      <c r="W946" s="59"/>
    </row>
    <row r="947" spans="23:23" ht="12.75">
      <c r="W947" s="59"/>
    </row>
    <row r="948" spans="23:23" ht="12.75">
      <c r="W948" s="59"/>
    </row>
    <row r="949" spans="23:23" ht="12.75">
      <c r="W949" s="59"/>
    </row>
    <row r="950" spans="23:23" ht="12.75">
      <c r="W950" s="59"/>
    </row>
    <row r="951" spans="23:23" ht="12.75">
      <c r="W951" s="59"/>
    </row>
    <row r="952" spans="23:23" ht="12.75">
      <c r="W952" s="59"/>
    </row>
    <row r="953" spans="23:23" ht="12.75">
      <c r="W953" s="59"/>
    </row>
    <row r="954" spans="23:23" ht="12.75">
      <c r="W954" s="59"/>
    </row>
    <row r="955" spans="23:23" ht="12.75">
      <c r="W955" s="59"/>
    </row>
    <row r="956" spans="23:23" ht="12.75">
      <c r="W956" s="59"/>
    </row>
    <row r="957" spans="23:23" ht="12.75">
      <c r="W957" s="59"/>
    </row>
    <row r="958" spans="23:23" ht="12.75">
      <c r="W958" s="59"/>
    </row>
    <row r="959" spans="23:23" ht="12.75">
      <c r="W959" s="59"/>
    </row>
    <row r="960" spans="23:23" ht="12.75">
      <c r="W960" s="59"/>
    </row>
    <row r="961" spans="23:23" ht="12.75">
      <c r="W961" s="59"/>
    </row>
    <row r="962" spans="23:23" ht="12.75">
      <c r="W962" s="59"/>
    </row>
    <row r="963" spans="23:23" ht="12.75">
      <c r="W963" s="59"/>
    </row>
    <row r="964" spans="23:23" ht="12.75">
      <c r="W964" s="59"/>
    </row>
    <row r="965" spans="23:23" ht="12.75">
      <c r="W965" s="59"/>
    </row>
    <row r="966" spans="23:23" ht="12.75">
      <c r="W966" s="59"/>
    </row>
    <row r="967" spans="23:23" ht="12.75">
      <c r="W967" s="59"/>
    </row>
    <row r="968" spans="23:23" ht="12.75">
      <c r="W968" s="59"/>
    </row>
    <row r="969" spans="23:23" ht="12.75">
      <c r="W969" s="59"/>
    </row>
    <row r="970" spans="23:23" ht="12.75">
      <c r="W970" s="59"/>
    </row>
    <row r="971" spans="23:23" ht="12.75">
      <c r="W971" s="59"/>
    </row>
    <row r="972" spans="23:23" ht="12.75">
      <c r="W972" s="59"/>
    </row>
    <row r="973" spans="23:23" ht="12.75">
      <c r="W973" s="59"/>
    </row>
    <row r="974" spans="23:23" ht="12.75">
      <c r="W974" s="59"/>
    </row>
    <row r="975" spans="23:23" ht="12.75">
      <c r="W975" s="59"/>
    </row>
    <row r="976" spans="23:23" ht="12.75">
      <c r="W976" s="59"/>
    </row>
    <row r="977" spans="23:23" ht="12.75">
      <c r="W977" s="59"/>
    </row>
    <row r="978" spans="23:23" ht="12.75">
      <c r="W978" s="59"/>
    </row>
    <row r="979" spans="23:23" ht="12.75">
      <c r="W979" s="59"/>
    </row>
    <row r="980" spans="23:23" ht="12.75">
      <c r="W980" s="59"/>
    </row>
    <row r="981" spans="23:23" ht="12.75">
      <c r="W981" s="59"/>
    </row>
    <row r="982" spans="23:23" ht="12.75">
      <c r="W982" s="59"/>
    </row>
    <row r="983" spans="23:23" ht="12.75">
      <c r="W983" s="59"/>
    </row>
    <row r="984" spans="23:23" ht="12.75">
      <c r="W984" s="59"/>
    </row>
    <row r="985" spans="23:23" ht="12.75">
      <c r="W985" s="59"/>
    </row>
    <row r="986" spans="23:23" ht="12.75">
      <c r="W986" s="59"/>
    </row>
    <row r="987" spans="23:23" ht="12.75">
      <c r="W987" s="59"/>
    </row>
  </sheetData>
  <mergeCells count="10">
    <mergeCell ref="V5:Y5"/>
    <mergeCell ref="Z5:AD5"/>
    <mergeCell ref="AE5:AK5"/>
    <mergeCell ref="A1:AD2"/>
    <mergeCell ref="A3:AD4"/>
    <mergeCell ref="A5:B5"/>
    <mergeCell ref="D5:F5"/>
    <mergeCell ref="G5:M5"/>
    <mergeCell ref="N5:P5"/>
    <mergeCell ref="Q5:U5"/>
  </mergeCells>
  <phoneticPr fontId="40" type="noConversion"/>
  <conditionalFormatting sqref="A7:A23">
    <cfRule type="notContainsBlanks" dxfId="5" priority="1">
      <formula>LEN(TRIM(A7))&gt;0</formula>
    </cfRule>
  </conditionalFormatting>
  <dataValidations count="1">
    <dataValidation type="list" allowBlank="1" showErrorMessage="1" sqref="A7:A23" xr:uid="{00000000-0002-0000-0500-000000000000}">
      <formula1>$AE$7:$AE$23</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K987"/>
  <sheetViews>
    <sheetView workbookViewId="0"/>
  </sheetViews>
  <sheetFormatPr defaultColWidth="12.5703125" defaultRowHeight="15.75" customHeight="1"/>
  <cols>
    <col min="2" max="2" width="18.7109375" customWidth="1"/>
    <col min="31" max="31" width="33" customWidth="1"/>
  </cols>
  <sheetData>
    <row r="1" spans="1:37" ht="14.25">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3"/>
      <c r="AF1" s="3"/>
      <c r="AG1" s="4"/>
      <c r="AH1" s="4"/>
      <c r="AI1" s="4"/>
      <c r="AJ1" s="4"/>
      <c r="AK1" s="4"/>
    </row>
    <row r="2" spans="1:37" ht="14.25">
      <c r="A2" s="249"/>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3"/>
      <c r="AF2" s="3"/>
      <c r="AG2" s="4"/>
      <c r="AH2" s="4"/>
      <c r="AI2" s="4"/>
      <c r="AJ2" s="4"/>
      <c r="AK2" s="4"/>
    </row>
    <row r="3" spans="1:37" ht="14.25">
      <c r="A3" s="251" t="s">
        <v>1</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2"/>
      <c r="AE3" s="3" t="s">
        <v>2</v>
      </c>
      <c r="AF3" s="3" t="s">
        <v>3</v>
      </c>
      <c r="AG3" s="4"/>
      <c r="AH3" s="4"/>
      <c r="AI3" s="4"/>
      <c r="AJ3" s="4"/>
      <c r="AK3" s="4"/>
    </row>
    <row r="4" spans="1:37" ht="14.2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5"/>
      <c r="AE4" s="3">
        <v>192.41</v>
      </c>
      <c r="AF4" s="3">
        <v>1385</v>
      </c>
      <c r="AG4" s="4"/>
      <c r="AH4" s="4"/>
      <c r="AI4" s="4"/>
      <c r="AJ4" s="4"/>
      <c r="AK4" s="4"/>
    </row>
    <row r="5" spans="1:37" ht="15">
      <c r="A5" s="235" t="s">
        <v>4</v>
      </c>
      <c r="B5" s="236"/>
      <c r="C5" s="12" t="s">
        <v>4</v>
      </c>
      <c r="D5" s="237"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60" t="s">
        <v>7</v>
      </c>
      <c r="B6" s="60" t="s">
        <v>8</v>
      </c>
      <c r="C6" s="61" t="s">
        <v>9</v>
      </c>
      <c r="D6" s="62" t="s">
        <v>10</v>
      </c>
      <c r="E6" s="62" t="s">
        <v>11</v>
      </c>
      <c r="F6" s="62" t="s">
        <v>12</v>
      </c>
      <c r="G6" s="61" t="s">
        <v>13</v>
      </c>
      <c r="H6" s="61" t="s">
        <v>14</v>
      </c>
      <c r="I6" s="61" t="s">
        <v>15</v>
      </c>
      <c r="J6" s="61" t="s">
        <v>16</v>
      </c>
      <c r="K6" s="61" t="s">
        <v>17</v>
      </c>
      <c r="L6" s="61" t="s">
        <v>18</v>
      </c>
      <c r="M6" s="61" t="s">
        <v>19</v>
      </c>
      <c r="N6" s="19" t="s">
        <v>20</v>
      </c>
      <c r="O6" s="64" t="s">
        <v>6</v>
      </c>
      <c r="P6" s="60" t="s">
        <v>21</v>
      </c>
      <c r="Q6" s="61" t="s">
        <v>22</v>
      </c>
      <c r="R6" s="61" t="s">
        <v>23</v>
      </c>
      <c r="S6" s="61" t="s">
        <v>24</v>
      </c>
      <c r="T6" s="61" t="s">
        <v>25</v>
      </c>
      <c r="U6" s="61" t="s">
        <v>26</v>
      </c>
      <c r="V6" s="60" t="s">
        <v>27</v>
      </c>
      <c r="W6" s="65" t="s">
        <v>28</v>
      </c>
      <c r="X6" s="60"/>
      <c r="Y6" s="60" t="s">
        <v>29</v>
      </c>
      <c r="Z6" s="66" t="s">
        <v>30</v>
      </c>
      <c r="AA6" s="66" t="s">
        <v>31</v>
      </c>
      <c r="AB6" s="66" t="s">
        <v>32</v>
      </c>
      <c r="AC6" s="66" t="s">
        <v>33</v>
      </c>
      <c r="AD6" s="67" t="s">
        <v>34</v>
      </c>
      <c r="AE6" s="3" t="s">
        <v>35</v>
      </c>
      <c r="AF6" s="4" t="s">
        <v>36</v>
      </c>
      <c r="AG6" s="3" t="s">
        <v>37</v>
      </c>
      <c r="AH6" s="3"/>
      <c r="AI6" s="3"/>
      <c r="AJ6" s="3"/>
      <c r="AK6" s="3"/>
    </row>
    <row r="7" spans="1:37" ht="37.5" customHeight="1">
      <c r="A7" s="25"/>
      <c r="B7" s="25" t="s">
        <v>111</v>
      </c>
      <c r="C7" s="26" t="s">
        <v>39</v>
      </c>
      <c r="D7" s="27">
        <v>22</v>
      </c>
      <c r="E7" s="27">
        <v>32</v>
      </c>
      <c r="F7" s="27">
        <v>2</v>
      </c>
      <c r="G7" s="72">
        <f t="shared" ref="G7:G9" si="0">PRODUCT(D7*E7*F7)</f>
        <v>1408</v>
      </c>
      <c r="H7" s="70">
        <f t="shared" ref="H7:H9" si="1">G7/1000000</f>
        <v>1.408E-3</v>
      </c>
      <c r="I7" s="29">
        <f t="shared" ref="I7:I9" si="2">1/H7</f>
        <v>710.22727272727275</v>
      </c>
      <c r="J7" s="30">
        <f t="shared" ref="J7:J9" si="3">80/I7</f>
        <v>0.11263999999999999</v>
      </c>
      <c r="K7" s="31">
        <f t="shared" ref="K7:K9" si="4">27000/I7</f>
        <v>38.015999999999998</v>
      </c>
      <c r="L7" s="31">
        <f t="shared" ref="L7:L9" si="5">(J7*$AF$4)+K7</f>
        <v>194.02239999999998</v>
      </c>
      <c r="M7" s="32">
        <f t="shared" ref="M7:M9" si="6">T7/R7</f>
        <v>4.1946369053402717E-2</v>
      </c>
      <c r="N7" s="33">
        <v>319</v>
      </c>
      <c r="O7" s="32">
        <f t="shared" ref="O7:O8" ca="1" si="7">SUMIF($AE$6:$AG$23,$A7,$AG$6:$AG$23)</f>
        <v>0</v>
      </c>
      <c r="P7" s="34">
        <v>25</v>
      </c>
      <c r="Q7" s="34">
        <f t="shared" ref="Q7:Q9" si="8">P7*1.15</f>
        <v>28.749999999999996</v>
      </c>
      <c r="R7" s="35">
        <f t="shared" ref="R7:R9" si="9">Q7*$AE$4</f>
        <v>5531.7874999999995</v>
      </c>
      <c r="S7" s="35">
        <f t="shared" ref="S7:S9" ca="1" si="10">R7*O7</f>
        <v>0</v>
      </c>
      <c r="T7" s="35">
        <f t="shared" ref="T7:T9" si="11">L7+K7</f>
        <v>232.03839999999997</v>
      </c>
      <c r="U7" s="35">
        <f t="shared" ref="U7:U9" ca="1" si="12">R7+S7+T7</f>
        <v>5763.8258999999998</v>
      </c>
      <c r="V7" s="35">
        <v>19900</v>
      </c>
      <c r="W7" s="36">
        <v>8.1299999999999997E-2</v>
      </c>
      <c r="X7" s="71"/>
      <c r="Y7" s="35">
        <f t="shared" ref="Y7:Y9" si="13">2827+N7</f>
        <v>3146</v>
      </c>
      <c r="Z7" s="38">
        <f t="shared" ref="Z7:Z9" si="14">W7+(Y7/V7)</f>
        <v>0.23939045226130651</v>
      </c>
      <c r="AA7" s="39">
        <f t="shared" ref="AA7:AA9" si="15">V7*Z7</f>
        <v>4763.87</v>
      </c>
      <c r="AB7" s="39">
        <f t="shared" ref="AB7:AB9" ca="1" si="16">(V7)/1.1*10%-(R7+AA7+K7+S7+N7+X7)*10%</f>
        <v>743.82355909090916</v>
      </c>
      <c r="AC7" s="39">
        <f t="shared" ref="AC7:AC9" ca="1" si="17">V7-(U7+AA7+AB7+N7)</f>
        <v>8309.4805409090914</v>
      </c>
      <c r="AD7" s="40">
        <f t="shared" ref="AD7:AD9" ca="1" si="18">AC7/V7</f>
        <v>0.41756183622658749</v>
      </c>
      <c r="AE7" s="41" t="s">
        <v>40</v>
      </c>
      <c r="AF7" s="41"/>
      <c r="AG7" s="42">
        <v>0.08</v>
      </c>
      <c r="AH7" s="43"/>
      <c r="AI7" s="43"/>
      <c r="AJ7" s="44"/>
      <c r="AK7" s="44"/>
    </row>
    <row r="8" spans="1:37" ht="37.5" customHeight="1">
      <c r="A8" s="25"/>
      <c r="B8" s="25" t="s">
        <v>112</v>
      </c>
      <c r="C8" s="26" t="s">
        <v>39</v>
      </c>
      <c r="D8" s="27">
        <v>34</v>
      </c>
      <c r="E8" s="27">
        <v>24</v>
      </c>
      <c r="F8" s="27">
        <v>2</v>
      </c>
      <c r="G8" s="72">
        <f t="shared" si="0"/>
        <v>1632</v>
      </c>
      <c r="H8" s="70">
        <f t="shared" si="1"/>
        <v>1.632E-3</v>
      </c>
      <c r="I8" s="29">
        <f t="shared" si="2"/>
        <v>612.74509803921569</v>
      </c>
      <c r="J8" s="30">
        <f t="shared" si="3"/>
        <v>0.13056000000000001</v>
      </c>
      <c r="K8" s="31">
        <f t="shared" si="4"/>
        <v>44.064</v>
      </c>
      <c r="L8" s="31">
        <f t="shared" si="5"/>
        <v>224.8896</v>
      </c>
      <c r="M8" s="32">
        <f t="shared" si="6"/>
        <v>4.8619655039171338E-2</v>
      </c>
      <c r="N8" s="33">
        <v>352</v>
      </c>
      <c r="O8" s="32">
        <f t="shared" ca="1" si="7"/>
        <v>0</v>
      </c>
      <c r="P8" s="34">
        <v>25</v>
      </c>
      <c r="Q8" s="34">
        <f t="shared" si="8"/>
        <v>28.749999999999996</v>
      </c>
      <c r="R8" s="35">
        <f t="shared" si="9"/>
        <v>5531.7874999999995</v>
      </c>
      <c r="S8" s="35">
        <f t="shared" ca="1" si="10"/>
        <v>0</v>
      </c>
      <c r="T8" s="35">
        <f t="shared" si="11"/>
        <v>268.95359999999999</v>
      </c>
      <c r="U8" s="35">
        <f t="shared" ca="1" si="12"/>
        <v>5800.7410999999993</v>
      </c>
      <c r="V8" s="35">
        <v>24900</v>
      </c>
      <c r="W8" s="36">
        <v>8.1299999999999997E-2</v>
      </c>
      <c r="X8" s="71"/>
      <c r="Y8" s="35">
        <f t="shared" si="13"/>
        <v>3179</v>
      </c>
      <c r="Z8" s="38">
        <f t="shared" si="14"/>
        <v>0.20897068273092367</v>
      </c>
      <c r="AA8" s="39">
        <f t="shared" si="15"/>
        <v>5203.37</v>
      </c>
      <c r="AB8" s="39">
        <f t="shared" ca="1" si="16"/>
        <v>1150.5142136363636</v>
      </c>
      <c r="AC8" s="39">
        <f t="shared" ca="1" si="17"/>
        <v>12393.374686363639</v>
      </c>
      <c r="AD8" s="40">
        <f t="shared" ca="1" si="18"/>
        <v>0.49772589101862003</v>
      </c>
      <c r="AE8" s="41"/>
      <c r="AF8" s="41"/>
      <c r="AG8" s="42"/>
      <c r="AH8" s="43"/>
      <c r="AI8" s="43"/>
      <c r="AJ8" s="44"/>
      <c r="AK8" s="44"/>
    </row>
    <row r="9" spans="1:37" ht="37.5" customHeight="1">
      <c r="A9" s="25"/>
      <c r="B9" s="25" t="s">
        <v>113</v>
      </c>
      <c r="C9" s="26" t="s">
        <v>39</v>
      </c>
      <c r="D9" s="91">
        <v>15</v>
      </c>
      <c r="E9" s="91">
        <v>18</v>
      </c>
      <c r="F9" s="91">
        <v>2</v>
      </c>
      <c r="G9" s="72">
        <f t="shared" si="0"/>
        <v>540</v>
      </c>
      <c r="H9" s="70">
        <f t="shared" si="1"/>
        <v>5.4000000000000001E-4</v>
      </c>
      <c r="I9" s="29">
        <f t="shared" si="2"/>
        <v>1851.8518518518517</v>
      </c>
      <c r="J9" s="30">
        <f t="shared" si="3"/>
        <v>4.3200000000000002E-2</v>
      </c>
      <c r="K9" s="31">
        <f t="shared" si="4"/>
        <v>14.58</v>
      </c>
      <c r="L9" s="31">
        <f t="shared" si="5"/>
        <v>74.412000000000006</v>
      </c>
      <c r="M9" s="32">
        <f t="shared" si="6"/>
        <v>8.0436929292746692E-2</v>
      </c>
      <c r="N9" s="33">
        <v>176</v>
      </c>
      <c r="O9" s="32">
        <f ca="1">SUMIF($AE$6:$AG$27,$A9,$AG$6:$AG$27)</f>
        <v>0</v>
      </c>
      <c r="P9" s="34">
        <v>5</v>
      </c>
      <c r="Q9" s="34">
        <f t="shared" si="8"/>
        <v>5.75</v>
      </c>
      <c r="R9" s="35">
        <f t="shared" si="9"/>
        <v>1106.3575000000001</v>
      </c>
      <c r="S9" s="35">
        <f t="shared" ca="1" si="10"/>
        <v>0</v>
      </c>
      <c r="T9" s="35">
        <f t="shared" si="11"/>
        <v>88.992000000000004</v>
      </c>
      <c r="U9" s="35">
        <f t="shared" ca="1" si="12"/>
        <v>1195.3495</v>
      </c>
      <c r="V9" s="35">
        <v>17800</v>
      </c>
      <c r="W9" s="36">
        <v>8.1299999999999997E-2</v>
      </c>
      <c r="X9" s="92"/>
      <c r="Y9" s="35">
        <f t="shared" si="13"/>
        <v>3003</v>
      </c>
      <c r="Z9" s="38">
        <f t="shared" si="14"/>
        <v>0.25000786516853934</v>
      </c>
      <c r="AA9" s="39">
        <f t="shared" si="15"/>
        <v>4450.1400000000003</v>
      </c>
      <c r="AB9" s="39">
        <f t="shared" ca="1" si="16"/>
        <v>1043.474068181818</v>
      </c>
      <c r="AC9" s="39">
        <f t="shared" ca="1" si="17"/>
        <v>10935.036431818182</v>
      </c>
      <c r="AD9" s="40">
        <f t="shared" ca="1" si="18"/>
        <v>0.61432788942798777</v>
      </c>
      <c r="AE9" s="41"/>
      <c r="AF9" s="41"/>
      <c r="AG9" s="42"/>
      <c r="AH9" s="43"/>
      <c r="AI9" s="43"/>
      <c r="AJ9" s="44"/>
      <c r="AK9" s="44"/>
    </row>
    <row r="10" spans="1:37" ht="37.5" customHeight="1">
      <c r="A10" s="25"/>
      <c r="B10" s="25"/>
      <c r="C10" s="26"/>
      <c r="D10" s="27"/>
      <c r="E10" s="27"/>
      <c r="F10" s="27"/>
      <c r="G10" s="72"/>
      <c r="H10" s="70"/>
      <c r="I10" s="29"/>
      <c r="J10" s="30"/>
      <c r="K10" s="31"/>
      <c r="L10" s="31"/>
      <c r="M10" s="32"/>
      <c r="N10" s="33"/>
      <c r="O10" s="32"/>
      <c r="P10" s="34"/>
      <c r="Q10" s="34"/>
      <c r="R10" s="35"/>
      <c r="S10" s="25"/>
      <c r="T10" s="35"/>
      <c r="U10" s="35"/>
      <c r="V10" s="35"/>
      <c r="W10" s="36"/>
      <c r="X10" s="71"/>
      <c r="Y10" s="35"/>
      <c r="Z10" s="38"/>
      <c r="AA10" s="39"/>
      <c r="AB10" s="39"/>
      <c r="AC10" s="39"/>
      <c r="AD10" s="40"/>
      <c r="AE10" s="41"/>
      <c r="AF10" s="41"/>
      <c r="AG10" s="45"/>
      <c r="AH10" s="43"/>
      <c r="AI10" s="43"/>
      <c r="AJ10" s="44"/>
      <c r="AK10" s="44"/>
    </row>
    <row r="11" spans="1:37" ht="37.5" customHeight="1">
      <c r="A11" s="25"/>
      <c r="B11" s="25"/>
      <c r="C11" s="26"/>
      <c r="D11" s="27"/>
      <c r="E11" s="27"/>
      <c r="F11" s="27"/>
      <c r="G11" s="72"/>
      <c r="H11" s="70"/>
      <c r="I11" s="29"/>
      <c r="J11" s="30"/>
      <c r="K11" s="31"/>
      <c r="L11" s="31"/>
      <c r="M11" s="32"/>
      <c r="N11" s="33"/>
      <c r="O11" s="32"/>
      <c r="P11" s="34"/>
      <c r="Q11" s="34"/>
      <c r="R11" s="35"/>
      <c r="S11" s="25"/>
      <c r="T11" s="35"/>
      <c r="U11" s="35"/>
      <c r="V11" s="35"/>
      <c r="W11" s="36"/>
      <c r="X11" s="71"/>
      <c r="Y11" s="35"/>
      <c r="Z11" s="38"/>
      <c r="AA11" s="39"/>
      <c r="AB11" s="39"/>
      <c r="AC11" s="39"/>
      <c r="AD11" s="40"/>
      <c r="AE11" s="41"/>
      <c r="AF11" s="41"/>
      <c r="AG11" s="45"/>
      <c r="AH11" s="43"/>
      <c r="AI11" s="43"/>
      <c r="AJ11" s="44"/>
      <c r="AK11" s="44"/>
    </row>
    <row r="12" spans="1:37" ht="37.5" customHeight="1">
      <c r="A12" s="25"/>
      <c r="B12" s="25"/>
      <c r="C12" s="26"/>
      <c r="D12" s="27"/>
      <c r="E12" s="27"/>
      <c r="F12" s="27"/>
      <c r="G12" s="72"/>
      <c r="H12" s="70"/>
      <c r="I12" s="29"/>
      <c r="J12" s="30"/>
      <c r="K12" s="31"/>
      <c r="L12" s="31"/>
      <c r="M12" s="32"/>
      <c r="N12" s="33"/>
      <c r="O12" s="32"/>
      <c r="P12" s="34"/>
      <c r="Q12" s="34"/>
      <c r="R12" s="35"/>
      <c r="S12" s="25"/>
      <c r="T12" s="35"/>
      <c r="U12" s="35"/>
      <c r="V12" s="35"/>
      <c r="W12" s="36"/>
      <c r="X12" s="71"/>
      <c r="Y12" s="35"/>
      <c r="Z12" s="38"/>
      <c r="AA12" s="39"/>
      <c r="AB12" s="39"/>
      <c r="AC12" s="39"/>
      <c r="AD12" s="40"/>
      <c r="AE12" s="41"/>
      <c r="AF12" s="41"/>
      <c r="AG12" s="45"/>
      <c r="AH12" s="43"/>
      <c r="AI12" s="43"/>
      <c r="AJ12" s="44"/>
      <c r="AK12" s="44"/>
    </row>
    <row r="13" spans="1:37" ht="37.5" customHeight="1">
      <c r="A13" s="25"/>
      <c r="B13" s="25"/>
      <c r="C13" s="26"/>
      <c r="D13" s="27"/>
      <c r="E13" s="27"/>
      <c r="F13" s="27"/>
      <c r="G13" s="72"/>
      <c r="H13" s="70"/>
      <c r="I13" s="29"/>
      <c r="J13" s="30"/>
      <c r="K13" s="31"/>
      <c r="L13" s="31"/>
      <c r="M13" s="32"/>
      <c r="N13" s="33"/>
      <c r="O13" s="32"/>
      <c r="P13" s="34"/>
      <c r="Q13" s="34"/>
      <c r="R13" s="35"/>
      <c r="S13" s="25"/>
      <c r="T13" s="35"/>
      <c r="U13" s="35"/>
      <c r="V13" s="35"/>
      <c r="W13" s="36"/>
      <c r="X13" s="71"/>
      <c r="Y13" s="35"/>
      <c r="Z13" s="38"/>
      <c r="AA13" s="39"/>
      <c r="AB13" s="39"/>
      <c r="AC13" s="39"/>
      <c r="AD13" s="40"/>
      <c r="AE13" s="41"/>
      <c r="AF13" s="41"/>
      <c r="AG13" s="45"/>
      <c r="AH13" s="43"/>
      <c r="AI13" s="43"/>
      <c r="AJ13" s="44"/>
      <c r="AK13" s="44"/>
    </row>
    <row r="14" spans="1:37" ht="37.5" customHeight="1">
      <c r="A14" s="25"/>
      <c r="B14" s="25"/>
      <c r="C14" s="26"/>
      <c r="D14" s="27"/>
      <c r="E14" s="27"/>
      <c r="F14" s="27"/>
      <c r="G14" s="72"/>
      <c r="H14" s="70"/>
      <c r="I14" s="29"/>
      <c r="J14" s="30"/>
      <c r="K14" s="31"/>
      <c r="L14" s="31"/>
      <c r="M14" s="32"/>
      <c r="N14" s="33"/>
      <c r="O14" s="32"/>
      <c r="P14" s="34"/>
      <c r="Q14" s="34"/>
      <c r="R14" s="35"/>
      <c r="S14" s="25"/>
      <c r="T14" s="35"/>
      <c r="U14" s="35"/>
      <c r="V14" s="35"/>
      <c r="W14" s="36"/>
      <c r="X14" s="71"/>
      <c r="Y14" s="35"/>
      <c r="Z14" s="38"/>
      <c r="AA14" s="39"/>
      <c r="AB14" s="39"/>
      <c r="AC14" s="39"/>
      <c r="AD14" s="40"/>
      <c r="AE14" s="41"/>
      <c r="AF14" s="41"/>
      <c r="AG14" s="45"/>
      <c r="AH14" s="43"/>
      <c r="AI14" s="43"/>
      <c r="AJ14" s="44"/>
      <c r="AK14" s="44"/>
    </row>
    <row r="15" spans="1:37" ht="37.5" customHeight="1">
      <c r="A15" s="25"/>
      <c r="B15" s="25"/>
      <c r="C15" s="26"/>
      <c r="D15" s="27"/>
      <c r="E15" s="27"/>
      <c r="F15" s="27"/>
      <c r="G15" s="72"/>
      <c r="H15" s="70"/>
      <c r="I15" s="29"/>
      <c r="J15" s="30"/>
      <c r="K15" s="31"/>
      <c r="L15" s="31"/>
      <c r="M15" s="32"/>
      <c r="N15" s="33"/>
      <c r="O15" s="32"/>
      <c r="P15" s="34"/>
      <c r="Q15" s="34"/>
      <c r="R15" s="35"/>
      <c r="S15" s="25"/>
      <c r="T15" s="35"/>
      <c r="U15" s="35"/>
      <c r="V15" s="35"/>
      <c r="W15" s="36"/>
      <c r="X15" s="71"/>
      <c r="Y15" s="35"/>
      <c r="Z15" s="38"/>
      <c r="AA15" s="39"/>
      <c r="AB15" s="39"/>
      <c r="AC15" s="39"/>
      <c r="AD15" s="40"/>
      <c r="AE15" s="41"/>
      <c r="AF15" s="41"/>
      <c r="AG15" s="45"/>
      <c r="AH15" s="43"/>
      <c r="AI15" s="43"/>
      <c r="AJ15" s="44"/>
      <c r="AK15" s="44"/>
    </row>
    <row r="16" spans="1:37" ht="37.5" customHeight="1">
      <c r="A16" s="25"/>
      <c r="B16" s="25"/>
      <c r="C16" s="26"/>
      <c r="D16" s="27"/>
      <c r="E16" s="27"/>
      <c r="F16" s="27"/>
      <c r="G16" s="72"/>
      <c r="H16" s="70"/>
      <c r="I16" s="29"/>
      <c r="J16" s="30"/>
      <c r="K16" s="31"/>
      <c r="L16" s="31"/>
      <c r="M16" s="32"/>
      <c r="N16" s="33"/>
      <c r="O16" s="32"/>
      <c r="P16" s="34"/>
      <c r="Q16" s="34"/>
      <c r="R16" s="35"/>
      <c r="S16" s="25"/>
      <c r="T16" s="35"/>
      <c r="U16" s="35"/>
      <c r="V16" s="35"/>
      <c r="W16" s="36"/>
      <c r="X16" s="71"/>
      <c r="Y16" s="35"/>
      <c r="Z16" s="38"/>
      <c r="AA16" s="39"/>
      <c r="AB16" s="39"/>
      <c r="AC16" s="39"/>
      <c r="AD16" s="40"/>
      <c r="AE16" s="41"/>
      <c r="AF16" s="41"/>
      <c r="AG16" s="45"/>
      <c r="AH16" s="43"/>
      <c r="AI16" s="43"/>
      <c r="AJ16" s="44"/>
      <c r="AK16" s="44"/>
    </row>
    <row r="17" spans="1:37" ht="37.5" customHeight="1">
      <c r="A17" s="25"/>
      <c r="B17" s="25"/>
      <c r="C17" s="26"/>
      <c r="D17" s="27"/>
      <c r="E17" s="27"/>
      <c r="F17" s="27"/>
      <c r="G17" s="72"/>
      <c r="H17" s="70"/>
      <c r="I17" s="29"/>
      <c r="J17" s="30"/>
      <c r="K17" s="31"/>
      <c r="L17" s="31"/>
      <c r="M17" s="32"/>
      <c r="N17" s="33"/>
      <c r="O17" s="32"/>
      <c r="P17" s="34"/>
      <c r="Q17" s="34"/>
      <c r="R17" s="35"/>
      <c r="S17" s="25"/>
      <c r="T17" s="35"/>
      <c r="U17" s="35"/>
      <c r="V17" s="35"/>
      <c r="W17" s="36"/>
      <c r="X17" s="71"/>
      <c r="Y17" s="35"/>
      <c r="Z17" s="38"/>
      <c r="AA17" s="39"/>
      <c r="AB17" s="39"/>
      <c r="AC17" s="39"/>
      <c r="AD17" s="40"/>
      <c r="AE17" s="41"/>
      <c r="AF17" s="41"/>
      <c r="AG17" s="45"/>
      <c r="AH17" s="43"/>
      <c r="AI17" s="43"/>
      <c r="AJ17" s="44"/>
      <c r="AK17" s="44"/>
    </row>
    <row r="18" spans="1:37" ht="37.5" customHeight="1">
      <c r="A18" s="25"/>
      <c r="B18" s="25"/>
      <c r="C18" s="26"/>
      <c r="D18" s="27"/>
      <c r="E18" s="27"/>
      <c r="F18" s="27"/>
      <c r="G18" s="72"/>
      <c r="H18" s="70"/>
      <c r="I18" s="29"/>
      <c r="J18" s="30"/>
      <c r="K18" s="31"/>
      <c r="L18" s="31"/>
      <c r="M18" s="32"/>
      <c r="N18" s="34"/>
      <c r="O18" s="32"/>
      <c r="P18" s="34"/>
      <c r="Q18" s="34"/>
      <c r="R18" s="35"/>
      <c r="S18" s="25"/>
      <c r="T18" s="35"/>
      <c r="U18" s="35"/>
      <c r="V18" s="35"/>
      <c r="W18" s="36"/>
      <c r="X18" s="71"/>
      <c r="Y18" s="35"/>
      <c r="Z18" s="38"/>
      <c r="AA18" s="39"/>
      <c r="AB18" s="39"/>
      <c r="AC18" s="39"/>
      <c r="AD18" s="40"/>
      <c r="AE18" s="41"/>
      <c r="AF18" s="41"/>
      <c r="AG18" s="45"/>
      <c r="AH18" s="43"/>
      <c r="AI18" s="43"/>
      <c r="AJ18" s="44"/>
      <c r="AK18" s="44"/>
    </row>
    <row r="19" spans="1:37" ht="37.5" customHeight="1">
      <c r="A19" s="25"/>
      <c r="B19" s="25"/>
      <c r="C19" s="26"/>
      <c r="D19" s="27"/>
      <c r="E19" s="27"/>
      <c r="F19" s="27"/>
      <c r="G19" s="72"/>
      <c r="H19" s="70"/>
      <c r="I19" s="29"/>
      <c r="J19" s="30"/>
      <c r="K19" s="31"/>
      <c r="L19" s="31"/>
      <c r="M19" s="32"/>
      <c r="N19" s="34"/>
      <c r="O19" s="32"/>
      <c r="P19" s="34"/>
      <c r="Q19" s="34"/>
      <c r="R19" s="35"/>
      <c r="S19" s="25"/>
      <c r="T19" s="35"/>
      <c r="U19" s="35"/>
      <c r="V19" s="35"/>
      <c r="W19" s="36"/>
      <c r="X19" s="71"/>
      <c r="Y19" s="35"/>
      <c r="Z19" s="38"/>
      <c r="AA19" s="39"/>
      <c r="AB19" s="39"/>
      <c r="AC19" s="39"/>
      <c r="AD19" s="40"/>
      <c r="AE19" s="41"/>
      <c r="AF19" s="41"/>
      <c r="AG19" s="45"/>
      <c r="AH19" s="43"/>
      <c r="AI19" s="43"/>
      <c r="AJ19" s="44"/>
      <c r="AK19" s="44"/>
    </row>
    <row r="20" spans="1:37" ht="37.5" customHeight="1">
      <c r="A20" s="25"/>
      <c r="B20" s="25"/>
      <c r="C20" s="26"/>
      <c r="D20" s="27"/>
      <c r="E20" s="27"/>
      <c r="F20" s="27"/>
      <c r="G20" s="72"/>
      <c r="H20" s="70"/>
      <c r="I20" s="29"/>
      <c r="J20" s="30"/>
      <c r="K20" s="31"/>
      <c r="L20" s="31"/>
      <c r="M20" s="32"/>
      <c r="N20" s="34"/>
      <c r="O20" s="32"/>
      <c r="P20" s="34"/>
      <c r="Q20" s="34"/>
      <c r="R20" s="35"/>
      <c r="S20" s="25"/>
      <c r="T20" s="35"/>
      <c r="U20" s="35"/>
      <c r="V20" s="35"/>
      <c r="W20" s="36"/>
      <c r="X20" s="71"/>
      <c r="Y20" s="35"/>
      <c r="Z20" s="38"/>
      <c r="AA20" s="39"/>
      <c r="AB20" s="39"/>
      <c r="AC20" s="39"/>
      <c r="AD20" s="40"/>
      <c r="AE20" s="41"/>
      <c r="AF20" s="41"/>
      <c r="AG20" s="45"/>
      <c r="AH20" s="43"/>
      <c r="AI20" s="43"/>
      <c r="AJ20" s="44"/>
      <c r="AK20" s="44"/>
    </row>
    <row r="21" spans="1:37" ht="37.5" customHeight="1">
      <c r="A21" s="25"/>
      <c r="B21" s="25"/>
      <c r="C21" s="26"/>
      <c r="D21" s="27"/>
      <c r="E21" s="27"/>
      <c r="F21" s="27"/>
      <c r="G21" s="72"/>
      <c r="H21" s="70"/>
      <c r="I21" s="29"/>
      <c r="J21" s="30"/>
      <c r="K21" s="31"/>
      <c r="L21" s="31"/>
      <c r="M21" s="32"/>
      <c r="N21" s="34"/>
      <c r="O21" s="32"/>
      <c r="P21" s="34"/>
      <c r="Q21" s="34"/>
      <c r="R21" s="35"/>
      <c r="S21" s="25"/>
      <c r="T21" s="35"/>
      <c r="U21" s="35"/>
      <c r="V21" s="35"/>
      <c r="W21" s="36"/>
      <c r="X21" s="71"/>
      <c r="Y21" s="35"/>
      <c r="Z21" s="38"/>
      <c r="AA21" s="39"/>
      <c r="AB21" s="39"/>
      <c r="AC21" s="39"/>
      <c r="AD21" s="40"/>
      <c r="AE21" s="41"/>
      <c r="AF21" s="41"/>
      <c r="AG21" s="45"/>
      <c r="AH21" s="43"/>
      <c r="AI21" s="43"/>
      <c r="AJ21" s="44"/>
      <c r="AK21" s="44"/>
    </row>
    <row r="22" spans="1:37" ht="37.5" customHeight="1">
      <c r="A22" s="25"/>
      <c r="B22" s="25"/>
      <c r="C22" s="26"/>
      <c r="D22" s="27"/>
      <c r="E22" s="27"/>
      <c r="F22" s="27"/>
      <c r="G22" s="72"/>
      <c r="H22" s="70"/>
      <c r="I22" s="29"/>
      <c r="J22" s="30"/>
      <c r="K22" s="31"/>
      <c r="L22" s="31"/>
      <c r="M22" s="32"/>
      <c r="N22" s="34"/>
      <c r="O22" s="32"/>
      <c r="P22" s="34"/>
      <c r="Q22" s="34"/>
      <c r="R22" s="35"/>
      <c r="S22" s="25"/>
      <c r="T22" s="35"/>
      <c r="U22" s="35"/>
      <c r="V22" s="35"/>
      <c r="W22" s="36"/>
      <c r="X22" s="71"/>
      <c r="Y22" s="35"/>
      <c r="Z22" s="38"/>
      <c r="AA22" s="39"/>
      <c r="AB22" s="39"/>
      <c r="AC22" s="39"/>
      <c r="AD22" s="40"/>
      <c r="AE22" s="41"/>
      <c r="AF22" s="41"/>
      <c r="AG22" s="45"/>
      <c r="AH22" s="43"/>
      <c r="AI22" s="43"/>
      <c r="AJ22" s="44"/>
      <c r="AK22" s="44"/>
    </row>
    <row r="23" spans="1:37" ht="37.5" customHeight="1">
      <c r="A23" s="25"/>
      <c r="B23" s="25"/>
      <c r="C23" s="26"/>
      <c r="D23" s="27"/>
      <c r="E23" s="27"/>
      <c r="F23" s="27"/>
      <c r="G23" s="72"/>
      <c r="H23" s="70"/>
      <c r="I23" s="29"/>
      <c r="J23" s="30"/>
      <c r="K23" s="31"/>
      <c r="L23" s="31"/>
      <c r="M23" s="32"/>
      <c r="N23" s="34"/>
      <c r="O23" s="32"/>
      <c r="P23" s="34"/>
      <c r="Q23" s="34"/>
      <c r="R23" s="35"/>
      <c r="S23" s="25"/>
      <c r="T23" s="35"/>
      <c r="U23" s="35"/>
      <c r="V23" s="35"/>
      <c r="W23" s="36"/>
      <c r="X23" s="71"/>
      <c r="Y23" s="35"/>
      <c r="Z23" s="38"/>
      <c r="AA23" s="39"/>
      <c r="AB23" s="39"/>
      <c r="AC23" s="39"/>
      <c r="AD23" s="40"/>
      <c r="AE23" s="41"/>
      <c r="AF23" s="41"/>
      <c r="AG23" s="45"/>
      <c r="AH23" s="43"/>
      <c r="AI23" s="43"/>
      <c r="AJ23" s="44"/>
      <c r="AK23" s="44"/>
    </row>
    <row r="24" spans="1:37" ht="37.5" customHeight="1">
      <c r="A24" s="52"/>
      <c r="B24" s="52"/>
      <c r="C24" s="52"/>
      <c r="D24" s="53"/>
      <c r="E24" s="53"/>
      <c r="F24" s="53"/>
      <c r="G24" s="52"/>
      <c r="H24" s="52"/>
      <c r="I24" s="52"/>
      <c r="J24" s="52"/>
      <c r="K24" s="52"/>
      <c r="L24" s="52"/>
      <c r="M24" s="52"/>
      <c r="N24" s="52"/>
      <c r="O24" s="52"/>
      <c r="P24" s="52"/>
      <c r="Q24" s="52"/>
      <c r="R24" s="52"/>
      <c r="S24" s="52"/>
      <c r="T24" s="52"/>
      <c r="U24" s="52"/>
      <c r="V24" s="52"/>
      <c r="W24" s="56"/>
      <c r="X24" s="52"/>
      <c r="Y24" s="52"/>
      <c r="Z24" s="52"/>
      <c r="AA24" s="52"/>
      <c r="AB24" s="52"/>
      <c r="AC24" s="52"/>
      <c r="AD24" s="57"/>
      <c r="AE24" s="3"/>
      <c r="AF24" s="58"/>
      <c r="AG24" s="4"/>
      <c r="AH24" s="58"/>
      <c r="AI24" s="4"/>
      <c r="AJ24" s="4"/>
      <c r="AK24" s="4"/>
    </row>
    <row r="25" spans="1:37" ht="37.5" customHeight="1">
      <c r="A25" s="52"/>
      <c r="B25" s="52"/>
      <c r="C25" s="52"/>
      <c r="D25" s="53"/>
      <c r="E25" s="53"/>
      <c r="F25" s="53"/>
      <c r="G25" s="52"/>
      <c r="H25" s="52"/>
      <c r="I25" s="52"/>
      <c r="J25" s="52"/>
      <c r="K25" s="52"/>
      <c r="L25" s="52"/>
      <c r="M25" s="52"/>
      <c r="N25" s="52"/>
      <c r="O25" s="52"/>
      <c r="P25" s="52"/>
      <c r="Q25" s="52"/>
      <c r="R25" s="52"/>
      <c r="S25" s="52"/>
      <c r="T25" s="52"/>
      <c r="U25" s="52"/>
      <c r="V25" s="52"/>
      <c r="W25" s="56"/>
      <c r="X25" s="52"/>
      <c r="Y25" s="52"/>
      <c r="Z25" s="52"/>
      <c r="AA25" s="52"/>
      <c r="AB25" s="52"/>
      <c r="AC25" s="52"/>
      <c r="AD25" s="57"/>
      <c r="AE25" s="3"/>
      <c r="AF25" s="58"/>
      <c r="AG25" s="4"/>
      <c r="AH25" s="58"/>
      <c r="AI25" s="4"/>
      <c r="AJ25" s="4"/>
      <c r="AK25" s="4"/>
    </row>
    <row r="26" spans="1:37" ht="37.5" customHeight="1">
      <c r="A26" s="52"/>
      <c r="B26" s="52"/>
      <c r="C26" s="52"/>
      <c r="D26" s="53"/>
      <c r="E26" s="53"/>
      <c r="F26" s="53"/>
      <c r="G26" s="52"/>
      <c r="H26" s="52"/>
      <c r="I26" s="52"/>
      <c r="J26" s="52"/>
      <c r="K26" s="52"/>
      <c r="L26" s="52"/>
      <c r="M26" s="52"/>
      <c r="N26" s="52"/>
      <c r="O26" s="52"/>
      <c r="P26" s="52"/>
      <c r="Q26" s="52"/>
      <c r="R26" s="52"/>
      <c r="S26" s="52"/>
      <c r="T26" s="52"/>
      <c r="U26" s="52"/>
      <c r="V26" s="52"/>
      <c r="W26" s="56"/>
      <c r="X26" s="52"/>
      <c r="Y26" s="52"/>
      <c r="Z26" s="52"/>
      <c r="AA26" s="52"/>
      <c r="AB26" s="52"/>
      <c r="AC26" s="52"/>
      <c r="AD26" s="57"/>
      <c r="AE26" s="3"/>
      <c r="AF26" s="58"/>
      <c r="AG26" s="4"/>
      <c r="AH26" s="58"/>
      <c r="AI26" s="4"/>
      <c r="AJ26" s="4"/>
      <c r="AK26" s="4"/>
    </row>
    <row r="27" spans="1:37" ht="37.5" customHeight="1">
      <c r="A27" s="52"/>
      <c r="B27" s="52"/>
      <c r="C27" s="52"/>
      <c r="D27" s="53"/>
      <c r="E27" s="53"/>
      <c r="F27" s="53"/>
      <c r="G27" s="52"/>
      <c r="H27" s="52"/>
      <c r="I27" s="52"/>
      <c r="J27" s="52"/>
      <c r="K27" s="52"/>
      <c r="L27" s="52"/>
      <c r="M27" s="52"/>
      <c r="N27" s="52"/>
      <c r="O27" s="52"/>
      <c r="P27" s="52"/>
      <c r="Q27" s="52"/>
      <c r="R27" s="52"/>
      <c r="S27" s="52"/>
      <c r="T27" s="52"/>
      <c r="U27" s="52"/>
      <c r="V27" s="52"/>
      <c r="W27" s="56"/>
      <c r="X27" s="52"/>
      <c r="Y27" s="52"/>
      <c r="Z27" s="52"/>
      <c r="AA27" s="52"/>
      <c r="AB27" s="52"/>
      <c r="AC27" s="52"/>
      <c r="AD27" s="57"/>
      <c r="AE27" s="3"/>
      <c r="AF27" s="58"/>
      <c r="AG27" s="4"/>
      <c r="AH27" s="58"/>
      <c r="AI27" s="4"/>
      <c r="AJ27" s="4"/>
      <c r="AK27" s="4"/>
    </row>
    <row r="28" spans="1:37" ht="37.5" customHeight="1">
      <c r="A28" s="52"/>
      <c r="B28" s="52"/>
      <c r="C28" s="52"/>
      <c r="D28" s="53"/>
      <c r="E28" s="53"/>
      <c r="F28" s="53"/>
      <c r="G28" s="52"/>
      <c r="H28" s="52"/>
      <c r="I28" s="52"/>
      <c r="J28" s="52"/>
      <c r="K28" s="52"/>
      <c r="L28" s="52"/>
      <c r="M28" s="52"/>
      <c r="N28" s="52"/>
      <c r="O28" s="52"/>
      <c r="P28" s="52"/>
      <c r="Q28" s="52"/>
      <c r="R28" s="52"/>
      <c r="S28" s="52"/>
      <c r="T28" s="52"/>
      <c r="U28" s="52"/>
      <c r="V28" s="52"/>
      <c r="W28" s="56"/>
      <c r="X28" s="52"/>
      <c r="Y28" s="52"/>
      <c r="Z28" s="52"/>
      <c r="AA28" s="52"/>
      <c r="AB28" s="52"/>
      <c r="AC28" s="52"/>
      <c r="AD28" s="57"/>
      <c r="AE28" s="3"/>
      <c r="AF28" s="58"/>
      <c r="AG28" s="4"/>
      <c r="AH28" s="58"/>
      <c r="AI28" s="4"/>
      <c r="AJ28" s="4"/>
      <c r="AK28" s="4"/>
    </row>
    <row r="29" spans="1:37" ht="37.5" customHeight="1">
      <c r="A29" s="52"/>
      <c r="B29" s="52"/>
      <c r="C29" s="52"/>
      <c r="D29" s="53"/>
      <c r="E29" s="53"/>
      <c r="F29" s="53"/>
      <c r="G29" s="52"/>
      <c r="H29" s="52"/>
      <c r="I29" s="52"/>
      <c r="J29" s="52"/>
      <c r="K29" s="52"/>
      <c r="L29" s="52"/>
      <c r="M29" s="52"/>
      <c r="N29" s="52"/>
      <c r="O29" s="52"/>
      <c r="P29" s="52"/>
      <c r="Q29" s="52"/>
      <c r="R29" s="52"/>
      <c r="S29" s="52"/>
      <c r="T29" s="52"/>
      <c r="U29" s="52"/>
      <c r="V29" s="52"/>
      <c r="W29" s="56"/>
      <c r="X29" s="52"/>
      <c r="Y29" s="52"/>
      <c r="Z29" s="52"/>
      <c r="AA29" s="52"/>
      <c r="AB29" s="52"/>
      <c r="AC29" s="52"/>
      <c r="AD29" s="57"/>
      <c r="AE29" s="3"/>
      <c r="AF29" s="58"/>
      <c r="AG29" s="4"/>
      <c r="AH29" s="58"/>
      <c r="AI29" s="4"/>
      <c r="AJ29" s="4"/>
      <c r="AK29" s="4"/>
    </row>
    <row r="30" spans="1:37" ht="37.5" customHeight="1">
      <c r="A30" s="52"/>
      <c r="B30" s="52"/>
      <c r="C30" s="52"/>
      <c r="D30" s="53"/>
      <c r="E30" s="53"/>
      <c r="F30" s="53"/>
      <c r="G30" s="52"/>
      <c r="H30" s="52"/>
      <c r="I30" s="52"/>
      <c r="J30" s="52"/>
      <c r="K30" s="52"/>
      <c r="L30" s="52"/>
      <c r="M30" s="52"/>
      <c r="N30" s="52"/>
      <c r="O30" s="52"/>
      <c r="P30" s="52"/>
      <c r="Q30" s="52"/>
      <c r="R30" s="52"/>
      <c r="S30" s="52"/>
      <c r="T30" s="52"/>
      <c r="U30" s="52"/>
      <c r="V30" s="52"/>
      <c r="W30" s="56"/>
      <c r="X30" s="52"/>
      <c r="Y30" s="52"/>
      <c r="Z30" s="52"/>
      <c r="AA30" s="52"/>
      <c r="AB30" s="52"/>
      <c r="AC30" s="52"/>
      <c r="AD30" s="57"/>
      <c r="AE30" s="3"/>
      <c r="AF30" s="58"/>
      <c r="AG30" s="4"/>
      <c r="AH30" s="58"/>
      <c r="AI30" s="4"/>
      <c r="AJ30" s="4"/>
      <c r="AK30" s="4"/>
    </row>
    <row r="31" spans="1:37" ht="37.5" customHeight="1">
      <c r="A31" s="52"/>
      <c r="B31" s="52"/>
      <c r="C31" s="52"/>
      <c r="D31" s="53"/>
      <c r="E31" s="53"/>
      <c r="F31" s="53"/>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row>
    <row r="32" spans="1:37" ht="14.25">
      <c r="A32" s="52"/>
      <c r="B32" s="52"/>
      <c r="C32" s="52"/>
      <c r="D32" s="53"/>
      <c r="E32" s="53"/>
      <c r="F32" s="53"/>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row>
    <row r="33" spans="1:37" ht="14.25">
      <c r="A33" s="52"/>
      <c r="B33" s="52"/>
      <c r="C33" s="52"/>
      <c r="D33" s="53"/>
      <c r="E33" s="53"/>
      <c r="F33" s="53"/>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14.25">
      <c r="A34" s="52"/>
      <c r="B34" s="52"/>
      <c r="C34" s="52"/>
      <c r="D34" s="53"/>
      <c r="E34" s="53"/>
      <c r="F34" s="53"/>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14.25">
      <c r="A35" s="52"/>
      <c r="B35" s="52"/>
      <c r="C35" s="52"/>
      <c r="D35" s="53"/>
      <c r="E35" s="53"/>
      <c r="F35" s="53"/>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14.25">
      <c r="A36" s="52"/>
      <c r="B36" s="52"/>
      <c r="C36" s="52"/>
      <c r="D36" s="53"/>
      <c r="E36" s="53"/>
      <c r="F36" s="53"/>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3"/>
      <c r="AG36" s="4"/>
      <c r="AH36" s="4"/>
      <c r="AI36" s="4"/>
      <c r="AJ36" s="4"/>
      <c r="AK36" s="4"/>
    </row>
    <row r="37" spans="1:37" ht="14.25">
      <c r="A37" s="52"/>
      <c r="B37" s="52"/>
      <c r="C37" s="52"/>
      <c r="D37" s="53"/>
      <c r="E37" s="53"/>
      <c r="F37" s="53"/>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3"/>
      <c r="AG37" s="4"/>
      <c r="AH37" s="4"/>
      <c r="AI37" s="4"/>
      <c r="AJ37" s="4"/>
      <c r="AK37" s="4"/>
    </row>
    <row r="38" spans="1:37" ht="14.25">
      <c r="A38" s="52"/>
      <c r="B38" s="52"/>
      <c r="C38" s="52"/>
      <c r="D38" s="53"/>
      <c r="E38" s="53"/>
      <c r="F38" s="53"/>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3"/>
      <c r="AG38" s="4"/>
      <c r="AH38" s="4"/>
      <c r="AI38" s="4"/>
      <c r="AJ38" s="4"/>
      <c r="AK38" s="4"/>
    </row>
    <row r="39" spans="1:37" ht="14.25">
      <c r="A39" s="52"/>
      <c r="B39" s="52"/>
      <c r="C39" s="52"/>
      <c r="D39" s="53"/>
      <c r="E39" s="53"/>
      <c r="F39" s="53"/>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3"/>
      <c r="AG39" s="4"/>
      <c r="AH39" s="4"/>
      <c r="AI39" s="4"/>
      <c r="AJ39" s="4"/>
      <c r="AK39" s="4"/>
    </row>
    <row r="40" spans="1:37" ht="14.25">
      <c r="A40" s="52"/>
      <c r="B40" s="52"/>
      <c r="C40" s="52"/>
      <c r="D40" s="53"/>
      <c r="E40" s="53"/>
      <c r="F40" s="53"/>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3"/>
      <c r="AG40" s="4"/>
      <c r="AH40" s="4"/>
      <c r="AI40" s="4"/>
      <c r="AJ40" s="4"/>
      <c r="AK40" s="4"/>
    </row>
    <row r="41" spans="1:37" ht="14.25">
      <c r="A41" s="52"/>
      <c r="B41" s="52"/>
      <c r="C41" s="52"/>
      <c r="D41" s="53"/>
      <c r="E41" s="53"/>
      <c r="F41" s="53"/>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3"/>
      <c r="AG41" s="4"/>
      <c r="AH41" s="4"/>
      <c r="AI41" s="4"/>
      <c r="AJ41" s="4"/>
      <c r="AK41" s="4"/>
    </row>
    <row r="42" spans="1:37" ht="14.25">
      <c r="A42" s="52"/>
      <c r="B42" s="52"/>
      <c r="C42" s="52"/>
      <c r="D42" s="53"/>
      <c r="E42" s="53"/>
      <c r="F42" s="53"/>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3"/>
      <c r="AG42" s="4"/>
      <c r="AH42" s="4"/>
      <c r="AI42" s="4"/>
      <c r="AJ42" s="4"/>
      <c r="AK42" s="4"/>
    </row>
    <row r="43" spans="1:37" ht="14.25">
      <c r="A43" s="52"/>
      <c r="B43" s="52"/>
      <c r="C43" s="52"/>
      <c r="D43" s="53"/>
      <c r="E43" s="53"/>
      <c r="F43" s="53"/>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3"/>
      <c r="E44" s="53"/>
      <c r="F44" s="53"/>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3"/>
      <c r="E45" s="53"/>
      <c r="F45" s="53"/>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3"/>
      <c r="E46" s="53"/>
      <c r="F46" s="53"/>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3"/>
      <c r="E47" s="53"/>
      <c r="F47" s="53"/>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3"/>
      <c r="E48" s="53"/>
      <c r="F48" s="53"/>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3"/>
      <c r="E49" s="53"/>
      <c r="F49" s="53"/>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3"/>
      <c r="E50" s="53"/>
      <c r="F50" s="53"/>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3"/>
      <c r="E51" s="53"/>
      <c r="F51" s="53"/>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3"/>
      <c r="E52" s="53"/>
      <c r="F52" s="53"/>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3"/>
      <c r="E53" s="53"/>
      <c r="F53" s="53"/>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3"/>
      <c r="E54" s="53"/>
      <c r="F54" s="53"/>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3"/>
      <c r="E55" s="53"/>
      <c r="F55" s="53"/>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3"/>
      <c r="E56" s="53"/>
      <c r="F56" s="53"/>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3"/>
      <c r="E57" s="53"/>
      <c r="F57" s="53"/>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3"/>
      <c r="E58" s="53"/>
      <c r="F58" s="53"/>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3"/>
      <c r="E59" s="53"/>
      <c r="F59" s="53"/>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3"/>
      <c r="E60" s="53"/>
      <c r="F60" s="53"/>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3"/>
      <c r="E61" s="53"/>
      <c r="F61" s="53"/>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3"/>
      <c r="E62" s="53"/>
      <c r="F62" s="53"/>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3"/>
      <c r="E63" s="53"/>
      <c r="F63" s="53"/>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3"/>
      <c r="E64" s="53"/>
      <c r="F64" s="53"/>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3"/>
      <c r="E65" s="53"/>
      <c r="F65" s="53"/>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3"/>
      <c r="E66" s="53"/>
      <c r="F66" s="53"/>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3"/>
      <c r="E67" s="53"/>
      <c r="F67" s="53"/>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3"/>
      <c r="E68" s="53"/>
      <c r="F68" s="53"/>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3"/>
      <c r="E69" s="53"/>
      <c r="F69" s="53"/>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3"/>
      <c r="E70" s="53"/>
      <c r="F70" s="53"/>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3"/>
      <c r="E71" s="53"/>
      <c r="F71" s="53"/>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3"/>
      <c r="E72" s="53"/>
      <c r="F72" s="53"/>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3"/>
      <c r="E73" s="53"/>
      <c r="F73" s="53"/>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3"/>
      <c r="E74" s="53"/>
      <c r="F74" s="53"/>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3"/>
      <c r="E75" s="53"/>
      <c r="F75" s="53"/>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3"/>
      <c r="E76" s="53"/>
      <c r="F76" s="53"/>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3"/>
      <c r="E77" s="53"/>
      <c r="F77" s="53"/>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3"/>
      <c r="E78" s="53"/>
      <c r="F78" s="53"/>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3"/>
      <c r="E79" s="53"/>
      <c r="F79" s="53"/>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3"/>
      <c r="E80" s="53"/>
      <c r="F80" s="53"/>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3"/>
      <c r="E81" s="53"/>
      <c r="F81" s="53"/>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3"/>
      <c r="E82" s="53"/>
      <c r="F82" s="53"/>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3"/>
      <c r="E83" s="53"/>
      <c r="F83" s="53"/>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3"/>
      <c r="E84" s="53"/>
      <c r="F84" s="53"/>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3"/>
      <c r="E85" s="53"/>
      <c r="F85" s="53"/>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3"/>
      <c r="E86" s="53"/>
      <c r="F86" s="53"/>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3"/>
      <c r="E87" s="53"/>
      <c r="F87" s="53"/>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3"/>
      <c r="E88" s="53"/>
      <c r="F88" s="53"/>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3"/>
      <c r="E89" s="53"/>
      <c r="F89" s="53"/>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3"/>
      <c r="E90" s="53"/>
      <c r="F90" s="53"/>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3"/>
      <c r="E91" s="53"/>
      <c r="F91" s="53"/>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3"/>
      <c r="E92" s="53"/>
      <c r="F92" s="53"/>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3"/>
      <c r="E93" s="53"/>
      <c r="F93" s="53"/>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3"/>
      <c r="E94" s="53"/>
      <c r="F94" s="53"/>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3"/>
      <c r="E95" s="53"/>
      <c r="F95" s="53"/>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3"/>
      <c r="E96" s="53"/>
      <c r="F96" s="53"/>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3"/>
      <c r="E97" s="53"/>
      <c r="F97" s="53"/>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3"/>
      <c r="E98" s="53"/>
      <c r="F98" s="53"/>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3"/>
      <c r="E99" s="53"/>
      <c r="F99" s="53"/>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2.75">
      <c r="D100" s="49"/>
      <c r="E100" s="49"/>
      <c r="F100" s="49"/>
      <c r="W100" s="59"/>
    </row>
    <row r="101" spans="1:37" ht="12.75">
      <c r="D101" s="49"/>
      <c r="E101" s="49"/>
      <c r="F101" s="49"/>
      <c r="W101" s="59"/>
    </row>
    <row r="102" spans="1:37" ht="12.75">
      <c r="D102" s="49"/>
      <c r="E102" s="49"/>
      <c r="F102" s="49"/>
      <c r="W102" s="59"/>
    </row>
    <row r="103" spans="1:37" ht="12.75">
      <c r="D103" s="49"/>
      <c r="E103" s="49"/>
      <c r="F103" s="49"/>
      <c r="W103" s="59"/>
    </row>
    <row r="104" spans="1:37" ht="12.75">
      <c r="D104" s="49"/>
      <c r="E104" s="49"/>
      <c r="F104" s="49"/>
      <c r="W104" s="59"/>
    </row>
    <row r="105" spans="1:37" ht="12.75">
      <c r="D105" s="49"/>
      <c r="E105" s="49"/>
      <c r="F105" s="49"/>
      <c r="W105" s="59"/>
    </row>
    <row r="106" spans="1:37" ht="12.75">
      <c r="D106" s="49"/>
      <c r="E106" s="49"/>
      <c r="F106" s="49"/>
      <c r="W106" s="59"/>
    </row>
    <row r="107" spans="1:37" ht="12.75">
      <c r="D107" s="49"/>
      <c r="E107" s="49"/>
      <c r="F107" s="49"/>
      <c r="W107" s="59"/>
    </row>
    <row r="108" spans="1:37" ht="12.75">
      <c r="D108" s="49"/>
      <c r="E108" s="49"/>
      <c r="F108" s="49"/>
      <c r="W108" s="59"/>
    </row>
    <row r="109" spans="1:37" ht="12.75">
      <c r="D109" s="49"/>
      <c r="E109" s="49"/>
      <c r="F109" s="49"/>
      <c r="W109" s="59"/>
    </row>
    <row r="110" spans="1:37" ht="12.75">
      <c r="D110" s="49"/>
      <c r="E110" s="49"/>
      <c r="F110" s="49"/>
      <c r="W110" s="59"/>
    </row>
    <row r="111" spans="1:37" ht="12.75">
      <c r="D111" s="49"/>
      <c r="E111" s="49"/>
      <c r="F111" s="49"/>
      <c r="W111" s="59"/>
    </row>
    <row r="112" spans="1:37" ht="12.75">
      <c r="D112" s="49"/>
      <c r="E112" s="49"/>
      <c r="F112" s="49"/>
      <c r="W112" s="59"/>
    </row>
    <row r="113" spans="4:23" ht="12.75">
      <c r="D113" s="49"/>
      <c r="E113" s="49"/>
      <c r="F113" s="49"/>
      <c r="W113" s="59"/>
    </row>
    <row r="114" spans="4:23" ht="12.75">
      <c r="D114" s="49"/>
      <c r="E114" s="49"/>
      <c r="F114" s="49"/>
      <c r="W114" s="59"/>
    </row>
    <row r="115" spans="4:23" ht="12.75">
      <c r="D115" s="49"/>
      <c r="E115" s="49"/>
      <c r="F115" s="49"/>
      <c r="W115" s="59"/>
    </row>
    <row r="116" spans="4:23" ht="12.75">
      <c r="D116" s="49"/>
      <c r="E116" s="49"/>
      <c r="F116" s="49"/>
      <c r="W116" s="59"/>
    </row>
    <row r="117" spans="4:23" ht="12.75">
      <c r="D117" s="49"/>
      <c r="E117" s="49"/>
      <c r="F117" s="49"/>
      <c r="W117" s="59"/>
    </row>
    <row r="118" spans="4:23" ht="12.75">
      <c r="D118" s="49"/>
      <c r="E118" s="49"/>
      <c r="F118" s="49"/>
      <c r="W118" s="59"/>
    </row>
    <row r="119" spans="4:23" ht="12.75">
      <c r="D119" s="49"/>
      <c r="E119" s="49"/>
      <c r="F119" s="49"/>
      <c r="W119" s="59"/>
    </row>
    <row r="120" spans="4:23" ht="12.75">
      <c r="D120" s="49"/>
      <c r="E120" s="49"/>
      <c r="F120" s="49"/>
      <c r="W120" s="59"/>
    </row>
    <row r="121" spans="4:23" ht="12.75">
      <c r="D121" s="49"/>
      <c r="E121" s="49"/>
      <c r="F121" s="49"/>
      <c r="W121" s="59"/>
    </row>
    <row r="122" spans="4:23" ht="12.75">
      <c r="D122" s="49"/>
      <c r="E122" s="49"/>
      <c r="F122" s="49"/>
      <c r="W122" s="59"/>
    </row>
    <row r="123" spans="4:23" ht="12.75">
      <c r="D123" s="49"/>
      <c r="E123" s="49"/>
      <c r="F123" s="49"/>
      <c r="W123" s="59"/>
    </row>
    <row r="124" spans="4:23" ht="12.75">
      <c r="D124" s="49"/>
      <c r="E124" s="49"/>
      <c r="F124" s="49"/>
      <c r="W124" s="59"/>
    </row>
    <row r="125" spans="4:23" ht="12.75">
      <c r="D125" s="49"/>
      <c r="E125" s="49"/>
      <c r="F125" s="49"/>
      <c r="W125" s="59"/>
    </row>
    <row r="126" spans="4:23" ht="12.75">
      <c r="D126" s="49"/>
      <c r="E126" s="49"/>
      <c r="F126" s="49"/>
      <c r="W126" s="59"/>
    </row>
    <row r="127" spans="4:23" ht="12.75">
      <c r="D127" s="49"/>
      <c r="E127" s="49"/>
      <c r="F127" s="49"/>
      <c r="W127" s="59"/>
    </row>
    <row r="128" spans="4:23" ht="12.75">
      <c r="D128" s="49"/>
      <c r="E128" s="49"/>
      <c r="F128" s="49"/>
      <c r="W128" s="59"/>
    </row>
    <row r="129" spans="4:23" ht="12.75">
      <c r="D129" s="49"/>
      <c r="E129" s="49"/>
      <c r="F129" s="49"/>
      <c r="W129" s="59"/>
    </row>
    <row r="130" spans="4:23" ht="12.75">
      <c r="D130" s="49"/>
      <c r="E130" s="49"/>
      <c r="F130" s="49"/>
      <c r="W130" s="59"/>
    </row>
    <row r="131" spans="4:23" ht="12.75">
      <c r="D131" s="49"/>
      <c r="E131" s="49"/>
      <c r="F131" s="49"/>
      <c r="W131" s="59"/>
    </row>
    <row r="132" spans="4:23" ht="12.75">
      <c r="D132" s="49"/>
      <c r="E132" s="49"/>
      <c r="F132" s="49"/>
      <c r="W132" s="59"/>
    </row>
    <row r="133" spans="4:23" ht="12.75">
      <c r="D133" s="49"/>
      <c r="E133" s="49"/>
      <c r="F133" s="49"/>
      <c r="W133" s="59"/>
    </row>
    <row r="134" spans="4:23" ht="12.75">
      <c r="D134" s="49"/>
      <c r="E134" s="49"/>
      <c r="F134" s="49"/>
      <c r="W134" s="59"/>
    </row>
    <row r="135" spans="4:23" ht="12.75">
      <c r="D135" s="49"/>
      <c r="E135" s="49"/>
      <c r="F135" s="49"/>
      <c r="W135" s="59"/>
    </row>
    <row r="136" spans="4:23" ht="12.75">
      <c r="D136" s="49"/>
      <c r="E136" s="49"/>
      <c r="F136" s="49"/>
      <c r="W136" s="59"/>
    </row>
    <row r="137" spans="4:23" ht="12.75">
      <c r="D137" s="49"/>
      <c r="E137" s="49"/>
      <c r="F137" s="49"/>
      <c r="W137" s="59"/>
    </row>
    <row r="138" spans="4:23" ht="12.75">
      <c r="D138" s="49"/>
      <c r="E138" s="49"/>
      <c r="F138" s="49"/>
      <c r="W138" s="59"/>
    </row>
    <row r="139" spans="4:23" ht="12.75">
      <c r="D139" s="49"/>
      <c r="E139" s="49"/>
      <c r="F139" s="49"/>
      <c r="W139" s="59"/>
    </row>
    <row r="140" spans="4:23" ht="12.75">
      <c r="D140" s="49"/>
      <c r="E140" s="49"/>
      <c r="F140" s="49"/>
      <c r="W140" s="59"/>
    </row>
    <row r="141" spans="4:23" ht="12.75">
      <c r="D141" s="49"/>
      <c r="E141" s="49"/>
      <c r="F141" s="49"/>
      <c r="W141" s="59"/>
    </row>
    <row r="142" spans="4:23" ht="12.75">
      <c r="D142" s="49"/>
      <c r="E142" s="49"/>
      <c r="F142" s="49"/>
      <c r="W142" s="59"/>
    </row>
    <row r="143" spans="4:23" ht="12.75">
      <c r="D143" s="49"/>
      <c r="E143" s="49"/>
      <c r="F143" s="49"/>
      <c r="W143" s="59"/>
    </row>
    <row r="144" spans="4:23" ht="12.75">
      <c r="D144" s="49"/>
      <c r="E144" s="49"/>
      <c r="F144" s="49"/>
      <c r="W144" s="59"/>
    </row>
    <row r="145" spans="4:23" ht="12.75">
      <c r="D145" s="49"/>
      <c r="E145" s="49"/>
      <c r="F145" s="49"/>
      <c r="W145" s="59"/>
    </row>
    <row r="146" spans="4:23" ht="12.75">
      <c r="D146" s="49"/>
      <c r="E146" s="49"/>
      <c r="F146" s="49"/>
      <c r="W146" s="59"/>
    </row>
    <row r="147" spans="4:23" ht="12.75">
      <c r="D147" s="49"/>
      <c r="E147" s="49"/>
      <c r="F147" s="49"/>
      <c r="W147" s="59"/>
    </row>
    <row r="148" spans="4:23" ht="12.75">
      <c r="D148" s="49"/>
      <c r="E148" s="49"/>
      <c r="F148" s="49"/>
      <c r="W148" s="59"/>
    </row>
    <row r="149" spans="4:23" ht="12.75">
      <c r="D149" s="49"/>
      <c r="E149" s="49"/>
      <c r="F149" s="49"/>
      <c r="W149" s="59"/>
    </row>
    <row r="150" spans="4:23" ht="12.75">
      <c r="D150" s="49"/>
      <c r="E150" s="49"/>
      <c r="F150" s="49"/>
      <c r="W150" s="59"/>
    </row>
    <row r="151" spans="4:23" ht="12.75">
      <c r="D151" s="49"/>
      <c r="E151" s="49"/>
      <c r="F151" s="49"/>
      <c r="W151" s="59"/>
    </row>
    <row r="152" spans="4:23" ht="12.75">
      <c r="D152" s="49"/>
      <c r="E152" s="49"/>
      <c r="F152" s="49"/>
      <c r="W152" s="59"/>
    </row>
    <row r="153" spans="4:23" ht="12.75">
      <c r="D153" s="49"/>
      <c r="E153" s="49"/>
      <c r="F153" s="49"/>
      <c r="W153" s="59"/>
    </row>
    <row r="154" spans="4:23" ht="12.75">
      <c r="D154" s="49"/>
      <c r="E154" s="49"/>
      <c r="F154" s="49"/>
      <c r="W154" s="59"/>
    </row>
    <row r="155" spans="4:23" ht="12.75">
      <c r="D155" s="49"/>
      <c r="E155" s="49"/>
      <c r="F155" s="49"/>
      <c r="W155" s="59"/>
    </row>
    <row r="156" spans="4:23" ht="12.75">
      <c r="D156" s="49"/>
      <c r="E156" s="49"/>
      <c r="F156" s="49"/>
      <c r="W156" s="59"/>
    </row>
    <row r="157" spans="4:23" ht="12.75">
      <c r="D157" s="49"/>
      <c r="E157" s="49"/>
      <c r="F157" s="49"/>
      <c r="W157" s="59"/>
    </row>
    <row r="158" spans="4:23" ht="12.75">
      <c r="D158" s="49"/>
      <c r="E158" s="49"/>
      <c r="F158" s="49"/>
      <c r="W158" s="59"/>
    </row>
    <row r="159" spans="4:23" ht="12.75">
      <c r="D159" s="49"/>
      <c r="E159" s="49"/>
      <c r="F159" s="49"/>
      <c r="W159" s="59"/>
    </row>
    <row r="160" spans="4:23" ht="12.75">
      <c r="D160" s="49"/>
      <c r="E160" s="49"/>
      <c r="F160" s="49"/>
      <c r="W160" s="59"/>
    </row>
    <row r="161" spans="4:23" ht="12.75">
      <c r="D161" s="49"/>
      <c r="E161" s="49"/>
      <c r="F161" s="49"/>
      <c r="W161" s="59"/>
    </row>
    <row r="162" spans="4:23" ht="12.75">
      <c r="D162" s="49"/>
      <c r="E162" s="49"/>
      <c r="F162" s="49"/>
      <c r="W162" s="59"/>
    </row>
    <row r="163" spans="4:23" ht="12.75">
      <c r="D163" s="49"/>
      <c r="E163" s="49"/>
      <c r="F163" s="49"/>
      <c r="W163" s="59"/>
    </row>
    <row r="164" spans="4:23" ht="12.75">
      <c r="D164" s="49"/>
      <c r="E164" s="49"/>
      <c r="F164" s="49"/>
      <c r="W164" s="59"/>
    </row>
    <row r="165" spans="4:23" ht="12.75">
      <c r="D165" s="49"/>
      <c r="E165" s="49"/>
      <c r="F165" s="49"/>
      <c r="W165" s="59"/>
    </row>
    <row r="166" spans="4:23" ht="12.75">
      <c r="D166" s="49"/>
      <c r="E166" s="49"/>
      <c r="F166" s="49"/>
      <c r="W166" s="59"/>
    </row>
    <row r="167" spans="4:23" ht="12.75">
      <c r="D167" s="49"/>
      <c r="E167" s="49"/>
      <c r="F167" s="49"/>
      <c r="W167" s="59"/>
    </row>
    <row r="168" spans="4:23" ht="12.75">
      <c r="D168" s="49"/>
      <c r="E168" s="49"/>
      <c r="F168" s="49"/>
      <c r="W168" s="59"/>
    </row>
    <row r="169" spans="4:23" ht="12.75">
      <c r="D169" s="49"/>
      <c r="E169" s="49"/>
      <c r="F169" s="49"/>
      <c r="W169" s="59"/>
    </row>
    <row r="170" spans="4:23" ht="12.75">
      <c r="D170" s="49"/>
      <c r="E170" s="49"/>
      <c r="F170" s="49"/>
      <c r="W170" s="59"/>
    </row>
    <row r="171" spans="4:23" ht="12.75">
      <c r="D171" s="49"/>
      <c r="E171" s="49"/>
      <c r="F171" s="49"/>
      <c r="W171" s="59"/>
    </row>
    <row r="172" spans="4:23" ht="12.75">
      <c r="D172" s="49"/>
      <c r="E172" s="49"/>
      <c r="F172" s="49"/>
      <c r="W172" s="59"/>
    </row>
    <row r="173" spans="4:23" ht="12.75">
      <c r="D173" s="49"/>
      <c r="E173" s="49"/>
      <c r="F173" s="49"/>
      <c r="W173" s="59"/>
    </row>
    <row r="174" spans="4:23" ht="12.75">
      <c r="D174" s="49"/>
      <c r="E174" s="49"/>
      <c r="F174" s="49"/>
      <c r="W174" s="59"/>
    </row>
    <row r="175" spans="4:23" ht="12.75">
      <c r="D175" s="49"/>
      <c r="E175" s="49"/>
      <c r="F175" s="49"/>
      <c r="W175" s="59"/>
    </row>
    <row r="176" spans="4:23" ht="12.75">
      <c r="D176" s="49"/>
      <c r="E176" s="49"/>
      <c r="F176" s="49"/>
      <c r="W176" s="59"/>
    </row>
    <row r="177" spans="4:23" ht="12.75">
      <c r="D177" s="49"/>
      <c r="E177" s="49"/>
      <c r="F177" s="49"/>
      <c r="W177" s="59"/>
    </row>
    <row r="178" spans="4:23" ht="12.75">
      <c r="D178" s="49"/>
      <c r="E178" s="49"/>
      <c r="F178" s="49"/>
      <c r="W178" s="59"/>
    </row>
    <row r="179" spans="4:23" ht="12.75">
      <c r="D179" s="49"/>
      <c r="E179" s="49"/>
      <c r="F179" s="49"/>
      <c r="W179" s="59"/>
    </row>
    <row r="180" spans="4:23" ht="12.75">
      <c r="D180" s="49"/>
      <c r="E180" s="49"/>
      <c r="F180" s="49"/>
      <c r="W180" s="59"/>
    </row>
    <row r="181" spans="4:23" ht="12.75">
      <c r="D181" s="49"/>
      <c r="E181" s="49"/>
      <c r="F181" s="49"/>
      <c r="W181" s="59"/>
    </row>
    <row r="182" spans="4:23" ht="12.75">
      <c r="D182" s="49"/>
      <c r="E182" s="49"/>
      <c r="F182" s="49"/>
      <c r="W182" s="59"/>
    </row>
    <row r="183" spans="4:23" ht="12.75">
      <c r="D183" s="49"/>
      <c r="E183" s="49"/>
      <c r="F183" s="49"/>
      <c r="W183" s="59"/>
    </row>
    <row r="184" spans="4:23" ht="12.75">
      <c r="D184" s="49"/>
      <c r="E184" s="49"/>
      <c r="F184" s="49"/>
      <c r="W184" s="59"/>
    </row>
    <row r="185" spans="4:23" ht="12.75">
      <c r="D185" s="49"/>
      <c r="E185" s="49"/>
      <c r="F185" s="49"/>
      <c r="W185" s="59"/>
    </row>
    <row r="186" spans="4:23" ht="12.75">
      <c r="D186" s="49"/>
      <c r="E186" s="49"/>
      <c r="F186" s="49"/>
      <c r="W186" s="59"/>
    </row>
    <row r="187" spans="4:23" ht="12.75">
      <c r="D187" s="49"/>
      <c r="E187" s="49"/>
      <c r="F187" s="49"/>
      <c r="W187" s="59"/>
    </row>
    <row r="188" spans="4:23" ht="12.75">
      <c r="D188" s="49"/>
      <c r="E188" s="49"/>
      <c r="F188" s="49"/>
      <c r="W188" s="59"/>
    </row>
    <row r="189" spans="4:23" ht="12.75">
      <c r="D189" s="49"/>
      <c r="E189" s="49"/>
      <c r="F189" s="49"/>
      <c r="W189" s="59"/>
    </row>
    <row r="190" spans="4:23" ht="12.75">
      <c r="D190" s="49"/>
      <c r="E190" s="49"/>
      <c r="F190" s="49"/>
      <c r="W190" s="59"/>
    </row>
    <row r="191" spans="4:23" ht="12.75">
      <c r="D191" s="49"/>
      <c r="E191" s="49"/>
      <c r="F191" s="49"/>
      <c r="W191" s="59"/>
    </row>
    <row r="192" spans="4:23" ht="12.75">
      <c r="D192" s="49"/>
      <c r="E192" s="49"/>
      <c r="F192" s="49"/>
      <c r="W192" s="59"/>
    </row>
    <row r="193" spans="4:23" ht="12.75">
      <c r="D193" s="49"/>
      <c r="E193" s="49"/>
      <c r="F193" s="49"/>
      <c r="W193" s="59"/>
    </row>
    <row r="194" spans="4:23" ht="12.75">
      <c r="D194" s="49"/>
      <c r="E194" s="49"/>
      <c r="F194" s="49"/>
      <c r="W194" s="59"/>
    </row>
    <row r="195" spans="4:23" ht="12.75">
      <c r="D195" s="49"/>
      <c r="E195" s="49"/>
      <c r="F195" s="49"/>
      <c r="W195" s="59"/>
    </row>
    <row r="196" spans="4:23" ht="12.75">
      <c r="D196" s="49"/>
      <c r="E196" s="49"/>
      <c r="F196" s="49"/>
      <c r="W196" s="59"/>
    </row>
    <row r="197" spans="4:23" ht="12.75">
      <c r="D197" s="49"/>
      <c r="E197" s="49"/>
      <c r="F197" s="49"/>
      <c r="W197" s="59"/>
    </row>
    <row r="198" spans="4:23" ht="12.75">
      <c r="D198" s="49"/>
      <c r="E198" s="49"/>
      <c r="F198" s="49"/>
      <c r="W198" s="59"/>
    </row>
    <row r="199" spans="4:23" ht="12.75">
      <c r="D199" s="49"/>
      <c r="E199" s="49"/>
      <c r="F199" s="49"/>
      <c r="W199" s="59"/>
    </row>
    <row r="200" spans="4:23" ht="12.75">
      <c r="D200" s="49"/>
      <c r="E200" s="49"/>
      <c r="F200" s="49"/>
      <c r="W200" s="59"/>
    </row>
    <row r="201" spans="4:23" ht="12.75">
      <c r="D201" s="49"/>
      <c r="E201" s="49"/>
      <c r="F201" s="49"/>
      <c r="W201" s="59"/>
    </row>
    <row r="202" spans="4:23" ht="12.75">
      <c r="D202" s="49"/>
      <c r="E202" s="49"/>
      <c r="F202" s="49"/>
      <c r="W202" s="59"/>
    </row>
    <row r="203" spans="4:23" ht="12.75">
      <c r="D203" s="49"/>
      <c r="E203" s="49"/>
      <c r="F203" s="49"/>
      <c r="W203" s="59"/>
    </row>
    <row r="204" spans="4:23" ht="12.75">
      <c r="D204" s="49"/>
      <c r="E204" s="49"/>
      <c r="F204" s="49"/>
      <c r="W204" s="59"/>
    </row>
    <row r="205" spans="4:23" ht="12.75">
      <c r="D205" s="49"/>
      <c r="E205" s="49"/>
      <c r="F205" s="49"/>
      <c r="W205" s="59"/>
    </row>
    <row r="206" spans="4:23" ht="12.75">
      <c r="D206" s="49"/>
      <c r="E206" s="49"/>
      <c r="F206" s="49"/>
      <c r="W206" s="59"/>
    </row>
    <row r="207" spans="4:23" ht="12.75">
      <c r="D207" s="49"/>
      <c r="E207" s="49"/>
      <c r="F207" s="49"/>
      <c r="W207" s="59"/>
    </row>
    <row r="208" spans="4:23" ht="12.75">
      <c r="D208" s="49"/>
      <c r="E208" s="49"/>
      <c r="F208" s="49"/>
      <c r="W208" s="59"/>
    </row>
    <row r="209" spans="4:23" ht="12.75">
      <c r="D209" s="49"/>
      <c r="E209" s="49"/>
      <c r="F209" s="49"/>
      <c r="W209" s="59"/>
    </row>
    <row r="210" spans="4:23" ht="12.75">
      <c r="D210" s="49"/>
      <c r="E210" s="49"/>
      <c r="F210" s="49"/>
      <c r="W210" s="59"/>
    </row>
    <row r="211" spans="4:23" ht="12.75">
      <c r="D211" s="49"/>
      <c r="E211" s="49"/>
      <c r="F211" s="49"/>
      <c r="W211" s="59"/>
    </row>
    <row r="212" spans="4:23" ht="12.75">
      <c r="D212" s="49"/>
      <c r="E212" s="49"/>
      <c r="F212" s="49"/>
      <c r="W212" s="59"/>
    </row>
    <row r="213" spans="4:23" ht="12.75">
      <c r="D213" s="49"/>
      <c r="E213" s="49"/>
      <c r="F213" s="49"/>
      <c r="W213" s="59"/>
    </row>
    <row r="214" spans="4:23" ht="12.75">
      <c r="D214" s="49"/>
      <c r="E214" s="49"/>
      <c r="F214" s="49"/>
      <c r="W214" s="59"/>
    </row>
    <row r="215" spans="4:23" ht="12.75">
      <c r="D215" s="49"/>
      <c r="E215" s="49"/>
      <c r="F215" s="49"/>
      <c r="W215" s="59"/>
    </row>
    <row r="216" spans="4:23" ht="12.75">
      <c r="D216" s="49"/>
      <c r="E216" s="49"/>
      <c r="F216" s="49"/>
      <c r="W216" s="59"/>
    </row>
    <row r="217" spans="4:23" ht="12.75">
      <c r="D217" s="49"/>
      <c r="E217" s="49"/>
      <c r="F217" s="49"/>
      <c r="W217" s="59"/>
    </row>
    <row r="218" spans="4:23" ht="12.75">
      <c r="D218" s="49"/>
      <c r="E218" s="49"/>
      <c r="F218" s="49"/>
      <c r="W218" s="59"/>
    </row>
    <row r="219" spans="4:23" ht="12.75">
      <c r="D219" s="49"/>
      <c r="E219" s="49"/>
      <c r="F219" s="49"/>
      <c r="W219" s="59"/>
    </row>
    <row r="220" spans="4:23" ht="12.75">
      <c r="D220" s="49"/>
      <c r="E220" s="49"/>
      <c r="F220" s="49"/>
      <c r="W220" s="59"/>
    </row>
    <row r="221" spans="4:23" ht="12.75">
      <c r="D221" s="49"/>
      <c r="E221" s="49"/>
      <c r="F221" s="49"/>
      <c r="W221" s="59"/>
    </row>
    <row r="222" spans="4:23" ht="12.75">
      <c r="D222" s="49"/>
      <c r="E222" s="49"/>
      <c r="F222" s="49"/>
      <c r="W222" s="59"/>
    </row>
    <row r="223" spans="4:23" ht="12.75">
      <c r="D223" s="49"/>
      <c r="E223" s="49"/>
      <c r="F223" s="49"/>
      <c r="W223" s="59"/>
    </row>
    <row r="224" spans="4:23" ht="12.75">
      <c r="D224" s="49"/>
      <c r="E224" s="49"/>
      <c r="F224" s="49"/>
      <c r="W224" s="59"/>
    </row>
    <row r="225" spans="4:23" ht="12.75">
      <c r="D225" s="49"/>
      <c r="E225" s="49"/>
      <c r="F225" s="49"/>
      <c r="W225" s="59"/>
    </row>
    <row r="226" spans="4:23" ht="12.75">
      <c r="D226" s="49"/>
      <c r="E226" s="49"/>
      <c r="F226" s="49"/>
      <c r="W226" s="59"/>
    </row>
    <row r="227" spans="4:23" ht="12.75">
      <c r="D227" s="49"/>
      <c r="E227" s="49"/>
      <c r="F227" s="49"/>
      <c r="W227" s="59"/>
    </row>
    <row r="228" spans="4:23" ht="12.75">
      <c r="D228" s="49"/>
      <c r="E228" s="49"/>
      <c r="F228" s="49"/>
      <c r="W228" s="59"/>
    </row>
    <row r="229" spans="4:23" ht="12.75">
      <c r="D229" s="49"/>
      <c r="E229" s="49"/>
      <c r="F229" s="49"/>
      <c r="W229" s="59"/>
    </row>
    <row r="230" spans="4:23" ht="12.75">
      <c r="D230" s="49"/>
      <c r="E230" s="49"/>
      <c r="F230" s="49"/>
      <c r="W230" s="59"/>
    </row>
    <row r="231" spans="4:23" ht="12.75">
      <c r="D231" s="49"/>
      <c r="E231" s="49"/>
      <c r="F231" s="49"/>
      <c r="W231" s="59"/>
    </row>
    <row r="232" spans="4:23" ht="12.75">
      <c r="D232" s="49"/>
      <c r="E232" s="49"/>
      <c r="F232" s="49"/>
      <c r="W232" s="59"/>
    </row>
    <row r="233" spans="4:23" ht="12.75">
      <c r="D233" s="49"/>
      <c r="E233" s="49"/>
      <c r="F233" s="49"/>
      <c r="W233" s="59"/>
    </row>
    <row r="234" spans="4:23" ht="12.75">
      <c r="D234" s="49"/>
      <c r="E234" s="49"/>
      <c r="F234" s="49"/>
      <c r="W234" s="59"/>
    </row>
    <row r="235" spans="4:23" ht="12.75">
      <c r="D235" s="49"/>
      <c r="E235" s="49"/>
      <c r="F235" s="49"/>
      <c r="W235" s="59"/>
    </row>
    <row r="236" spans="4:23" ht="12.75">
      <c r="D236" s="49"/>
      <c r="E236" s="49"/>
      <c r="F236" s="49"/>
      <c r="W236" s="59"/>
    </row>
    <row r="237" spans="4:23" ht="12.75">
      <c r="D237" s="49"/>
      <c r="E237" s="49"/>
      <c r="F237" s="49"/>
      <c r="W237" s="59"/>
    </row>
    <row r="238" spans="4:23" ht="12.75">
      <c r="D238" s="49"/>
      <c r="E238" s="49"/>
      <c r="F238" s="49"/>
      <c r="W238" s="59"/>
    </row>
    <row r="239" spans="4:23" ht="12.75">
      <c r="D239" s="49"/>
      <c r="E239" s="49"/>
      <c r="F239" s="49"/>
      <c r="W239" s="59"/>
    </row>
    <row r="240" spans="4:23" ht="12.75">
      <c r="D240" s="49"/>
      <c r="E240" s="49"/>
      <c r="F240" s="49"/>
      <c r="W240" s="59"/>
    </row>
    <row r="241" spans="4:23" ht="12.75">
      <c r="D241" s="49"/>
      <c r="E241" s="49"/>
      <c r="F241" s="49"/>
      <c r="W241" s="59"/>
    </row>
    <row r="242" spans="4:23" ht="12.75">
      <c r="D242" s="49"/>
      <c r="E242" s="49"/>
      <c r="F242" s="49"/>
      <c r="W242" s="59"/>
    </row>
    <row r="243" spans="4:23" ht="12.75">
      <c r="D243" s="49"/>
      <c r="E243" s="49"/>
      <c r="F243" s="49"/>
      <c r="W243" s="59"/>
    </row>
    <row r="244" spans="4:23" ht="12.75">
      <c r="D244" s="49"/>
      <c r="E244" s="49"/>
      <c r="F244" s="49"/>
      <c r="W244" s="59"/>
    </row>
    <row r="245" spans="4:23" ht="12.75">
      <c r="D245" s="49"/>
      <c r="E245" s="49"/>
      <c r="F245" s="49"/>
      <c r="W245" s="59"/>
    </row>
    <row r="246" spans="4:23" ht="12.75">
      <c r="D246" s="49"/>
      <c r="E246" s="49"/>
      <c r="F246" s="49"/>
      <c r="W246" s="59"/>
    </row>
    <row r="247" spans="4:23" ht="12.75">
      <c r="D247" s="49"/>
      <c r="E247" s="49"/>
      <c r="F247" s="49"/>
      <c r="W247" s="59"/>
    </row>
    <row r="248" spans="4:23" ht="12.75">
      <c r="D248" s="49"/>
      <c r="E248" s="49"/>
      <c r="F248" s="49"/>
      <c r="W248" s="59"/>
    </row>
    <row r="249" spans="4:23" ht="12.75">
      <c r="D249" s="49"/>
      <c r="E249" s="49"/>
      <c r="F249" s="49"/>
      <c r="W249" s="59"/>
    </row>
    <row r="250" spans="4:23" ht="12.75">
      <c r="D250" s="49"/>
      <c r="E250" s="49"/>
      <c r="F250" s="49"/>
      <c r="W250" s="59"/>
    </row>
    <row r="251" spans="4:23" ht="12.75">
      <c r="D251" s="49"/>
      <c r="E251" s="49"/>
      <c r="F251" s="49"/>
      <c r="W251" s="59"/>
    </row>
    <row r="252" spans="4:23" ht="12.75">
      <c r="D252" s="49"/>
      <c r="E252" s="49"/>
      <c r="F252" s="49"/>
      <c r="W252" s="59"/>
    </row>
    <row r="253" spans="4:23" ht="12.75">
      <c r="D253" s="49"/>
      <c r="E253" s="49"/>
      <c r="F253" s="49"/>
      <c r="W253" s="59"/>
    </row>
    <row r="254" spans="4:23" ht="12.75">
      <c r="D254" s="49"/>
      <c r="E254" s="49"/>
      <c r="F254" s="49"/>
      <c r="W254" s="59"/>
    </row>
    <row r="255" spans="4:23" ht="12.75">
      <c r="D255" s="49"/>
      <c r="E255" s="49"/>
      <c r="F255" s="49"/>
      <c r="W255" s="59"/>
    </row>
    <row r="256" spans="4:23" ht="12.75">
      <c r="D256" s="49"/>
      <c r="E256" s="49"/>
      <c r="F256" s="49"/>
      <c r="W256" s="59"/>
    </row>
    <row r="257" spans="4:23" ht="12.75">
      <c r="D257" s="49"/>
      <c r="E257" s="49"/>
      <c r="F257" s="49"/>
      <c r="W257" s="59"/>
    </row>
    <row r="258" spans="4:23" ht="12.75">
      <c r="D258" s="49"/>
      <c r="E258" s="49"/>
      <c r="F258" s="49"/>
      <c r="W258" s="59"/>
    </row>
    <row r="259" spans="4:23" ht="12.75">
      <c r="D259" s="49"/>
      <c r="E259" s="49"/>
      <c r="F259" s="49"/>
      <c r="W259" s="59"/>
    </row>
    <row r="260" spans="4:23" ht="12.75">
      <c r="D260" s="49"/>
      <c r="E260" s="49"/>
      <c r="F260" s="49"/>
      <c r="W260" s="59"/>
    </row>
    <row r="261" spans="4:23" ht="12.75">
      <c r="D261" s="49"/>
      <c r="E261" s="49"/>
      <c r="F261" s="49"/>
      <c r="W261" s="59"/>
    </row>
    <row r="262" spans="4:23" ht="12.75">
      <c r="D262" s="49"/>
      <c r="E262" s="49"/>
      <c r="F262" s="49"/>
      <c r="W262" s="59"/>
    </row>
    <row r="263" spans="4:23" ht="12.75">
      <c r="D263" s="49"/>
      <c r="E263" s="49"/>
      <c r="F263" s="49"/>
      <c r="W263" s="59"/>
    </row>
    <row r="264" spans="4:23" ht="12.75">
      <c r="D264" s="49"/>
      <c r="E264" s="49"/>
      <c r="F264" s="49"/>
      <c r="W264" s="59"/>
    </row>
    <row r="265" spans="4:23" ht="12.75">
      <c r="D265" s="49"/>
      <c r="E265" s="49"/>
      <c r="F265" s="49"/>
      <c r="W265" s="59"/>
    </row>
    <row r="266" spans="4:23" ht="12.75">
      <c r="D266" s="49"/>
      <c r="E266" s="49"/>
      <c r="F266" s="49"/>
      <c r="W266" s="59"/>
    </row>
    <row r="267" spans="4:23" ht="12.75">
      <c r="D267" s="49"/>
      <c r="E267" s="49"/>
      <c r="F267" s="49"/>
      <c r="W267" s="59"/>
    </row>
    <row r="268" spans="4:23" ht="12.75">
      <c r="D268" s="49"/>
      <c r="E268" s="49"/>
      <c r="F268" s="49"/>
      <c r="W268" s="59"/>
    </row>
    <row r="269" spans="4:23" ht="12.75">
      <c r="D269" s="49"/>
      <c r="E269" s="49"/>
      <c r="F269" s="49"/>
      <c r="W269" s="59"/>
    </row>
    <row r="270" spans="4:23" ht="12.75">
      <c r="D270" s="49"/>
      <c r="E270" s="49"/>
      <c r="F270" s="49"/>
      <c r="W270" s="59"/>
    </row>
    <row r="271" spans="4:23" ht="12.75">
      <c r="D271" s="49"/>
      <c r="E271" s="49"/>
      <c r="F271" s="49"/>
      <c r="W271" s="59"/>
    </row>
    <row r="272" spans="4:23" ht="12.75">
      <c r="D272" s="49"/>
      <c r="E272" s="49"/>
      <c r="F272" s="49"/>
      <c r="W272" s="59"/>
    </row>
    <row r="273" spans="4:23" ht="12.75">
      <c r="D273" s="49"/>
      <c r="E273" s="49"/>
      <c r="F273" s="49"/>
      <c r="W273" s="59"/>
    </row>
    <row r="274" spans="4:23" ht="12.75">
      <c r="D274" s="49"/>
      <c r="E274" s="49"/>
      <c r="F274" s="49"/>
      <c r="W274" s="59"/>
    </row>
    <row r="275" spans="4:23" ht="12.75">
      <c r="D275" s="49"/>
      <c r="E275" s="49"/>
      <c r="F275" s="49"/>
      <c r="W275" s="59"/>
    </row>
    <row r="276" spans="4:23" ht="12.75">
      <c r="D276" s="49"/>
      <c r="E276" s="49"/>
      <c r="F276" s="49"/>
      <c r="W276" s="59"/>
    </row>
    <row r="277" spans="4:23" ht="12.75">
      <c r="D277" s="49"/>
      <c r="E277" s="49"/>
      <c r="F277" s="49"/>
      <c r="W277" s="59"/>
    </row>
    <row r="278" spans="4:23" ht="12.75">
      <c r="D278" s="49"/>
      <c r="E278" s="49"/>
      <c r="F278" s="49"/>
      <c r="W278" s="59"/>
    </row>
    <row r="279" spans="4:23" ht="12.75">
      <c r="D279" s="49"/>
      <c r="E279" s="49"/>
      <c r="F279" s="49"/>
      <c r="W279" s="59"/>
    </row>
    <row r="280" spans="4:23" ht="12.75">
      <c r="D280" s="49"/>
      <c r="E280" s="49"/>
      <c r="F280" s="49"/>
      <c r="W280" s="59"/>
    </row>
    <row r="281" spans="4:23" ht="12.75">
      <c r="D281" s="49"/>
      <c r="E281" s="49"/>
      <c r="F281" s="49"/>
      <c r="W281" s="59"/>
    </row>
    <row r="282" spans="4:23" ht="12.75">
      <c r="D282" s="49"/>
      <c r="E282" s="49"/>
      <c r="F282" s="49"/>
      <c r="W282" s="59"/>
    </row>
    <row r="283" spans="4:23" ht="12.75">
      <c r="D283" s="49"/>
      <c r="E283" s="49"/>
      <c r="F283" s="49"/>
      <c r="W283" s="59"/>
    </row>
    <row r="284" spans="4:23" ht="12.75">
      <c r="D284" s="49"/>
      <c r="E284" s="49"/>
      <c r="F284" s="49"/>
      <c r="W284" s="59"/>
    </row>
    <row r="285" spans="4:23" ht="12.75">
      <c r="D285" s="49"/>
      <c r="E285" s="49"/>
      <c r="F285" s="49"/>
      <c r="W285" s="59"/>
    </row>
    <row r="286" spans="4:23" ht="12.75">
      <c r="D286" s="49"/>
      <c r="E286" s="49"/>
      <c r="F286" s="49"/>
      <c r="W286" s="59"/>
    </row>
    <row r="287" spans="4:23" ht="12.75">
      <c r="D287" s="49"/>
      <c r="E287" s="49"/>
      <c r="F287" s="49"/>
      <c r="W287" s="59"/>
    </row>
    <row r="288" spans="4:23" ht="12.75">
      <c r="D288" s="49"/>
      <c r="E288" s="49"/>
      <c r="F288" s="49"/>
      <c r="W288" s="59"/>
    </row>
    <row r="289" spans="4:23" ht="12.75">
      <c r="D289" s="49"/>
      <c r="E289" s="49"/>
      <c r="F289" s="49"/>
      <c r="W289" s="59"/>
    </row>
    <row r="290" spans="4:23" ht="12.75">
      <c r="D290" s="49"/>
      <c r="E290" s="49"/>
      <c r="F290" s="49"/>
      <c r="W290" s="59"/>
    </row>
    <row r="291" spans="4:23" ht="12.75">
      <c r="D291" s="49"/>
      <c r="E291" s="49"/>
      <c r="F291" s="49"/>
      <c r="W291" s="59"/>
    </row>
    <row r="292" spans="4:23" ht="12.75">
      <c r="D292" s="49"/>
      <c r="E292" s="49"/>
      <c r="F292" s="49"/>
      <c r="W292" s="59"/>
    </row>
    <row r="293" spans="4:23" ht="12.75">
      <c r="D293" s="49"/>
      <c r="E293" s="49"/>
      <c r="F293" s="49"/>
      <c r="W293" s="59"/>
    </row>
    <row r="294" spans="4:23" ht="12.75">
      <c r="D294" s="49"/>
      <c r="E294" s="49"/>
      <c r="F294" s="49"/>
      <c r="W294" s="59"/>
    </row>
    <row r="295" spans="4:23" ht="12.75">
      <c r="D295" s="49"/>
      <c r="E295" s="49"/>
      <c r="F295" s="49"/>
      <c r="W295" s="59"/>
    </row>
    <row r="296" spans="4:23" ht="12.75">
      <c r="D296" s="49"/>
      <c r="E296" s="49"/>
      <c r="F296" s="49"/>
      <c r="W296" s="59"/>
    </row>
    <row r="297" spans="4:23" ht="12.75">
      <c r="D297" s="49"/>
      <c r="E297" s="49"/>
      <c r="F297" s="49"/>
      <c r="W297" s="59"/>
    </row>
    <row r="298" spans="4:23" ht="12.75">
      <c r="D298" s="49"/>
      <c r="E298" s="49"/>
      <c r="F298" s="49"/>
      <c r="W298" s="59"/>
    </row>
    <row r="299" spans="4:23" ht="12.75">
      <c r="D299" s="49"/>
      <c r="E299" s="49"/>
      <c r="F299" s="49"/>
      <c r="W299" s="59"/>
    </row>
    <row r="300" spans="4:23" ht="12.75">
      <c r="D300" s="49"/>
      <c r="E300" s="49"/>
      <c r="F300" s="49"/>
      <c r="W300" s="59"/>
    </row>
    <row r="301" spans="4:23" ht="12.75">
      <c r="D301" s="49"/>
      <c r="E301" s="49"/>
      <c r="F301" s="49"/>
      <c r="W301" s="59"/>
    </row>
    <row r="302" spans="4:23" ht="12.75">
      <c r="D302" s="49"/>
      <c r="E302" s="49"/>
      <c r="F302" s="49"/>
      <c r="W302" s="59"/>
    </row>
    <row r="303" spans="4:23" ht="12.75">
      <c r="D303" s="49"/>
      <c r="E303" s="49"/>
      <c r="F303" s="49"/>
      <c r="W303" s="59"/>
    </row>
    <row r="304" spans="4:23" ht="12.75">
      <c r="D304" s="49"/>
      <c r="E304" s="49"/>
      <c r="F304" s="49"/>
      <c r="W304" s="59"/>
    </row>
    <row r="305" spans="4:23" ht="12.75">
      <c r="D305" s="49"/>
      <c r="E305" s="49"/>
      <c r="F305" s="49"/>
      <c r="W305" s="59"/>
    </row>
    <row r="306" spans="4:23" ht="12.75">
      <c r="D306" s="49"/>
      <c r="E306" s="49"/>
      <c r="F306" s="49"/>
      <c r="W306" s="59"/>
    </row>
    <row r="307" spans="4:23" ht="12.75">
      <c r="D307" s="49"/>
      <c r="E307" s="49"/>
      <c r="F307" s="49"/>
      <c r="W307" s="59"/>
    </row>
    <row r="308" spans="4:23" ht="12.75">
      <c r="D308" s="49"/>
      <c r="E308" s="49"/>
      <c r="F308" s="49"/>
      <c r="W308" s="59"/>
    </row>
    <row r="309" spans="4:23" ht="12.75">
      <c r="D309" s="49"/>
      <c r="E309" s="49"/>
      <c r="F309" s="49"/>
      <c r="W309" s="59"/>
    </row>
    <row r="310" spans="4:23" ht="12.75">
      <c r="D310" s="49"/>
      <c r="E310" s="49"/>
      <c r="F310" s="49"/>
      <c r="W310" s="59"/>
    </row>
    <row r="311" spans="4:23" ht="12.75">
      <c r="D311" s="49"/>
      <c r="E311" s="49"/>
      <c r="F311" s="49"/>
      <c r="W311" s="59"/>
    </row>
    <row r="312" spans="4:23" ht="12.75">
      <c r="D312" s="49"/>
      <c r="E312" s="49"/>
      <c r="F312" s="49"/>
      <c r="W312" s="59"/>
    </row>
    <row r="313" spans="4:23" ht="12.75">
      <c r="D313" s="49"/>
      <c r="E313" s="49"/>
      <c r="F313" s="49"/>
      <c r="W313" s="59"/>
    </row>
    <row r="314" spans="4:23" ht="12.75">
      <c r="D314" s="49"/>
      <c r="E314" s="49"/>
      <c r="F314" s="49"/>
      <c r="W314" s="59"/>
    </row>
    <row r="315" spans="4:23" ht="12.75">
      <c r="D315" s="49"/>
      <c r="E315" s="49"/>
      <c r="F315" s="49"/>
      <c r="W315" s="59"/>
    </row>
    <row r="316" spans="4:23" ht="12.75">
      <c r="D316" s="49"/>
      <c r="E316" s="49"/>
      <c r="F316" s="49"/>
      <c r="W316" s="59"/>
    </row>
    <row r="317" spans="4:23" ht="12.75">
      <c r="D317" s="49"/>
      <c r="E317" s="49"/>
      <c r="F317" s="49"/>
      <c r="W317" s="59"/>
    </row>
    <row r="318" spans="4:23" ht="12.75">
      <c r="D318" s="49"/>
      <c r="E318" s="49"/>
      <c r="F318" s="49"/>
      <c r="W318" s="59"/>
    </row>
    <row r="319" spans="4:23" ht="12.75">
      <c r="D319" s="49"/>
      <c r="E319" s="49"/>
      <c r="F319" s="49"/>
      <c r="W319" s="59"/>
    </row>
    <row r="320" spans="4:23" ht="12.75">
      <c r="D320" s="49"/>
      <c r="E320" s="49"/>
      <c r="F320" s="49"/>
      <c r="W320" s="59"/>
    </row>
    <row r="321" spans="4:23" ht="12.75">
      <c r="D321" s="49"/>
      <c r="E321" s="49"/>
      <c r="F321" s="49"/>
      <c r="W321" s="59"/>
    </row>
    <row r="322" spans="4:23" ht="12.75">
      <c r="D322" s="49"/>
      <c r="E322" s="49"/>
      <c r="F322" s="49"/>
      <c r="W322" s="59"/>
    </row>
    <row r="323" spans="4:23" ht="12.75">
      <c r="D323" s="49"/>
      <c r="E323" s="49"/>
      <c r="F323" s="49"/>
      <c r="W323" s="59"/>
    </row>
    <row r="324" spans="4:23" ht="12.75">
      <c r="D324" s="49"/>
      <c r="E324" s="49"/>
      <c r="F324" s="49"/>
      <c r="W324" s="59"/>
    </row>
    <row r="325" spans="4:23" ht="12.75">
      <c r="D325" s="49"/>
      <c r="E325" s="49"/>
      <c r="F325" s="49"/>
      <c r="W325" s="59"/>
    </row>
    <row r="326" spans="4:23" ht="12.75">
      <c r="D326" s="49"/>
      <c r="E326" s="49"/>
      <c r="F326" s="49"/>
      <c r="W326" s="59"/>
    </row>
    <row r="327" spans="4:23" ht="12.75">
      <c r="D327" s="49"/>
      <c r="E327" s="49"/>
      <c r="F327" s="49"/>
      <c r="W327" s="59"/>
    </row>
    <row r="328" spans="4:23" ht="12.75">
      <c r="D328" s="49"/>
      <c r="E328" s="49"/>
      <c r="F328" s="49"/>
      <c r="W328" s="59"/>
    </row>
    <row r="329" spans="4:23" ht="12.75">
      <c r="D329" s="49"/>
      <c r="E329" s="49"/>
      <c r="F329" s="49"/>
      <c r="W329" s="59"/>
    </row>
    <row r="330" spans="4:23" ht="12.75">
      <c r="D330" s="49"/>
      <c r="E330" s="49"/>
      <c r="F330" s="49"/>
      <c r="W330" s="59"/>
    </row>
    <row r="331" spans="4:23" ht="12.75">
      <c r="D331" s="49"/>
      <c r="E331" s="49"/>
      <c r="F331" s="49"/>
      <c r="W331" s="59"/>
    </row>
    <row r="332" spans="4:23" ht="12.75">
      <c r="D332" s="49"/>
      <c r="E332" s="49"/>
      <c r="F332" s="49"/>
      <c r="W332" s="59"/>
    </row>
    <row r="333" spans="4:23" ht="12.75">
      <c r="D333" s="49"/>
      <c r="E333" s="49"/>
      <c r="F333" s="49"/>
      <c r="W333" s="59"/>
    </row>
    <row r="334" spans="4:23" ht="12.75">
      <c r="D334" s="49"/>
      <c r="E334" s="49"/>
      <c r="F334" s="49"/>
      <c r="W334" s="59"/>
    </row>
    <row r="335" spans="4:23" ht="12.75">
      <c r="D335" s="49"/>
      <c r="E335" s="49"/>
      <c r="F335" s="49"/>
      <c r="W335" s="59"/>
    </row>
    <row r="336" spans="4:23" ht="12.75">
      <c r="D336" s="49"/>
      <c r="E336" s="49"/>
      <c r="F336" s="49"/>
      <c r="W336" s="59"/>
    </row>
    <row r="337" spans="4:23" ht="12.75">
      <c r="D337" s="49"/>
      <c r="E337" s="49"/>
      <c r="F337" s="49"/>
      <c r="W337" s="59"/>
    </row>
    <row r="338" spans="4:23" ht="12.75">
      <c r="D338" s="49"/>
      <c r="E338" s="49"/>
      <c r="F338" s="49"/>
      <c r="W338" s="59"/>
    </row>
    <row r="339" spans="4:23" ht="12.75">
      <c r="D339" s="49"/>
      <c r="E339" s="49"/>
      <c r="F339" s="49"/>
      <c r="W339" s="59"/>
    </row>
    <row r="340" spans="4:23" ht="12.75">
      <c r="D340" s="49"/>
      <c r="E340" s="49"/>
      <c r="F340" s="49"/>
      <c r="W340" s="59"/>
    </row>
    <row r="341" spans="4:23" ht="12.75">
      <c r="D341" s="49"/>
      <c r="E341" s="49"/>
      <c r="F341" s="49"/>
      <c r="W341" s="59"/>
    </row>
    <row r="342" spans="4:23" ht="12.75">
      <c r="D342" s="49"/>
      <c r="E342" s="49"/>
      <c r="F342" s="49"/>
      <c r="W342" s="59"/>
    </row>
    <row r="343" spans="4:23" ht="12.75">
      <c r="D343" s="49"/>
      <c r="E343" s="49"/>
      <c r="F343" s="49"/>
      <c r="W343" s="59"/>
    </row>
    <row r="344" spans="4:23" ht="12.75">
      <c r="D344" s="49"/>
      <c r="E344" s="49"/>
      <c r="F344" s="49"/>
      <c r="W344" s="59"/>
    </row>
    <row r="345" spans="4:23" ht="12.75">
      <c r="D345" s="49"/>
      <c r="E345" s="49"/>
      <c r="F345" s="49"/>
      <c r="W345" s="59"/>
    </row>
    <row r="346" spans="4:23" ht="12.75">
      <c r="D346" s="49"/>
      <c r="E346" s="49"/>
      <c r="F346" s="49"/>
      <c r="W346" s="59"/>
    </row>
    <row r="347" spans="4:23" ht="12.75">
      <c r="D347" s="49"/>
      <c r="E347" s="49"/>
      <c r="F347" s="49"/>
      <c r="W347" s="59"/>
    </row>
    <row r="348" spans="4:23" ht="12.75">
      <c r="D348" s="49"/>
      <c r="E348" s="49"/>
      <c r="F348" s="49"/>
      <c r="W348" s="59"/>
    </row>
    <row r="349" spans="4:23" ht="12.75">
      <c r="D349" s="49"/>
      <c r="E349" s="49"/>
      <c r="F349" s="49"/>
      <c r="W349" s="59"/>
    </row>
    <row r="350" spans="4:23" ht="12.75">
      <c r="D350" s="49"/>
      <c r="E350" s="49"/>
      <c r="F350" s="49"/>
      <c r="W350" s="59"/>
    </row>
    <row r="351" spans="4:23" ht="12.75">
      <c r="D351" s="49"/>
      <c r="E351" s="49"/>
      <c r="F351" s="49"/>
      <c r="W351" s="59"/>
    </row>
    <row r="352" spans="4:23" ht="12.75">
      <c r="D352" s="49"/>
      <c r="E352" s="49"/>
      <c r="F352" s="49"/>
      <c r="W352" s="59"/>
    </row>
    <row r="353" spans="4:23" ht="12.75">
      <c r="D353" s="49"/>
      <c r="E353" s="49"/>
      <c r="F353" s="49"/>
      <c r="W353" s="59"/>
    </row>
    <row r="354" spans="4:23" ht="12.75">
      <c r="D354" s="49"/>
      <c r="E354" s="49"/>
      <c r="F354" s="49"/>
      <c r="W354" s="59"/>
    </row>
    <row r="355" spans="4:23" ht="12.75">
      <c r="D355" s="49"/>
      <c r="E355" s="49"/>
      <c r="F355" s="49"/>
      <c r="W355" s="59"/>
    </row>
    <row r="356" spans="4:23" ht="12.75">
      <c r="D356" s="49"/>
      <c r="E356" s="49"/>
      <c r="F356" s="49"/>
      <c r="W356" s="59"/>
    </row>
    <row r="357" spans="4:23" ht="12.75">
      <c r="D357" s="49"/>
      <c r="E357" s="49"/>
      <c r="F357" s="49"/>
      <c r="W357" s="59"/>
    </row>
    <row r="358" spans="4:23" ht="12.75">
      <c r="D358" s="49"/>
      <c r="E358" s="49"/>
      <c r="F358" s="49"/>
      <c r="W358" s="59"/>
    </row>
    <row r="359" spans="4:23" ht="12.75">
      <c r="D359" s="49"/>
      <c r="E359" s="49"/>
      <c r="F359" s="49"/>
      <c r="W359" s="59"/>
    </row>
    <row r="360" spans="4:23" ht="12.75">
      <c r="D360" s="49"/>
      <c r="E360" s="49"/>
      <c r="F360" s="49"/>
      <c r="W360" s="59"/>
    </row>
    <row r="361" spans="4:23" ht="12.75">
      <c r="D361" s="49"/>
      <c r="E361" s="49"/>
      <c r="F361" s="49"/>
      <c r="W361" s="59"/>
    </row>
    <row r="362" spans="4:23" ht="12.75">
      <c r="D362" s="49"/>
      <c r="E362" s="49"/>
      <c r="F362" s="49"/>
      <c r="W362" s="59"/>
    </row>
    <row r="363" spans="4:23" ht="12.75">
      <c r="D363" s="49"/>
      <c r="E363" s="49"/>
      <c r="F363" s="49"/>
      <c r="W363" s="59"/>
    </row>
    <row r="364" spans="4:23" ht="12.75">
      <c r="D364" s="49"/>
      <c r="E364" s="49"/>
      <c r="F364" s="49"/>
      <c r="W364" s="59"/>
    </row>
    <row r="365" spans="4:23" ht="12.75">
      <c r="D365" s="49"/>
      <c r="E365" s="49"/>
      <c r="F365" s="49"/>
      <c r="W365" s="59"/>
    </row>
    <row r="366" spans="4:23" ht="12.75">
      <c r="D366" s="49"/>
      <c r="E366" s="49"/>
      <c r="F366" s="49"/>
      <c r="W366" s="59"/>
    </row>
    <row r="367" spans="4:23" ht="12.75">
      <c r="D367" s="49"/>
      <c r="E367" s="49"/>
      <c r="F367" s="49"/>
      <c r="W367" s="59"/>
    </row>
    <row r="368" spans="4:23" ht="12.75">
      <c r="D368" s="49"/>
      <c r="E368" s="49"/>
      <c r="F368" s="49"/>
      <c r="W368" s="59"/>
    </row>
    <row r="369" spans="4:23" ht="12.75">
      <c r="D369" s="49"/>
      <c r="E369" s="49"/>
      <c r="F369" s="49"/>
      <c r="W369" s="59"/>
    </row>
    <row r="370" spans="4:23" ht="12.75">
      <c r="D370" s="49"/>
      <c r="E370" s="49"/>
      <c r="F370" s="49"/>
      <c r="W370" s="59"/>
    </row>
    <row r="371" spans="4:23" ht="12.75">
      <c r="D371" s="49"/>
      <c r="E371" s="49"/>
      <c r="F371" s="49"/>
      <c r="W371" s="59"/>
    </row>
    <row r="372" spans="4:23" ht="12.75">
      <c r="D372" s="49"/>
      <c r="E372" s="49"/>
      <c r="F372" s="49"/>
      <c r="W372" s="59"/>
    </row>
    <row r="373" spans="4:23" ht="12.75">
      <c r="D373" s="49"/>
      <c r="E373" s="49"/>
      <c r="F373" s="49"/>
      <c r="W373" s="59"/>
    </row>
    <row r="374" spans="4:23" ht="12.75">
      <c r="D374" s="49"/>
      <c r="E374" s="49"/>
      <c r="F374" s="49"/>
      <c r="W374" s="59"/>
    </row>
    <row r="375" spans="4:23" ht="12.75">
      <c r="D375" s="49"/>
      <c r="E375" s="49"/>
      <c r="F375" s="49"/>
      <c r="W375" s="59"/>
    </row>
    <row r="376" spans="4:23" ht="12.75">
      <c r="D376" s="49"/>
      <c r="E376" s="49"/>
      <c r="F376" s="49"/>
      <c r="W376" s="59"/>
    </row>
    <row r="377" spans="4:23" ht="12.75">
      <c r="D377" s="49"/>
      <c r="E377" s="49"/>
      <c r="F377" s="49"/>
      <c r="W377" s="59"/>
    </row>
    <row r="378" spans="4:23" ht="12.75">
      <c r="D378" s="49"/>
      <c r="E378" s="49"/>
      <c r="F378" s="49"/>
      <c r="W378" s="59"/>
    </row>
    <row r="379" spans="4:23" ht="12.75">
      <c r="D379" s="49"/>
      <c r="E379" s="49"/>
      <c r="F379" s="49"/>
      <c r="W379" s="59"/>
    </row>
    <row r="380" spans="4:23" ht="12.75">
      <c r="D380" s="49"/>
      <c r="E380" s="49"/>
      <c r="F380" s="49"/>
      <c r="W380" s="59"/>
    </row>
    <row r="381" spans="4:23" ht="12.75">
      <c r="D381" s="49"/>
      <c r="E381" s="49"/>
      <c r="F381" s="49"/>
      <c r="W381" s="59"/>
    </row>
    <row r="382" spans="4:23" ht="12.75">
      <c r="D382" s="49"/>
      <c r="E382" s="49"/>
      <c r="F382" s="49"/>
      <c r="W382" s="59"/>
    </row>
    <row r="383" spans="4:23" ht="12.75">
      <c r="D383" s="49"/>
      <c r="E383" s="49"/>
      <c r="F383" s="49"/>
      <c r="W383" s="59"/>
    </row>
    <row r="384" spans="4:23" ht="12.75">
      <c r="D384" s="49"/>
      <c r="E384" s="49"/>
      <c r="F384" s="49"/>
      <c r="W384" s="59"/>
    </row>
    <row r="385" spans="4:23" ht="12.75">
      <c r="D385" s="49"/>
      <c r="E385" s="49"/>
      <c r="F385" s="49"/>
      <c r="W385" s="59"/>
    </row>
    <row r="386" spans="4:23" ht="12.75">
      <c r="D386" s="49"/>
      <c r="E386" s="49"/>
      <c r="F386" s="49"/>
      <c r="W386" s="59"/>
    </row>
    <row r="387" spans="4:23" ht="12.75">
      <c r="D387" s="49"/>
      <c r="E387" s="49"/>
      <c r="F387" s="49"/>
      <c r="W387" s="59"/>
    </row>
    <row r="388" spans="4:23" ht="12.75">
      <c r="D388" s="49"/>
      <c r="E388" s="49"/>
      <c r="F388" s="49"/>
      <c r="W388" s="59"/>
    </row>
    <row r="389" spans="4:23" ht="12.75">
      <c r="D389" s="49"/>
      <c r="E389" s="49"/>
      <c r="F389" s="49"/>
      <c r="W389" s="59"/>
    </row>
    <row r="390" spans="4:23" ht="12.75">
      <c r="D390" s="49"/>
      <c r="E390" s="49"/>
      <c r="F390" s="49"/>
      <c r="W390" s="59"/>
    </row>
    <row r="391" spans="4:23" ht="12.75">
      <c r="D391" s="49"/>
      <c r="E391" s="49"/>
      <c r="F391" s="49"/>
      <c r="W391" s="59"/>
    </row>
    <row r="392" spans="4:23" ht="12.75">
      <c r="D392" s="49"/>
      <c r="E392" s="49"/>
      <c r="F392" s="49"/>
      <c r="W392" s="59"/>
    </row>
    <row r="393" spans="4:23" ht="12.75">
      <c r="D393" s="49"/>
      <c r="E393" s="49"/>
      <c r="F393" s="49"/>
      <c r="W393" s="59"/>
    </row>
    <row r="394" spans="4:23" ht="12.75">
      <c r="D394" s="49"/>
      <c r="E394" s="49"/>
      <c r="F394" s="49"/>
      <c r="W394" s="59"/>
    </row>
    <row r="395" spans="4:23" ht="12.75">
      <c r="D395" s="49"/>
      <c r="E395" s="49"/>
      <c r="F395" s="49"/>
      <c r="W395" s="59"/>
    </row>
    <row r="396" spans="4:23" ht="12.75">
      <c r="D396" s="49"/>
      <c r="E396" s="49"/>
      <c r="F396" s="49"/>
      <c r="W396" s="59"/>
    </row>
    <row r="397" spans="4:23" ht="12.75">
      <c r="D397" s="49"/>
      <c r="E397" s="49"/>
      <c r="F397" s="49"/>
      <c r="W397" s="59"/>
    </row>
    <row r="398" spans="4:23" ht="12.75">
      <c r="D398" s="49"/>
      <c r="E398" s="49"/>
      <c r="F398" s="49"/>
      <c r="W398" s="59"/>
    </row>
    <row r="399" spans="4:23" ht="12.75">
      <c r="D399" s="49"/>
      <c r="E399" s="49"/>
      <c r="F399" s="49"/>
      <c r="W399" s="59"/>
    </row>
    <row r="400" spans="4:23" ht="12.75">
      <c r="D400" s="49"/>
      <c r="E400" s="49"/>
      <c r="F400" s="49"/>
      <c r="W400" s="59"/>
    </row>
    <row r="401" spans="4:23" ht="12.75">
      <c r="D401" s="49"/>
      <c r="E401" s="49"/>
      <c r="F401" s="49"/>
      <c r="W401" s="59"/>
    </row>
    <row r="402" spans="4:23" ht="12.75">
      <c r="D402" s="49"/>
      <c r="E402" s="49"/>
      <c r="F402" s="49"/>
      <c r="W402" s="59"/>
    </row>
    <row r="403" spans="4:23" ht="12.75">
      <c r="D403" s="49"/>
      <c r="E403" s="49"/>
      <c r="F403" s="49"/>
      <c r="W403" s="59"/>
    </row>
    <row r="404" spans="4:23" ht="12.75">
      <c r="D404" s="49"/>
      <c r="E404" s="49"/>
      <c r="F404" s="49"/>
      <c r="W404" s="59"/>
    </row>
    <row r="405" spans="4:23" ht="12.75">
      <c r="D405" s="49"/>
      <c r="E405" s="49"/>
      <c r="F405" s="49"/>
      <c r="W405" s="59"/>
    </row>
    <row r="406" spans="4:23" ht="12.75">
      <c r="D406" s="49"/>
      <c r="E406" s="49"/>
      <c r="F406" s="49"/>
      <c r="W406" s="59"/>
    </row>
    <row r="407" spans="4:23" ht="12.75">
      <c r="D407" s="49"/>
      <c r="E407" s="49"/>
      <c r="F407" s="49"/>
      <c r="W407" s="59"/>
    </row>
    <row r="408" spans="4:23" ht="12.75">
      <c r="D408" s="49"/>
      <c r="E408" s="49"/>
      <c r="F408" s="49"/>
      <c r="W408" s="59"/>
    </row>
    <row r="409" spans="4:23" ht="12.75">
      <c r="D409" s="49"/>
      <c r="E409" s="49"/>
      <c r="F409" s="49"/>
      <c r="W409" s="59"/>
    </row>
    <row r="410" spans="4:23" ht="12.75">
      <c r="D410" s="49"/>
      <c r="E410" s="49"/>
      <c r="F410" s="49"/>
      <c r="W410" s="59"/>
    </row>
    <row r="411" spans="4:23" ht="12.75">
      <c r="D411" s="49"/>
      <c r="E411" s="49"/>
      <c r="F411" s="49"/>
      <c r="W411" s="59"/>
    </row>
    <row r="412" spans="4:23" ht="12.75">
      <c r="D412" s="49"/>
      <c r="E412" s="49"/>
      <c r="F412" s="49"/>
      <c r="W412" s="59"/>
    </row>
    <row r="413" spans="4:23" ht="12.75">
      <c r="D413" s="49"/>
      <c r="E413" s="49"/>
      <c r="F413" s="49"/>
      <c r="W413" s="59"/>
    </row>
    <row r="414" spans="4:23" ht="12.75">
      <c r="D414" s="49"/>
      <c r="E414" s="49"/>
      <c r="F414" s="49"/>
      <c r="W414" s="59"/>
    </row>
    <row r="415" spans="4:23" ht="12.75">
      <c r="D415" s="49"/>
      <c r="E415" s="49"/>
      <c r="F415" s="49"/>
      <c r="W415" s="59"/>
    </row>
    <row r="416" spans="4:23" ht="12.75">
      <c r="D416" s="49"/>
      <c r="E416" s="49"/>
      <c r="F416" s="49"/>
      <c r="W416" s="59"/>
    </row>
    <row r="417" spans="4:23" ht="12.75">
      <c r="D417" s="49"/>
      <c r="E417" s="49"/>
      <c r="F417" s="49"/>
      <c r="W417" s="59"/>
    </row>
    <row r="418" spans="4:23" ht="12.75">
      <c r="D418" s="49"/>
      <c r="E418" s="49"/>
      <c r="F418" s="49"/>
      <c r="W418" s="59"/>
    </row>
    <row r="419" spans="4:23" ht="12.75">
      <c r="D419" s="49"/>
      <c r="E419" s="49"/>
      <c r="F419" s="49"/>
      <c r="W419" s="59"/>
    </row>
    <row r="420" spans="4:23" ht="12.75">
      <c r="D420" s="49"/>
      <c r="E420" s="49"/>
      <c r="F420" s="49"/>
      <c r="W420" s="59"/>
    </row>
    <row r="421" spans="4:23" ht="12.75">
      <c r="D421" s="49"/>
      <c r="E421" s="49"/>
      <c r="F421" s="49"/>
      <c r="W421" s="59"/>
    </row>
    <row r="422" spans="4:23" ht="12.75">
      <c r="D422" s="49"/>
      <c r="E422" s="49"/>
      <c r="F422" s="49"/>
      <c r="W422" s="59"/>
    </row>
    <row r="423" spans="4:23" ht="12.75">
      <c r="D423" s="49"/>
      <c r="E423" s="49"/>
      <c r="F423" s="49"/>
      <c r="W423" s="59"/>
    </row>
    <row r="424" spans="4:23" ht="12.75">
      <c r="D424" s="49"/>
      <c r="E424" s="49"/>
      <c r="F424" s="49"/>
      <c r="W424" s="59"/>
    </row>
    <row r="425" spans="4:23" ht="12.75">
      <c r="D425" s="49"/>
      <c r="E425" s="49"/>
      <c r="F425" s="49"/>
      <c r="W425" s="59"/>
    </row>
    <row r="426" spans="4:23" ht="12.75">
      <c r="D426" s="49"/>
      <c r="E426" s="49"/>
      <c r="F426" s="49"/>
      <c r="W426" s="59"/>
    </row>
    <row r="427" spans="4:23" ht="12.75">
      <c r="D427" s="49"/>
      <c r="E427" s="49"/>
      <c r="F427" s="49"/>
      <c r="W427" s="59"/>
    </row>
    <row r="428" spans="4:23" ht="12.75">
      <c r="D428" s="49"/>
      <c r="E428" s="49"/>
      <c r="F428" s="49"/>
      <c r="W428" s="59"/>
    </row>
    <row r="429" spans="4:23" ht="12.75">
      <c r="D429" s="49"/>
      <c r="E429" s="49"/>
      <c r="F429" s="49"/>
      <c r="W429" s="59"/>
    </row>
    <row r="430" spans="4:23" ht="12.75">
      <c r="D430" s="49"/>
      <c r="E430" s="49"/>
      <c r="F430" s="49"/>
      <c r="W430" s="59"/>
    </row>
    <row r="431" spans="4:23" ht="12.75">
      <c r="D431" s="49"/>
      <c r="E431" s="49"/>
      <c r="F431" s="49"/>
      <c r="W431" s="59"/>
    </row>
    <row r="432" spans="4:23" ht="12.75">
      <c r="D432" s="49"/>
      <c r="E432" s="49"/>
      <c r="F432" s="49"/>
      <c r="W432" s="59"/>
    </row>
    <row r="433" spans="4:23" ht="12.75">
      <c r="D433" s="49"/>
      <c r="E433" s="49"/>
      <c r="F433" s="49"/>
      <c r="W433" s="59"/>
    </row>
    <row r="434" spans="4:23" ht="12.75">
      <c r="D434" s="49"/>
      <c r="E434" s="49"/>
      <c r="F434" s="49"/>
      <c r="W434" s="59"/>
    </row>
    <row r="435" spans="4:23" ht="12.75">
      <c r="D435" s="49"/>
      <c r="E435" s="49"/>
      <c r="F435" s="49"/>
      <c r="W435" s="59"/>
    </row>
    <row r="436" spans="4:23" ht="12.75">
      <c r="D436" s="49"/>
      <c r="E436" s="49"/>
      <c r="F436" s="49"/>
      <c r="W436" s="59"/>
    </row>
    <row r="437" spans="4:23" ht="12.75">
      <c r="D437" s="49"/>
      <c r="E437" s="49"/>
      <c r="F437" s="49"/>
      <c r="W437" s="59"/>
    </row>
    <row r="438" spans="4:23" ht="12.75">
      <c r="D438" s="49"/>
      <c r="E438" s="49"/>
      <c r="F438" s="49"/>
      <c r="W438" s="59"/>
    </row>
    <row r="439" spans="4:23" ht="12.75">
      <c r="D439" s="49"/>
      <c r="E439" s="49"/>
      <c r="F439" s="49"/>
      <c r="W439" s="59"/>
    </row>
    <row r="440" spans="4:23" ht="12.75">
      <c r="D440" s="49"/>
      <c r="E440" s="49"/>
      <c r="F440" s="49"/>
      <c r="W440" s="59"/>
    </row>
    <row r="441" spans="4:23" ht="12.75">
      <c r="D441" s="49"/>
      <c r="E441" s="49"/>
      <c r="F441" s="49"/>
      <c r="W441" s="59"/>
    </row>
    <row r="442" spans="4:23" ht="12.75">
      <c r="D442" s="49"/>
      <c r="E442" s="49"/>
      <c r="F442" s="49"/>
      <c r="W442" s="59"/>
    </row>
    <row r="443" spans="4:23" ht="12.75">
      <c r="D443" s="49"/>
      <c r="E443" s="49"/>
      <c r="F443" s="49"/>
      <c r="W443" s="59"/>
    </row>
    <row r="444" spans="4:23" ht="12.75">
      <c r="D444" s="49"/>
      <c r="E444" s="49"/>
      <c r="F444" s="49"/>
      <c r="W444" s="59"/>
    </row>
    <row r="445" spans="4:23" ht="12.75">
      <c r="D445" s="49"/>
      <c r="E445" s="49"/>
      <c r="F445" s="49"/>
      <c r="W445" s="59"/>
    </row>
    <row r="446" spans="4:23" ht="12.75">
      <c r="D446" s="49"/>
      <c r="E446" s="49"/>
      <c r="F446" s="49"/>
      <c r="W446" s="59"/>
    </row>
    <row r="447" spans="4:23" ht="12.75">
      <c r="D447" s="49"/>
      <c r="E447" s="49"/>
      <c r="F447" s="49"/>
      <c r="W447" s="59"/>
    </row>
    <row r="448" spans="4:23" ht="12.75">
      <c r="D448" s="49"/>
      <c r="E448" s="49"/>
      <c r="F448" s="49"/>
      <c r="W448" s="59"/>
    </row>
    <row r="449" spans="4:23" ht="12.75">
      <c r="D449" s="49"/>
      <c r="E449" s="49"/>
      <c r="F449" s="49"/>
      <c r="W449" s="59"/>
    </row>
    <row r="450" spans="4:23" ht="12.75">
      <c r="D450" s="49"/>
      <c r="E450" s="49"/>
      <c r="F450" s="49"/>
      <c r="W450" s="59"/>
    </row>
    <row r="451" spans="4:23" ht="12.75">
      <c r="D451" s="49"/>
      <c r="E451" s="49"/>
      <c r="F451" s="49"/>
      <c r="W451" s="59"/>
    </row>
    <row r="452" spans="4:23" ht="12.75">
      <c r="D452" s="49"/>
      <c r="E452" s="49"/>
      <c r="F452" s="49"/>
      <c r="W452" s="59"/>
    </row>
    <row r="453" spans="4:23" ht="12.75">
      <c r="D453" s="49"/>
      <c r="E453" s="49"/>
      <c r="F453" s="49"/>
      <c r="W453" s="59"/>
    </row>
    <row r="454" spans="4:23" ht="12.75">
      <c r="D454" s="49"/>
      <c r="E454" s="49"/>
      <c r="F454" s="49"/>
      <c r="W454" s="59"/>
    </row>
    <row r="455" spans="4:23" ht="12.75">
      <c r="D455" s="49"/>
      <c r="E455" s="49"/>
      <c r="F455" s="49"/>
      <c r="W455" s="59"/>
    </row>
    <row r="456" spans="4:23" ht="12.75">
      <c r="D456" s="49"/>
      <c r="E456" s="49"/>
      <c r="F456" s="49"/>
      <c r="W456" s="59"/>
    </row>
    <row r="457" spans="4:23" ht="12.75">
      <c r="D457" s="49"/>
      <c r="E457" s="49"/>
      <c r="F457" s="49"/>
      <c r="W457" s="59"/>
    </row>
    <row r="458" spans="4:23" ht="12.75">
      <c r="D458" s="49"/>
      <c r="E458" s="49"/>
      <c r="F458" s="49"/>
      <c r="W458" s="59"/>
    </row>
    <row r="459" spans="4:23" ht="12.75">
      <c r="D459" s="49"/>
      <c r="E459" s="49"/>
      <c r="F459" s="49"/>
      <c r="W459" s="59"/>
    </row>
    <row r="460" spans="4:23" ht="12.75">
      <c r="D460" s="49"/>
      <c r="E460" s="49"/>
      <c r="F460" s="49"/>
      <c r="W460" s="59"/>
    </row>
    <row r="461" spans="4:23" ht="12.75">
      <c r="D461" s="49"/>
      <c r="E461" s="49"/>
      <c r="F461" s="49"/>
      <c r="W461" s="59"/>
    </row>
    <row r="462" spans="4:23" ht="12.75">
      <c r="D462" s="49"/>
      <c r="E462" s="49"/>
      <c r="F462" s="49"/>
      <c r="W462" s="59"/>
    </row>
    <row r="463" spans="4:23" ht="12.75">
      <c r="D463" s="49"/>
      <c r="E463" s="49"/>
      <c r="F463" s="49"/>
      <c r="W463" s="59"/>
    </row>
    <row r="464" spans="4:23" ht="12.75">
      <c r="D464" s="49"/>
      <c r="E464" s="49"/>
      <c r="F464" s="49"/>
      <c r="W464" s="59"/>
    </row>
    <row r="465" spans="4:23" ht="12.75">
      <c r="D465" s="49"/>
      <c r="E465" s="49"/>
      <c r="F465" s="49"/>
      <c r="W465" s="59"/>
    </row>
    <row r="466" spans="4:23" ht="12.75">
      <c r="D466" s="49"/>
      <c r="E466" s="49"/>
      <c r="F466" s="49"/>
      <c r="W466" s="59"/>
    </row>
    <row r="467" spans="4:23" ht="12.75">
      <c r="D467" s="49"/>
      <c r="E467" s="49"/>
      <c r="F467" s="49"/>
      <c r="W467" s="59"/>
    </row>
    <row r="468" spans="4:23" ht="12.75">
      <c r="D468" s="49"/>
      <c r="E468" s="49"/>
      <c r="F468" s="49"/>
      <c r="W468" s="59"/>
    </row>
    <row r="469" spans="4:23" ht="12.75">
      <c r="D469" s="49"/>
      <c r="E469" s="49"/>
      <c r="F469" s="49"/>
      <c r="W469" s="59"/>
    </row>
    <row r="470" spans="4:23" ht="12.75">
      <c r="D470" s="49"/>
      <c r="E470" s="49"/>
      <c r="F470" s="49"/>
      <c r="W470" s="59"/>
    </row>
    <row r="471" spans="4:23" ht="12.75">
      <c r="D471" s="49"/>
      <c r="E471" s="49"/>
      <c r="F471" s="49"/>
      <c r="W471" s="59"/>
    </row>
    <row r="472" spans="4:23" ht="12.75">
      <c r="D472" s="49"/>
      <c r="E472" s="49"/>
      <c r="F472" s="49"/>
      <c r="W472" s="59"/>
    </row>
    <row r="473" spans="4:23" ht="12.75">
      <c r="D473" s="49"/>
      <c r="E473" s="49"/>
      <c r="F473" s="49"/>
      <c r="W473" s="59"/>
    </row>
    <row r="474" spans="4:23" ht="12.75">
      <c r="D474" s="49"/>
      <c r="E474" s="49"/>
      <c r="F474" s="49"/>
      <c r="W474" s="59"/>
    </row>
    <row r="475" spans="4:23" ht="12.75">
      <c r="D475" s="49"/>
      <c r="E475" s="49"/>
      <c r="F475" s="49"/>
      <c r="W475" s="59"/>
    </row>
    <row r="476" spans="4:23" ht="12.75">
      <c r="D476" s="49"/>
      <c r="E476" s="49"/>
      <c r="F476" s="49"/>
      <c r="W476" s="59"/>
    </row>
    <row r="477" spans="4:23" ht="12.75">
      <c r="D477" s="49"/>
      <c r="E477" s="49"/>
      <c r="F477" s="49"/>
      <c r="W477" s="59"/>
    </row>
    <row r="478" spans="4:23" ht="12.75">
      <c r="D478" s="49"/>
      <c r="E478" s="49"/>
      <c r="F478" s="49"/>
      <c r="W478" s="59"/>
    </row>
    <row r="479" spans="4:23" ht="12.75">
      <c r="D479" s="49"/>
      <c r="E479" s="49"/>
      <c r="F479" s="49"/>
      <c r="W479" s="59"/>
    </row>
    <row r="480" spans="4:23" ht="12.75">
      <c r="D480" s="49"/>
      <c r="E480" s="49"/>
      <c r="F480" s="49"/>
      <c r="W480" s="59"/>
    </row>
    <row r="481" spans="4:23" ht="12.75">
      <c r="D481" s="49"/>
      <c r="E481" s="49"/>
      <c r="F481" s="49"/>
      <c r="W481" s="59"/>
    </row>
    <row r="482" spans="4:23" ht="12.75">
      <c r="D482" s="49"/>
      <c r="E482" s="49"/>
      <c r="F482" s="49"/>
      <c r="W482" s="59"/>
    </row>
    <row r="483" spans="4:23" ht="12.75">
      <c r="D483" s="49"/>
      <c r="E483" s="49"/>
      <c r="F483" s="49"/>
      <c r="W483" s="59"/>
    </row>
    <row r="484" spans="4:23" ht="12.75">
      <c r="D484" s="49"/>
      <c r="E484" s="49"/>
      <c r="F484" s="49"/>
      <c r="W484" s="59"/>
    </row>
    <row r="485" spans="4:23" ht="12.75">
      <c r="D485" s="49"/>
      <c r="E485" s="49"/>
      <c r="F485" s="49"/>
      <c r="W485" s="59"/>
    </row>
    <row r="486" spans="4:23" ht="12.75">
      <c r="D486" s="49"/>
      <c r="E486" s="49"/>
      <c r="F486" s="49"/>
      <c r="W486" s="59"/>
    </row>
    <row r="487" spans="4:23" ht="12.75">
      <c r="D487" s="49"/>
      <c r="E487" s="49"/>
      <c r="F487" s="49"/>
      <c r="W487" s="59"/>
    </row>
    <row r="488" spans="4:23" ht="12.75">
      <c r="D488" s="49"/>
      <c r="E488" s="49"/>
      <c r="F488" s="49"/>
      <c r="W488" s="59"/>
    </row>
    <row r="489" spans="4:23" ht="12.75">
      <c r="D489" s="49"/>
      <c r="E489" s="49"/>
      <c r="F489" s="49"/>
      <c r="W489" s="59"/>
    </row>
    <row r="490" spans="4:23" ht="12.75">
      <c r="D490" s="49"/>
      <c r="E490" s="49"/>
      <c r="F490" s="49"/>
      <c r="W490" s="59"/>
    </row>
    <row r="491" spans="4:23" ht="12.75">
      <c r="D491" s="49"/>
      <c r="E491" s="49"/>
      <c r="F491" s="49"/>
      <c r="W491" s="59"/>
    </row>
    <row r="492" spans="4:23" ht="12.75">
      <c r="D492" s="49"/>
      <c r="E492" s="49"/>
      <c r="F492" s="49"/>
      <c r="W492" s="59"/>
    </row>
    <row r="493" spans="4:23" ht="12.75">
      <c r="D493" s="49"/>
      <c r="E493" s="49"/>
      <c r="F493" s="49"/>
      <c r="W493" s="59"/>
    </row>
    <row r="494" spans="4:23" ht="12.75">
      <c r="D494" s="49"/>
      <c r="E494" s="49"/>
      <c r="F494" s="49"/>
      <c r="W494" s="59"/>
    </row>
    <row r="495" spans="4:23" ht="12.75">
      <c r="D495" s="49"/>
      <c r="E495" s="49"/>
      <c r="F495" s="49"/>
      <c r="W495" s="59"/>
    </row>
    <row r="496" spans="4:23" ht="12.75">
      <c r="D496" s="49"/>
      <c r="E496" s="49"/>
      <c r="F496" s="49"/>
      <c r="W496" s="59"/>
    </row>
    <row r="497" spans="4:23" ht="12.75">
      <c r="D497" s="49"/>
      <c r="E497" s="49"/>
      <c r="F497" s="49"/>
      <c r="W497" s="59"/>
    </row>
    <row r="498" spans="4:23" ht="12.75">
      <c r="D498" s="49"/>
      <c r="E498" s="49"/>
      <c r="F498" s="49"/>
      <c r="W498" s="59"/>
    </row>
    <row r="499" spans="4:23" ht="12.75">
      <c r="D499" s="49"/>
      <c r="E499" s="49"/>
      <c r="F499" s="49"/>
      <c r="W499" s="59"/>
    </row>
    <row r="500" spans="4:23" ht="12.75">
      <c r="D500" s="49"/>
      <c r="E500" s="49"/>
      <c r="F500" s="49"/>
      <c r="W500" s="59"/>
    </row>
    <row r="501" spans="4:23" ht="12.75">
      <c r="D501" s="49"/>
      <c r="E501" s="49"/>
      <c r="F501" s="49"/>
      <c r="W501" s="59"/>
    </row>
    <row r="502" spans="4:23" ht="12.75">
      <c r="D502" s="49"/>
      <c r="E502" s="49"/>
      <c r="F502" s="49"/>
      <c r="W502" s="59"/>
    </row>
    <row r="503" spans="4:23" ht="12.75">
      <c r="D503" s="49"/>
      <c r="E503" s="49"/>
      <c r="F503" s="49"/>
      <c r="W503" s="59"/>
    </row>
    <row r="504" spans="4:23" ht="12.75">
      <c r="D504" s="49"/>
      <c r="E504" s="49"/>
      <c r="F504" s="49"/>
      <c r="W504" s="59"/>
    </row>
    <row r="505" spans="4:23" ht="12.75">
      <c r="D505" s="49"/>
      <c r="E505" s="49"/>
      <c r="F505" s="49"/>
      <c r="W505" s="59"/>
    </row>
    <row r="506" spans="4:23" ht="12.75">
      <c r="D506" s="49"/>
      <c r="E506" s="49"/>
      <c r="F506" s="49"/>
      <c r="W506" s="59"/>
    </row>
    <row r="507" spans="4:23" ht="12.75">
      <c r="D507" s="49"/>
      <c r="E507" s="49"/>
      <c r="F507" s="49"/>
      <c r="W507" s="59"/>
    </row>
    <row r="508" spans="4:23" ht="12.75">
      <c r="D508" s="49"/>
      <c r="E508" s="49"/>
      <c r="F508" s="49"/>
      <c r="W508" s="59"/>
    </row>
    <row r="509" spans="4:23" ht="12.75">
      <c r="D509" s="49"/>
      <c r="E509" s="49"/>
      <c r="F509" s="49"/>
      <c r="W509" s="59"/>
    </row>
    <row r="510" spans="4:23" ht="12.75">
      <c r="D510" s="49"/>
      <c r="E510" s="49"/>
      <c r="F510" s="49"/>
      <c r="W510" s="59"/>
    </row>
    <row r="511" spans="4:23" ht="12.75">
      <c r="D511" s="49"/>
      <c r="E511" s="49"/>
      <c r="F511" s="49"/>
      <c r="W511" s="59"/>
    </row>
    <row r="512" spans="4:23" ht="12.75">
      <c r="D512" s="49"/>
      <c r="E512" s="49"/>
      <c r="F512" s="49"/>
      <c r="W512" s="59"/>
    </row>
    <row r="513" spans="4:23" ht="12.75">
      <c r="D513" s="49"/>
      <c r="E513" s="49"/>
      <c r="F513" s="49"/>
      <c r="W513" s="59"/>
    </row>
    <row r="514" spans="4:23" ht="12.75">
      <c r="D514" s="49"/>
      <c r="E514" s="49"/>
      <c r="F514" s="49"/>
      <c r="W514" s="59"/>
    </row>
    <row r="515" spans="4:23" ht="12.75">
      <c r="D515" s="49"/>
      <c r="E515" s="49"/>
      <c r="F515" s="49"/>
      <c r="W515" s="59"/>
    </row>
    <row r="516" spans="4:23" ht="12.75">
      <c r="D516" s="49"/>
      <c r="E516" s="49"/>
      <c r="F516" s="49"/>
      <c r="W516" s="59"/>
    </row>
    <row r="517" spans="4:23" ht="12.75">
      <c r="D517" s="49"/>
      <c r="E517" s="49"/>
      <c r="F517" s="49"/>
      <c r="W517" s="59"/>
    </row>
    <row r="518" spans="4:23" ht="12.75">
      <c r="D518" s="49"/>
      <c r="E518" s="49"/>
      <c r="F518" s="49"/>
      <c r="W518" s="59"/>
    </row>
    <row r="519" spans="4:23" ht="12.75">
      <c r="D519" s="49"/>
      <c r="E519" s="49"/>
      <c r="F519" s="49"/>
      <c r="W519" s="59"/>
    </row>
    <row r="520" spans="4:23" ht="12.75">
      <c r="D520" s="49"/>
      <c r="E520" s="49"/>
      <c r="F520" s="49"/>
      <c r="W520" s="59"/>
    </row>
    <row r="521" spans="4:23" ht="12.75">
      <c r="D521" s="49"/>
      <c r="E521" s="49"/>
      <c r="F521" s="49"/>
      <c r="W521" s="59"/>
    </row>
    <row r="522" spans="4:23" ht="12.75">
      <c r="D522" s="49"/>
      <c r="E522" s="49"/>
      <c r="F522" s="49"/>
      <c r="W522" s="59"/>
    </row>
    <row r="523" spans="4:23" ht="12.75">
      <c r="D523" s="49"/>
      <c r="E523" s="49"/>
      <c r="F523" s="49"/>
      <c r="W523" s="59"/>
    </row>
    <row r="524" spans="4:23" ht="12.75">
      <c r="D524" s="49"/>
      <c r="E524" s="49"/>
      <c r="F524" s="49"/>
      <c r="W524" s="59"/>
    </row>
    <row r="525" spans="4:23" ht="12.75">
      <c r="D525" s="49"/>
      <c r="E525" s="49"/>
      <c r="F525" s="49"/>
      <c r="W525" s="59"/>
    </row>
    <row r="526" spans="4:23" ht="12.75">
      <c r="D526" s="49"/>
      <c r="E526" s="49"/>
      <c r="F526" s="49"/>
      <c r="W526" s="59"/>
    </row>
    <row r="527" spans="4:23" ht="12.75">
      <c r="D527" s="49"/>
      <c r="E527" s="49"/>
      <c r="F527" s="49"/>
      <c r="W527" s="59"/>
    </row>
    <row r="528" spans="4:23" ht="12.75">
      <c r="D528" s="49"/>
      <c r="E528" s="49"/>
      <c r="F528" s="49"/>
      <c r="W528" s="59"/>
    </row>
    <row r="529" spans="4:23" ht="12.75">
      <c r="D529" s="49"/>
      <c r="E529" s="49"/>
      <c r="F529" s="49"/>
      <c r="W529" s="59"/>
    </row>
    <row r="530" spans="4:23" ht="12.75">
      <c r="D530" s="49"/>
      <c r="E530" s="49"/>
      <c r="F530" s="49"/>
      <c r="W530" s="59"/>
    </row>
    <row r="531" spans="4:23" ht="12.75">
      <c r="D531" s="49"/>
      <c r="E531" s="49"/>
      <c r="F531" s="49"/>
      <c r="W531" s="59"/>
    </row>
    <row r="532" spans="4:23" ht="12.75">
      <c r="D532" s="49"/>
      <c r="E532" s="49"/>
      <c r="F532" s="49"/>
      <c r="W532" s="59"/>
    </row>
    <row r="533" spans="4:23" ht="12.75">
      <c r="D533" s="49"/>
      <c r="E533" s="49"/>
      <c r="F533" s="49"/>
      <c r="W533" s="59"/>
    </row>
    <row r="534" spans="4:23" ht="12.75">
      <c r="D534" s="49"/>
      <c r="E534" s="49"/>
      <c r="F534" s="49"/>
      <c r="W534" s="59"/>
    </row>
    <row r="535" spans="4:23" ht="12.75">
      <c r="D535" s="49"/>
      <c r="E535" s="49"/>
      <c r="F535" s="49"/>
      <c r="W535" s="59"/>
    </row>
    <row r="536" spans="4:23" ht="12.75">
      <c r="D536" s="49"/>
      <c r="E536" s="49"/>
      <c r="F536" s="49"/>
      <c r="W536" s="59"/>
    </row>
    <row r="537" spans="4:23" ht="12.75">
      <c r="D537" s="49"/>
      <c r="E537" s="49"/>
      <c r="F537" s="49"/>
      <c r="W537" s="59"/>
    </row>
    <row r="538" spans="4:23" ht="12.75">
      <c r="D538" s="49"/>
      <c r="E538" s="49"/>
      <c r="F538" s="49"/>
      <c r="W538" s="59"/>
    </row>
    <row r="539" spans="4:23" ht="12.75">
      <c r="D539" s="49"/>
      <c r="E539" s="49"/>
      <c r="F539" s="49"/>
      <c r="W539" s="59"/>
    </row>
    <row r="540" spans="4:23" ht="12.75">
      <c r="D540" s="49"/>
      <c r="E540" s="49"/>
      <c r="F540" s="49"/>
      <c r="W540" s="59"/>
    </row>
    <row r="541" spans="4:23" ht="12.75">
      <c r="D541" s="49"/>
      <c r="E541" s="49"/>
      <c r="F541" s="49"/>
      <c r="W541" s="59"/>
    </row>
    <row r="542" spans="4:23" ht="12.75">
      <c r="D542" s="49"/>
      <c r="E542" s="49"/>
      <c r="F542" s="49"/>
      <c r="W542" s="59"/>
    </row>
    <row r="543" spans="4:23" ht="12.75">
      <c r="D543" s="49"/>
      <c r="E543" s="49"/>
      <c r="F543" s="49"/>
      <c r="W543" s="59"/>
    </row>
    <row r="544" spans="4:23" ht="12.75">
      <c r="D544" s="49"/>
      <c r="E544" s="49"/>
      <c r="F544" s="49"/>
      <c r="W544" s="59"/>
    </row>
    <row r="545" spans="4:23" ht="12.75">
      <c r="D545" s="49"/>
      <c r="E545" s="49"/>
      <c r="F545" s="49"/>
      <c r="W545" s="59"/>
    </row>
    <row r="546" spans="4:23" ht="12.75">
      <c r="D546" s="49"/>
      <c r="E546" s="49"/>
      <c r="F546" s="49"/>
      <c r="W546" s="59"/>
    </row>
    <row r="547" spans="4:23" ht="12.75">
      <c r="D547" s="49"/>
      <c r="E547" s="49"/>
      <c r="F547" s="49"/>
      <c r="W547" s="59"/>
    </row>
    <row r="548" spans="4:23" ht="12.75">
      <c r="D548" s="49"/>
      <c r="E548" s="49"/>
      <c r="F548" s="49"/>
      <c r="W548" s="59"/>
    </row>
    <row r="549" spans="4:23" ht="12.75">
      <c r="D549" s="49"/>
      <c r="E549" s="49"/>
      <c r="F549" s="49"/>
      <c r="W549" s="59"/>
    </row>
    <row r="550" spans="4:23" ht="12.75">
      <c r="D550" s="49"/>
      <c r="E550" s="49"/>
      <c r="F550" s="49"/>
      <c r="W550" s="59"/>
    </row>
    <row r="551" spans="4:23" ht="12.75">
      <c r="D551" s="49"/>
      <c r="E551" s="49"/>
      <c r="F551" s="49"/>
      <c r="W551" s="59"/>
    </row>
    <row r="552" spans="4:23" ht="12.75">
      <c r="D552" s="49"/>
      <c r="E552" s="49"/>
      <c r="F552" s="49"/>
      <c r="W552" s="59"/>
    </row>
    <row r="553" spans="4:23" ht="12.75">
      <c r="D553" s="49"/>
      <c r="E553" s="49"/>
      <c r="F553" s="49"/>
      <c r="W553" s="59"/>
    </row>
    <row r="554" spans="4:23" ht="12.75">
      <c r="D554" s="49"/>
      <c r="E554" s="49"/>
      <c r="F554" s="49"/>
      <c r="W554" s="59"/>
    </row>
    <row r="555" spans="4:23" ht="12.75">
      <c r="D555" s="49"/>
      <c r="E555" s="49"/>
      <c r="F555" s="49"/>
      <c r="W555" s="59"/>
    </row>
    <row r="556" spans="4:23" ht="12.75">
      <c r="D556" s="49"/>
      <c r="E556" s="49"/>
      <c r="F556" s="49"/>
      <c r="W556" s="59"/>
    </row>
    <row r="557" spans="4:23" ht="12.75">
      <c r="D557" s="49"/>
      <c r="E557" s="49"/>
      <c r="F557" s="49"/>
      <c r="W557" s="59"/>
    </row>
    <row r="558" spans="4:23" ht="12.75">
      <c r="D558" s="49"/>
      <c r="E558" s="49"/>
      <c r="F558" s="49"/>
      <c r="W558" s="59"/>
    </row>
    <row r="559" spans="4:23" ht="12.75">
      <c r="D559" s="49"/>
      <c r="E559" s="49"/>
      <c r="F559" s="49"/>
      <c r="W559" s="59"/>
    </row>
    <row r="560" spans="4:23" ht="12.75">
      <c r="D560" s="49"/>
      <c r="E560" s="49"/>
      <c r="F560" s="49"/>
      <c r="W560" s="59"/>
    </row>
    <row r="561" spans="4:23" ht="12.75">
      <c r="D561" s="49"/>
      <c r="E561" s="49"/>
      <c r="F561" s="49"/>
      <c r="W561" s="59"/>
    </row>
    <row r="562" spans="4:23" ht="12.75">
      <c r="D562" s="49"/>
      <c r="E562" s="49"/>
      <c r="F562" s="49"/>
      <c r="W562" s="59"/>
    </row>
    <row r="563" spans="4:23" ht="12.75">
      <c r="D563" s="49"/>
      <c r="E563" s="49"/>
      <c r="F563" s="49"/>
      <c r="W563" s="59"/>
    </row>
    <row r="564" spans="4:23" ht="12.75">
      <c r="D564" s="49"/>
      <c r="E564" s="49"/>
      <c r="F564" s="49"/>
      <c r="W564" s="59"/>
    </row>
    <row r="565" spans="4:23" ht="12.75">
      <c r="D565" s="49"/>
      <c r="E565" s="49"/>
      <c r="F565" s="49"/>
      <c r="W565" s="59"/>
    </row>
    <row r="566" spans="4:23" ht="12.75">
      <c r="D566" s="49"/>
      <c r="E566" s="49"/>
      <c r="F566" s="49"/>
      <c r="W566" s="59"/>
    </row>
    <row r="567" spans="4:23" ht="12.75">
      <c r="D567" s="49"/>
      <c r="E567" s="49"/>
      <c r="F567" s="49"/>
      <c r="W567" s="59"/>
    </row>
    <row r="568" spans="4:23" ht="12.75">
      <c r="D568" s="49"/>
      <c r="E568" s="49"/>
      <c r="F568" s="49"/>
      <c r="W568" s="59"/>
    </row>
    <row r="569" spans="4:23" ht="12.75">
      <c r="D569" s="49"/>
      <c r="E569" s="49"/>
      <c r="F569" s="49"/>
      <c r="W569" s="59"/>
    </row>
    <row r="570" spans="4:23" ht="12.75">
      <c r="D570" s="49"/>
      <c r="E570" s="49"/>
      <c r="F570" s="49"/>
      <c r="W570" s="59"/>
    </row>
    <row r="571" spans="4:23" ht="12.75">
      <c r="D571" s="49"/>
      <c r="E571" s="49"/>
      <c r="F571" s="49"/>
      <c r="W571" s="59"/>
    </row>
    <row r="572" spans="4:23" ht="12.75">
      <c r="D572" s="49"/>
      <c r="E572" s="49"/>
      <c r="F572" s="49"/>
      <c r="W572" s="59"/>
    </row>
    <row r="573" spans="4:23" ht="12.75">
      <c r="D573" s="49"/>
      <c r="E573" s="49"/>
      <c r="F573" s="49"/>
      <c r="W573" s="59"/>
    </row>
    <row r="574" spans="4:23" ht="12.75">
      <c r="D574" s="49"/>
      <c r="E574" s="49"/>
      <c r="F574" s="49"/>
      <c r="W574" s="59"/>
    </row>
    <row r="575" spans="4:23" ht="12.75">
      <c r="D575" s="49"/>
      <c r="E575" s="49"/>
      <c r="F575" s="49"/>
      <c r="W575" s="59"/>
    </row>
    <row r="576" spans="4:23" ht="12.75">
      <c r="D576" s="49"/>
      <c r="E576" s="49"/>
      <c r="F576" s="49"/>
      <c r="W576" s="59"/>
    </row>
    <row r="577" spans="4:23" ht="12.75">
      <c r="D577" s="49"/>
      <c r="E577" s="49"/>
      <c r="F577" s="49"/>
      <c r="W577" s="59"/>
    </row>
    <row r="578" spans="4:23" ht="12.75">
      <c r="D578" s="49"/>
      <c r="E578" s="49"/>
      <c r="F578" s="49"/>
      <c r="W578" s="59"/>
    </row>
    <row r="579" spans="4:23" ht="12.75">
      <c r="D579" s="49"/>
      <c r="E579" s="49"/>
      <c r="F579" s="49"/>
      <c r="W579" s="59"/>
    </row>
    <row r="580" spans="4:23" ht="12.75">
      <c r="D580" s="49"/>
      <c r="E580" s="49"/>
      <c r="F580" s="49"/>
      <c r="W580" s="59"/>
    </row>
    <row r="581" spans="4:23" ht="12.75">
      <c r="D581" s="49"/>
      <c r="E581" s="49"/>
      <c r="F581" s="49"/>
      <c r="W581" s="59"/>
    </row>
    <row r="582" spans="4:23" ht="12.75">
      <c r="D582" s="49"/>
      <c r="E582" s="49"/>
      <c r="F582" s="49"/>
      <c r="W582" s="59"/>
    </row>
    <row r="583" spans="4:23" ht="12.75">
      <c r="D583" s="49"/>
      <c r="E583" s="49"/>
      <c r="F583" s="49"/>
      <c r="W583" s="59"/>
    </row>
    <row r="584" spans="4:23" ht="12.75">
      <c r="D584" s="49"/>
      <c r="E584" s="49"/>
      <c r="F584" s="49"/>
      <c r="W584" s="59"/>
    </row>
    <row r="585" spans="4:23" ht="12.75">
      <c r="D585" s="49"/>
      <c r="E585" s="49"/>
      <c r="F585" s="49"/>
      <c r="W585" s="59"/>
    </row>
    <row r="586" spans="4:23" ht="12.75">
      <c r="D586" s="49"/>
      <c r="E586" s="49"/>
      <c r="F586" s="49"/>
      <c r="W586" s="59"/>
    </row>
    <row r="587" spans="4:23" ht="12.75">
      <c r="D587" s="49"/>
      <c r="E587" s="49"/>
      <c r="F587" s="49"/>
      <c r="W587" s="59"/>
    </row>
    <row r="588" spans="4:23" ht="12.75">
      <c r="D588" s="49"/>
      <c r="E588" s="49"/>
      <c r="F588" s="49"/>
      <c r="W588" s="59"/>
    </row>
    <row r="589" spans="4:23" ht="12.75">
      <c r="D589" s="49"/>
      <c r="E589" s="49"/>
      <c r="F589" s="49"/>
      <c r="W589" s="59"/>
    </row>
    <row r="590" spans="4:23" ht="12.75">
      <c r="D590" s="49"/>
      <c r="E590" s="49"/>
      <c r="F590" s="49"/>
      <c r="W590" s="59"/>
    </row>
    <row r="591" spans="4:23" ht="12.75">
      <c r="D591" s="49"/>
      <c r="E591" s="49"/>
      <c r="F591" s="49"/>
      <c r="W591" s="59"/>
    </row>
    <row r="592" spans="4:23" ht="12.75">
      <c r="D592" s="49"/>
      <c r="E592" s="49"/>
      <c r="F592" s="49"/>
      <c r="W592" s="59"/>
    </row>
    <row r="593" spans="4:23" ht="12.75">
      <c r="D593" s="49"/>
      <c r="E593" s="49"/>
      <c r="F593" s="49"/>
      <c r="W593" s="59"/>
    </row>
    <row r="594" spans="4:23" ht="12.75">
      <c r="D594" s="49"/>
      <c r="E594" s="49"/>
      <c r="F594" s="49"/>
      <c r="W594" s="59"/>
    </row>
    <row r="595" spans="4:23" ht="12.75">
      <c r="D595" s="49"/>
      <c r="E595" s="49"/>
      <c r="F595" s="49"/>
      <c r="W595" s="59"/>
    </row>
    <row r="596" spans="4:23" ht="12.75">
      <c r="D596" s="49"/>
      <c r="E596" s="49"/>
      <c r="F596" s="49"/>
      <c r="W596" s="59"/>
    </row>
    <row r="597" spans="4:23" ht="12.75">
      <c r="D597" s="49"/>
      <c r="E597" s="49"/>
      <c r="F597" s="49"/>
      <c r="W597" s="59"/>
    </row>
    <row r="598" spans="4:23" ht="12.75">
      <c r="D598" s="49"/>
      <c r="E598" s="49"/>
      <c r="F598" s="49"/>
      <c r="W598" s="59"/>
    </row>
    <row r="599" spans="4:23" ht="12.75">
      <c r="D599" s="49"/>
      <c r="E599" s="49"/>
      <c r="F599" s="49"/>
      <c r="W599" s="59"/>
    </row>
    <row r="600" spans="4:23" ht="12.75">
      <c r="D600" s="49"/>
      <c r="E600" s="49"/>
      <c r="F600" s="49"/>
      <c r="W600" s="59"/>
    </row>
    <row r="601" spans="4:23" ht="12.75">
      <c r="D601" s="49"/>
      <c r="E601" s="49"/>
      <c r="F601" s="49"/>
      <c r="W601" s="59"/>
    </row>
    <row r="602" spans="4:23" ht="12.75">
      <c r="D602" s="49"/>
      <c r="E602" s="49"/>
      <c r="F602" s="49"/>
      <c r="W602" s="59"/>
    </row>
    <row r="603" spans="4:23" ht="12.75">
      <c r="D603" s="49"/>
      <c r="E603" s="49"/>
      <c r="F603" s="49"/>
      <c r="W603" s="59"/>
    </row>
    <row r="604" spans="4:23" ht="12.75">
      <c r="D604" s="49"/>
      <c r="E604" s="49"/>
      <c r="F604" s="49"/>
      <c r="W604" s="59"/>
    </row>
    <row r="605" spans="4:23" ht="12.75">
      <c r="D605" s="49"/>
      <c r="E605" s="49"/>
      <c r="F605" s="49"/>
      <c r="W605" s="59"/>
    </row>
    <row r="606" spans="4:23" ht="12.75">
      <c r="D606" s="49"/>
      <c r="E606" s="49"/>
      <c r="F606" s="49"/>
      <c r="W606" s="59"/>
    </row>
    <row r="607" spans="4:23" ht="12.75">
      <c r="D607" s="49"/>
      <c r="E607" s="49"/>
      <c r="F607" s="49"/>
      <c r="W607" s="59"/>
    </row>
    <row r="608" spans="4:23" ht="12.75">
      <c r="D608" s="49"/>
      <c r="E608" s="49"/>
      <c r="F608" s="49"/>
      <c r="W608" s="59"/>
    </row>
    <row r="609" spans="4:23" ht="12.75">
      <c r="D609" s="49"/>
      <c r="E609" s="49"/>
      <c r="F609" s="49"/>
      <c r="W609" s="59"/>
    </row>
    <row r="610" spans="4:23" ht="12.75">
      <c r="D610" s="49"/>
      <c r="E610" s="49"/>
      <c r="F610" s="49"/>
      <c r="W610" s="59"/>
    </row>
    <row r="611" spans="4:23" ht="12.75">
      <c r="D611" s="49"/>
      <c r="E611" s="49"/>
      <c r="F611" s="49"/>
      <c r="W611" s="59"/>
    </row>
    <row r="612" spans="4:23" ht="12.75">
      <c r="D612" s="49"/>
      <c r="E612" s="49"/>
      <c r="F612" s="49"/>
      <c r="W612" s="59"/>
    </row>
    <row r="613" spans="4:23" ht="12.75">
      <c r="D613" s="49"/>
      <c r="E613" s="49"/>
      <c r="F613" s="49"/>
      <c r="W613" s="59"/>
    </row>
    <row r="614" spans="4:23" ht="12.75">
      <c r="D614" s="49"/>
      <c r="E614" s="49"/>
      <c r="F614" s="49"/>
      <c r="W614" s="59"/>
    </row>
    <row r="615" spans="4:23" ht="12.75">
      <c r="D615" s="49"/>
      <c r="E615" s="49"/>
      <c r="F615" s="49"/>
      <c r="W615" s="59"/>
    </row>
    <row r="616" spans="4:23" ht="12.75">
      <c r="D616" s="49"/>
      <c r="E616" s="49"/>
      <c r="F616" s="49"/>
      <c r="W616" s="59"/>
    </row>
    <row r="617" spans="4:23" ht="12.75">
      <c r="D617" s="49"/>
      <c r="E617" s="49"/>
      <c r="F617" s="49"/>
      <c r="W617" s="59"/>
    </row>
    <row r="618" spans="4:23" ht="12.75">
      <c r="D618" s="49"/>
      <c r="E618" s="49"/>
      <c r="F618" s="49"/>
      <c r="W618" s="59"/>
    </row>
    <row r="619" spans="4:23" ht="12.75">
      <c r="D619" s="49"/>
      <c r="E619" s="49"/>
      <c r="F619" s="49"/>
      <c r="W619" s="59"/>
    </row>
    <row r="620" spans="4:23" ht="12.75">
      <c r="D620" s="49"/>
      <c r="E620" s="49"/>
      <c r="F620" s="49"/>
      <c r="W620" s="59"/>
    </row>
    <row r="621" spans="4:23" ht="12.75">
      <c r="D621" s="49"/>
      <c r="E621" s="49"/>
      <c r="F621" s="49"/>
      <c r="W621" s="59"/>
    </row>
    <row r="622" spans="4:23" ht="12.75">
      <c r="D622" s="49"/>
      <c r="E622" s="49"/>
      <c r="F622" s="49"/>
      <c r="W622" s="59"/>
    </row>
    <row r="623" spans="4:23" ht="12.75">
      <c r="D623" s="49"/>
      <c r="E623" s="49"/>
      <c r="F623" s="49"/>
      <c r="W623" s="59"/>
    </row>
    <row r="624" spans="4:23" ht="12.75">
      <c r="D624" s="49"/>
      <c r="E624" s="49"/>
      <c r="F624" s="49"/>
      <c r="W624" s="59"/>
    </row>
    <row r="625" spans="4:23" ht="12.75">
      <c r="D625" s="49"/>
      <c r="E625" s="49"/>
      <c r="F625" s="49"/>
      <c r="W625" s="59"/>
    </row>
    <row r="626" spans="4:23" ht="12.75">
      <c r="D626" s="49"/>
      <c r="E626" s="49"/>
      <c r="F626" s="49"/>
      <c r="W626" s="59"/>
    </row>
    <row r="627" spans="4:23" ht="12.75">
      <c r="D627" s="49"/>
      <c r="E627" s="49"/>
      <c r="F627" s="49"/>
      <c r="W627" s="59"/>
    </row>
    <row r="628" spans="4:23" ht="12.75">
      <c r="D628" s="49"/>
      <c r="E628" s="49"/>
      <c r="F628" s="49"/>
      <c r="W628" s="59"/>
    </row>
    <row r="629" spans="4:23" ht="12.75">
      <c r="D629" s="49"/>
      <c r="E629" s="49"/>
      <c r="F629" s="49"/>
      <c r="W629" s="59"/>
    </row>
    <row r="630" spans="4:23" ht="12.75">
      <c r="D630" s="49"/>
      <c r="E630" s="49"/>
      <c r="F630" s="49"/>
      <c r="W630" s="59"/>
    </row>
    <row r="631" spans="4:23" ht="12.75">
      <c r="D631" s="49"/>
      <c r="E631" s="49"/>
      <c r="F631" s="49"/>
      <c r="W631" s="59"/>
    </row>
    <row r="632" spans="4:23" ht="12.75">
      <c r="D632" s="49"/>
      <c r="E632" s="49"/>
      <c r="F632" s="49"/>
      <c r="W632" s="59"/>
    </row>
    <row r="633" spans="4:23" ht="12.75">
      <c r="D633" s="49"/>
      <c r="E633" s="49"/>
      <c r="F633" s="49"/>
      <c r="W633" s="59"/>
    </row>
    <row r="634" spans="4:23" ht="12.75">
      <c r="D634" s="49"/>
      <c r="E634" s="49"/>
      <c r="F634" s="49"/>
      <c r="W634" s="59"/>
    </row>
    <row r="635" spans="4:23" ht="12.75">
      <c r="D635" s="49"/>
      <c r="E635" s="49"/>
      <c r="F635" s="49"/>
      <c r="W635" s="59"/>
    </row>
    <row r="636" spans="4:23" ht="12.75">
      <c r="D636" s="49"/>
      <c r="E636" s="49"/>
      <c r="F636" s="49"/>
      <c r="W636" s="59"/>
    </row>
    <row r="637" spans="4:23" ht="12.75">
      <c r="D637" s="49"/>
      <c r="E637" s="49"/>
      <c r="F637" s="49"/>
      <c r="W637" s="59"/>
    </row>
    <row r="638" spans="4:23" ht="12.75">
      <c r="D638" s="49"/>
      <c r="E638" s="49"/>
      <c r="F638" s="49"/>
      <c r="W638" s="59"/>
    </row>
    <row r="639" spans="4:23" ht="12.75">
      <c r="D639" s="49"/>
      <c r="E639" s="49"/>
      <c r="F639" s="49"/>
      <c r="W639" s="59"/>
    </row>
    <row r="640" spans="4:23" ht="12.75">
      <c r="D640" s="49"/>
      <c r="E640" s="49"/>
      <c r="F640" s="49"/>
      <c r="W640" s="59"/>
    </row>
    <row r="641" spans="4:23" ht="12.75">
      <c r="D641" s="49"/>
      <c r="E641" s="49"/>
      <c r="F641" s="49"/>
      <c r="W641" s="59"/>
    </row>
    <row r="642" spans="4:23" ht="12.75">
      <c r="D642" s="49"/>
      <c r="E642" s="49"/>
      <c r="F642" s="49"/>
      <c r="W642" s="59"/>
    </row>
    <row r="643" spans="4:23" ht="12.75">
      <c r="D643" s="49"/>
      <c r="E643" s="49"/>
      <c r="F643" s="49"/>
      <c r="W643" s="59"/>
    </row>
    <row r="644" spans="4:23" ht="12.75">
      <c r="D644" s="49"/>
      <c r="E644" s="49"/>
      <c r="F644" s="49"/>
      <c r="W644" s="59"/>
    </row>
    <row r="645" spans="4:23" ht="12.75">
      <c r="D645" s="49"/>
      <c r="E645" s="49"/>
      <c r="F645" s="49"/>
      <c r="W645" s="59"/>
    </row>
    <row r="646" spans="4:23" ht="12.75">
      <c r="D646" s="49"/>
      <c r="E646" s="49"/>
      <c r="F646" s="49"/>
      <c r="W646" s="59"/>
    </row>
    <row r="647" spans="4:23" ht="12.75">
      <c r="D647" s="49"/>
      <c r="E647" s="49"/>
      <c r="F647" s="49"/>
      <c r="W647" s="59"/>
    </row>
    <row r="648" spans="4:23" ht="12.75">
      <c r="D648" s="49"/>
      <c r="E648" s="49"/>
      <c r="F648" s="49"/>
      <c r="W648" s="59"/>
    </row>
    <row r="649" spans="4:23" ht="12.75">
      <c r="D649" s="49"/>
      <c r="E649" s="49"/>
      <c r="F649" s="49"/>
      <c r="W649" s="59"/>
    </row>
    <row r="650" spans="4:23" ht="12.75">
      <c r="D650" s="49"/>
      <c r="E650" s="49"/>
      <c r="F650" s="49"/>
      <c r="W650" s="59"/>
    </row>
    <row r="651" spans="4:23" ht="12.75">
      <c r="D651" s="49"/>
      <c r="E651" s="49"/>
      <c r="F651" s="49"/>
      <c r="W651" s="59"/>
    </row>
    <row r="652" spans="4:23" ht="12.75">
      <c r="D652" s="49"/>
      <c r="E652" s="49"/>
      <c r="F652" s="49"/>
      <c r="W652" s="59"/>
    </row>
    <row r="653" spans="4:23" ht="12.75">
      <c r="D653" s="49"/>
      <c r="E653" s="49"/>
      <c r="F653" s="49"/>
      <c r="W653" s="59"/>
    </row>
    <row r="654" spans="4:23" ht="12.75">
      <c r="D654" s="49"/>
      <c r="E654" s="49"/>
      <c r="F654" s="49"/>
      <c r="W654" s="59"/>
    </row>
    <row r="655" spans="4:23" ht="12.75">
      <c r="D655" s="49"/>
      <c r="E655" s="49"/>
      <c r="F655" s="49"/>
      <c r="W655" s="59"/>
    </row>
    <row r="656" spans="4:23" ht="12.75">
      <c r="D656" s="49"/>
      <c r="E656" s="49"/>
      <c r="F656" s="49"/>
      <c r="W656" s="59"/>
    </row>
    <row r="657" spans="4:23" ht="12.75">
      <c r="D657" s="49"/>
      <c r="E657" s="49"/>
      <c r="F657" s="49"/>
      <c r="W657" s="59"/>
    </row>
    <row r="658" spans="4:23" ht="12.75">
      <c r="D658" s="49"/>
      <c r="E658" s="49"/>
      <c r="F658" s="49"/>
      <c r="W658" s="59"/>
    </row>
    <row r="659" spans="4:23" ht="12.75">
      <c r="D659" s="49"/>
      <c r="E659" s="49"/>
      <c r="F659" s="49"/>
      <c r="W659" s="59"/>
    </row>
    <row r="660" spans="4:23" ht="12.75">
      <c r="D660" s="49"/>
      <c r="E660" s="49"/>
      <c r="F660" s="49"/>
      <c r="W660" s="59"/>
    </row>
    <row r="661" spans="4:23" ht="12.75">
      <c r="D661" s="49"/>
      <c r="E661" s="49"/>
      <c r="F661" s="49"/>
      <c r="W661" s="59"/>
    </row>
    <row r="662" spans="4:23" ht="12.75">
      <c r="D662" s="49"/>
      <c r="E662" s="49"/>
      <c r="F662" s="49"/>
      <c r="W662" s="59"/>
    </row>
    <row r="663" spans="4:23" ht="12.75">
      <c r="D663" s="49"/>
      <c r="E663" s="49"/>
      <c r="F663" s="49"/>
      <c r="W663" s="59"/>
    </row>
    <row r="664" spans="4:23" ht="12.75">
      <c r="D664" s="49"/>
      <c r="E664" s="49"/>
      <c r="F664" s="49"/>
      <c r="W664" s="59"/>
    </row>
    <row r="665" spans="4:23" ht="12.75">
      <c r="D665" s="49"/>
      <c r="E665" s="49"/>
      <c r="F665" s="49"/>
      <c r="W665" s="59"/>
    </row>
    <row r="666" spans="4:23" ht="12.75">
      <c r="D666" s="49"/>
      <c r="E666" s="49"/>
      <c r="F666" s="49"/>
      <c r="W666" s="59"/>
    </row>
    <row r="667" spans="4:23" ht="12.75">
      <c r="D667" s="49"/>
      <c r="E667" s="49"/>
      <c r="F667" s="49"/>
      <c r="W667" s="59"/>
    </row>
    <row r="668" spans="4:23" ht="12.75">
      <c r="D668" s="49"/>
      <c r="E668" s="49"/>
      <c r="F668" s="49"/>
      <c r="W668" s="59"/>
    </row>
    <row r="669" spans="4:23" ht="12.75">
      <c r="D669" s="49"/>
      <c r="E669" s="49"/>
      <c r="F669" s="49"/>
      <c r="W669" s="59"/>
    </row>
    <row r="670" spans="4:23" ht="12.75">
      <c r="D670" s="49"/>
      <c r="E670" s="49"/>
      <c r="F670" s="49"/>
      <c r="W670" s="59"/>
    </row>
    <row r="671" spans="4:23" ht="12.75">
      <c r="D671" s="49"/>
      <c r="E671" s="49"/>
      <c r="F671" s="49"/>
      <c r="W671" s="59"/>
    </row>
    <row r="672" spans="4:23" ht="12.75">
      <c r="D672" s="49"/>
      <c r="E672" s="49"/>
      <c r="F672" s="49"/>
      <c r="W672" s="59"/>
    </row>
    <row r="673" spans="4:23" ht="12.75">
      <c r="D673" s="49"/>
      <c r="E673" s="49"/>
      <c r="F673" s="49"/>
      <c r="W673" s="59"/>
    </row>
    <row r="674" spans="4:23" ht="12.75">
      <c r="D674" s="49"/>
      <c r="E674" s="49"/>
      <c r="F674" s="49"/>
      <c r="W674" s="59"/>
    </row>
    <row r="675" spans="4:23" ht="12.75">
      <c r="D675" s="49"/>
      <c r="E675" s="49"/>
      <c r="F675" s="49"/>
      <c r="W675" s="59"/>
    </row>
    <row r="676" spans="4:23" ht="12.75">
      <c r="D676" s="49"/>
      <c r="E676" s="49"/>
      <c r="F676" s="49"/>
      <c r="W676" s="59"/>
    </row>
    <row r="677" spans="4:23" ht="12.75">
      <c r="D677" s="49"/>
      <c r="E677" s="49"/>
      <c r="F677" s="49"/>
      <c r="W677" s="59"/>
    </row>
    <row r="678" spans="4:23" ht="12.75">
      <c r="D678" s="49"/>
      <c r="E678" s="49"/>
      <c r="F678" s="49"/>
      <c r="W678" s="59"/>
    </row>
    <row r="679" spans="4:23" ht="12.75">
      <c r="D679" s="49"/>
      <c r="E679" s="49"/>
      <c r="F679" s="49"/>
      <c r="W679" s="59"/>
    </row>
    <row r="680" spans="4:23" ht="12.75">
      <c r="D680" s="49"/>
      <c r="E680" s="49"/>
      <c r="F680" s="49"/>
      <c r="W680" s="59"/>
    </row>
    <row r="681" spans="4:23" ht="12.75">
      <c r="D681" s="49"/>
      <c r="E681" s="49"/>
      <c r="F681" s="49"/>
      <c r="W681" s="59"/>
    </row>
    <row r="682" spans="4:23" ht="12.75">
      <c r="D682" s="49"/>
      <c r="E682" s="49"/>
      <c r="F682" s="49"/>
      <c r="W682" s="59"/>
    </row>
    <row r="683" spans="4:23" ht="12.75">
      <c r="D683" s="49"/>
      <c r="E683" s="49"/>
      <c r="F683" s="49"/>
      <c r="W683" s="59"/>
    </row>
    <row r="684" spans="4:23" ht="12.75">
      <c r="D684" s="49"/>
      <c r="E684" s="49"/>
      <c r="F684" s="49"/>
      <c r="W684" s="59"/>
    </row>
    <row r="685" spans="4:23" ht="12.75">
      <c r="D685" s="49"/>
      <c r="E685" s="49"/>
      <c r="F685" s="49"/>
      <c r="W685" s="59"/>
    </row>
    <row r="686" spans="4:23" ht="12.75">
      <c r="D686" s="49"/>
      <c r="E686" s="49"/>
      <c r="F686" s="49"/>
      <c r="W686" s="59"/>
    </row>
    <row r="687" spans="4:23" ht="12.75">
      <c r="D687" s="49"/>
      <c r="E687" s="49"/>
      <c r="F687" s="49"/>
      <c r="W687" s="59"/>
    </row>
    <row r="688" spans="4:23" ht="12.75">
      <c r="D688" s="49"/>
      <c r="E688" s="49"/>
      <c r="F688" s="49"/>
      <c r="W688" s="59"/>
    </row>
    <row r="689" spans="4:23" ht="12.75">
      <c r="D689" s="49"/>
      <c r="E689" s="49"/>
      <c r="F689" s="49"/>
      <c r="W689" s="59"/>
    </row>
    <row r="690" spans="4:23" ht="12.75">
      <c r="D690" s="49"/>
      <c r="E690" s="49"/>
      <c r="F690" s="49"/>
      <c r="W690" s="59"/>
    </row>
    <row r="691" spans="4:23" ht="12.75">
      <c r="D691" s="49"/>
      <c r="E691" s="49"/>
      <c r="F691" s="49"/>
      <c r="W691" s="59"/>
    </row>
    <row r="692" spans="4:23" ht="12.75">
      <c r="D692" s="49"/>
      <c r="E692" s="49"/>
      <c r="F692" s="49"/>
      <c r="W692" s="59"/>
    </row>
    <row r="693" spans="4:23" ht="12.75">
      <c r="D693" s="49"/>
      <c r="E693" s="49"/>
      <c r="F693" s="49"/>
      <c r="W693" s="59"/>
    </row>
    <row r="694" spans="4:23" ht="12.75">
      <c r="D694" s="49"/>
      <c r="E694" s="49"/>
      <c r="F694" s="49"/>
      <c r="W694" s="59"/>
    </row>
    <row r="695" spans="4:23" ht="12.75">
      <c r="D695" s="49"/>
      <c r="E695" s="49"/>
      <c r="F695" s="49"/>
      <c r="W695" s="59"/>
    </row>
    <row r="696" spans="4:23" ht="12.75">
      <c r="D696" s="49"/>
      <c r="E696" s="49"/>
      <c r="F696" s="49"/>
      <c r="W696" s="59"/>
    </row>
    <row r="697" spans="4:23" ht="12.75">
      <c r="D697" s="49"/>
      <c r="E697" s="49"/>
      <c r="F697" s="49"/>
      <c r="W697" s="59"/>
    </row>
    <row r="698" spans="4:23" ht="12.75">
      <c r="D698" s="49"/>
      <c r="E698" s="49"/>
      <c r="F698" s="49"/>
      <c r="W698" s="59"/>
    </row>
    <row r="699" spans="4:23" ht="12.75">
      <c r="D699" s="49"/>
      <c r="E699" s="49"/>
      <c r="F699" s="49"/>
      <c r="W699" s="59"/>
    </row>
    <row r="700" spans="4:23" ht="12.75">
      <c r="D700" s="49"/>
      <c r="E700" s="49"/>
      <c r="F700" s="49"/>
      <c r="W700" s="59"/>
    </row>
    <row r="701" spans="4:23" ht="12.75">
      <c r="D701" s="49"/>
      <c r="E701" s="49"/>
      <c r="F701" s="49"/>
      <c r="W701" s="59"/>
    </row>
    <row r="702" spans="4:23" ht="12.75">
      <c r="D702" s="49"/>
      <c r="E702" s="49"/>
      <c r="F702" s="49"/>
      <c r="W702" s="59"/>
    </row>
    <row r="703" spans="4:23" ht="12.75">
      <c r="D703" s="49"/>
      <c r="E703" s="49"/>
      <c r="F703" s="49"/>
      <c r="W703" s="59"/>
    </row>
    <row r="704" spans="4:23" ht="12.75">
      <c r="D704" s="49"/>
      <c r="E704" s="49"/>
      <c r="F704" s="49"/>
      <c r="W704" s="59"/>
    </row>
    <row r="705" spans="4:23" ht="12.75">
      <c r="D705" s="49"/>
      <c r="E705" s="49"/>
      <c r="F705" s="49"/>
      <c r="W705" s="59"/>
    </row>
    <row r="706" spans="4:23" ht="12.75">
      <c r="D706" s="49"/>
      <c r="E706" s="49"/>
      <c r="F706" s="49"/>
      <c r="W706" s="59"/>
    </row>
    <row r="707" spans="4:23" ht="12.75">
      <c r="D707" s="49"/>
      <c r="E707" s="49"/>
      <c r="F707" s="49"/>
      <c r="W707" s="59"/>
    </row>
    <row r="708" spans="4:23" ht="12.75">
      <c r="D708" s="49"/>
      <c r="E708" s="49"/>
      <c r="F708" s="49"/>
      <c r="W708" s="59"/>
    </row>
    <row r="709" spans="4:23" ht="12.75">
      <c r="D709" s="49"/>
      <c r="E709" s="49"/>
      <c r="F709" s="49"/>
      <c r="W709" s="59"/>
    </row>
    <row r="710" spans="4:23" ht="12.75">
      <c r="D710" s="49"/>
      <c r="E710" s="49"/>
      <c r="F710" s="49"/>
      <c r="W710" s="59"/>
    </row>
    <row r="711" spans="4:23" ht="12.75">
      <c r="D711" s="49"/>
      <c r="E711" s="49"/>
      <c r="F711" s="49"/>
      <c r="W711" s="59"/>
    </row>
    <row r="712" spans="4:23" ht="12.75">
      <c r="D712" s="49"/>
      <c r="E712" s="49"/>
      <c r="F712" s="49"/>
      <c r="W712" s="59"/>
    </row>
    <row r="713" spans="4:23" ht="12.75">
      <c r="D713" s="49"/>
      <c r="E713" s="49"/>
      <c r="F713" s="49"/>
      <c r="W713" s="59"/>
    </row>
    <row r="714" spans="4:23" ht="12.75">
      <c r="D714" s="49"/>
      <c r="E714" s="49"/>
      <c r="F714" s="49"/>
      <c r="W714" s="59"/>
    </row>
    <row r="715" spans="4:23" ht="12.75">
      <c r="D715" s="49"/>
      <c r="E715" s="49"/>
      <c r="F715" s="49"/>
      <c r="W715" s="59"/>
    </row>
    <row r="716" spans="4:23" ht="12.75">
      <c r="D716" s="49"/>
      <c r="E716" s="49"/>
      <c r="F716" s="49"/>
      <c r="W716" s="59"/>
    </row>
    <row r="717" spans="4:23" ht="12.75">
      <c r="D717" s="49"/>
      <c r="E717" s="49"/>
      <c r="F717" s="49"/>
      <c r="W717" s="59"/>
    </row>
    <row r="718" spans="4:23" ht="12.75">
      <c r="D718" s="49"/>
      <c r="E718" s="49"/>
      <c r="F718" s="49"/>
      <c r="W718" s="59"/>
    </row>
    <row r="719" spans="4:23" ht="12.75">
      <c r="D719" s="49"/>
      <c r="E719" s="49"/>
      <c r="F719" s="49"/>
      <c r="W719" s="59"/>
    </row>
    <row r="720" spans="4:23" ht="12.75">
      <c r="D720" s="49"/>
      <c r="E720" s="49"/>
      <c r="F720" s="49"/>
      <c r="W720" s="59"/>
    </row>
    <row r="721" spans="4:23" ht="12.75">
      <c r="D721" s="49"/>
      <c r="E721" s="49"/>
      <c r="F721" s="49"/>
      <c r="W721" s="59"/>
    </row>
    <row r="722" spans="4:23" ht="12.75">
      <c r="D722" s="49"/>
      <c r="E722" s="49"/>
      <c r="F722" s="49"/>
      <c r="W722" s="59"/>
    </row>
    <row r="723" spans="4:23" ht="12.75">
      <c r="D723" s="49"/>
      <c r="E723" s="49"/>
      <c r="F723" s="49"/>
      <c r="W723" s="59"/>
    </row>
    <row r="724" spans="4:23" ht="12.75">
      <c r="D724" s="49"/>
      <c r="E724" s="49"/>
      <c r="F724" s="49"/>
      <c r="W724" s="59"/>
    </row>
    <row r="725" spans="4:23" ht="12.75">
      <c r="D725" s="49"/>
      <c r="E725" s="49"/>
      <c r="F725" s="49"/>
      <c r="W725" s="59"/>
    </row>
    <row r="726" spans="4:23" ht="12.75">
      <c r="D726" s="49"/>
      <c r="E726" s="49"/>
      <c r="F726" s="49"/>
      <c r="W726" s="59"/>
    </row>
    <row r="727" spans="4:23" ht="12.75">
      <c r="D727" s="49"/>
      <c r="E727" s="49"/>
      <c r="F727" s="49"/>
      <c r="W727" s="59"/>
    </row>
    <row r="728" spans="4:23" ht="12.75">
      <c r="D728" s="49"/>
      <c r="E728" s="49"/>
      <c r="F728" s="49"/>
      <c r="W728" s="59"/>
    </row>
    <row r="729" spans="4:23" ht="12.75">
      <c r="D729" s="49"/>
      <c r="E729" s="49"/>
      <c r="F729" s="49"/>
      <c r="W729" s="59"/>
    </row>
    <row r="730" spans="4:23" ht="12.75">
      <c r="D730" s="49"/>
      <c r="E730" s="49"/>
      <c r="F730" s="49"/>
      <c r="W730" s="59"/>
    </row>
    <row r="731" spans="4:23" ht="12.75">
      <c r="D731" s="49"/>
      <c r="E731" s="49"/>
      <c r="F731" s="49"/>
      <c r="W731" s="59"/>
    </row>
    <row r="732" spans="4:23" ht="12.75">
      <c r="D732" s="49"/>
      <c r="E732" s="49"/>
      <c r="F732" s="49"/>
      <c r="W732" s="59"/>
    </row>
    <row r="733" spans="4:23" ht="12.75">
      <c r="D733" s="49"/>
      <c r="E733" s="49"/>
      <c r="F733" s="49"/>
      <c r="W733" s="59"/>
    </row>
    <row r="734" spans="4:23" ht="12.75">
      <c r="D734" s="49"/>
      <c r="E734" s="49"/>
      <c r="F734" s="49"/>
      <c r="W734" s="59"/>
    </row>
    <row r="735" spans="4:23" ht="12.75">
      <c r="D735" s="49"/>
      <c r="E735" s="49"/>
      <c r="F735" s="49"/>
      <c r="W735" s="59"/>
    </row>
    <row r="736" spans="4:23" ht="12.75">
      <c r="D736" s="49"/>
      <c r="E736" s="49"/>
      <c r="F736" s="49"/>
      <c r="W736" s="59"/>
    </row>
    <row r="737" spans="4:23" ht="12.75">
      <c r="D737" s="49"/>
      <c r="E737" s="49"/>
      <c r="F737" s="49"/>
      <c r="W737" s="59"/>
    </row>
    <row r="738" spans="4:23" ht="12.75">
      <c r="D738" s="49"/>
      <c r="E738" s="49"/>
      <c r="F738" s="49"/>
      <c r="W738" s="59"/>
    </row>
    <row r="739" spans="4:23" ht="12.75">
      <c r="D739" s="49"/>
      <c r="E739" s="49"/>
      <c r="F739" s="49"/>
      <c r="W739" s="59"/>
    </row>
    <row r="740" spans="4:23" ht="12.75">
      <c r="D740" s="49"/>
      <c r="E740" s="49"/>
      <c r="F740" s="49"/>
      <c r="W740" s="59"/>
    </row>
    <row r="741" spans="4:23" ht="12.75">
      <c r="D741" s="49"/>
      <c r="E741" s="49"/>
      <c r="F741" s="49"/>
      <c r="W741" s="59"/>
    </row>
    <row r="742" spans="4:23" ht="12.75">
      <c r="D742" s="49"/>
      <c r="E742" s="49"/>
      <c r="F742" s="49"/>
      <c r="W742" s="59"/>
    </row>
    <row r="743" spans="4:23" ht="12.75">
      <c r="D743" s="49"/>
      <c r="E743" s="49"/>
      <c r="F743" s="49"/>
      <c r="W743" s="59"/>
    </row>
    <row r="744" spans="4:23" ht="12.75">
      <c r="D744" s="49"/>
      <c r="E744" s="49"/>
      <c r="F744" s="49"/>
      <c r="W744" s="59"/>
    </row>
    <row r="745" spans="4:23" ht="12.75">
      <c r="D745" s="49"/>
      <c r="E745" s="49"/>
      <c r="F745" s="49"/>
      <c r="W745" s="59"/>
    </row>
    <row r="746" spans="4:23" ht="12.75">
      <c r="D746" s="49"/>
      <c r="E746" s="49"/>
      <c r="F746" s="49"/>
      <c r="W746" s="59"/>
    </row>
    <row r="747" spans="4:23" ht="12.75">
      <c r="D747" s="49"/>
      <c r="E747" s="49"/>
      <c r="F747" s="49"/>
      <c r="W747" s="59"/>
    </row>
    <row r="748" spans="4:23" ht="12.75">
      <c r="D748" s="49"/>
      <c r="E748" s="49"/>
      <c r="F748" s="49"/>
      <c r="W748" s="59"/>
    </row>
    <row r="749" spans="4:23" ht="12.75">
      <c r="D749" s="49"/>
      <c r="E749" s="49"/>
      <c r="F749" s="49"/>
      <c r="W749" s="59"/>
    </row>
    <row r="750" spans="4:23" ht="12.75">
      <c r="D750" s="49"/>
      <c r="E750" s="49"/>
      <c r="F750" s="49"/>
      <c r="W750" s="59"/>
    </row>
    <row r="751" spans="4:23" ht="12.75">
      <c r="D751" s="49"/>
      <c r="E751" s="49"/>
      <c r="F751" s="49"/>
      <c r="W751" s="59"/>
    </row>
    <row r="752" spans="4:23" ht="12.75">
      <c r="D752" s="49"/>
      <c r="E752" s="49"/>
      <c r="F752" s="49"/>
      <c r="W752" s="59"/>
    </row>
    <row r="753" spans="4:23" ht="12.75">
      <c r="D753" s="49"/>
      <c r="E753" s="49"/>
      <c r="F753" s="49"/>
      <c r="W753" s="59"/>
    </row>
    <row r="754" spans="4:23" ht="12.75">
      <c r="D754" s="49"/>
      <c r="E754" s="49"/>
      <c r="F754" s="49"/>
      <c r="W754" s="59"/>
    </row>
    <row r="755" spans="4:23" ht="12.75">
      <c r="D755" s="49"/>
      <c r="E755" s="49"/>
      <c r="F755" s="49"/>
      <c r="W755" s="59"/>
    </row>
    <row r="756" spans="4:23" ht="12.75">
      <c r="D756" s="49"/>
      <c r="E756" s="49"/>
      <c r="F756" s="49"/>
      <c r="W756" s="59"/>
    </row>
    <row r="757" spans="4:23" ht="12.75">
      <c r="D757" s="49"/>
      <c r="E757" s="49"/>
      <c r="F757" s="49"/>
      <c r="W757" s="59"/>
    </row>
    <row r="758" spans="4:23" ht="12.75">
      <c r="D758" s="49"/>
      <c r="E758" s="49"/>
      <c r="F758" s="49"/>
      <c r="W758" s="59"/>
    </row>
    <row r="759" spans="4:23" ht="12.75">
      <c r="D759" s="49"/>
      <c r="E759" s="49"/>
      <c r="F759" s="49"/>
      <c r="W759" s="59"/>
    </row>
    <row r="760" spans="4:23" ht="12.75">
      <c r="D760" s="49"/>
      <c r="E760" s="49"/>
      <c r="F760" s="49"/>
      <c r="W760" s="59"/>
    </row>
    <row r="761" spans="4:23" ht="12.75">
      <c r="D761" s="49"/>
      <c r="E761" s="49"/>
      <c r="F761" s="49"/>
      <c r="W761" s="59"/>
    </row>
    <row r="762" spans="4:23" ht="12.75">
      <c r="D762" s="49"/>
      <c r="E762" s="49"/>
      <c r="F762" s="49"/>
      <c r="W762" s="59"/>
    </row>
    <row r="763" spans="4:23" ht="12.75">
      <c r="D763" s="49"/>
      <c r="E763" s="49"/>
      <c r="F763" s="49"/>
      <c r="W763" s="59"/>
    </row>
    <row r="764" spans="4:23" ht="12.75">
      <c r="D764" s="49"/>
      <c r="E764" s="49"/>
      <c r="F764" s="49"/>
      <c r="W764" s="59"/>
    </row>
    <row r="765" spans="4:23" ht="12.75">
      <c r="D765" s="49"/>
      <c r="E765" s="49"/>
      <c r="F765" s="49"/>
      <c r="W765" s="59"/>
    </row>
    <row r="766" spans="4:23" ht="12.75">
      <c r="D766" s="49"/>
      <c r="E766" s="49"/>
      <c r="F766" s="49"/>
      <c r="W766" s="59"/>
    </row>
    <row r="767" spans="4:23" ht="12.75">
      <c r="D767" s="49"/>
      <c r="E767" s="49"/>
      <c r="F767" s="49"/>
      <c r="W767" s="59"/>
    </row>
    <row r="768" spans="4:23" ht="12.75">
      <c r="D768" s="49"/>
      <c r="E768" s="49"/>
      <c r="F768" s="49"/>
      <c r="W768" s="59"/>
    </row>
    <row r="769" spans="4:23" ht="12.75">
      <c r="D769" s="49"/>
      <c r="E769" s="49"/>
      <c r="F769" s="49"/>
      <c r="W769" s="59"/>
    </row>
    <row r="770" spans="4:23" ht="12.75">
      <c r="D770" s="49"/>
      <c r="E770" s="49"/>
      <c r="F770" s="49"/>
      <c r="W770" s="59"/>
    </row>
    <row r="771" spans="4:23" ht="12.75">
      <c r="D771" s="49"/>
      <c r="E771" s="49"/>
      <c r="F771" s="49"/>
      <c r="W771" s="59"/>
    </row>
    <row r="772" spans="4:23" ht="12.75">
      <c r="D772" s="49"/>
      <c r="E772" s="49"/>
      <c r="F772" s="49"/>
      <c r="W772" s="59"/>
    </row>
    <row r="773" spans="4:23" ht="12.75">
      <c r="D773" s="49"/>
      <c r="E773" s="49"/>
      <c r="F773" s="49"/>
      <c r="W773" s="59"/>
    </row>
    <row r="774" spans="4:23" ht="12.75">
      <c r="D774" s="49"/>
      <c r="E774" s="49"/>
      <c r="F774" s="49"/>
      <c r="W774" s="59"/>
    </row>
    <row r="775" spans="4:23" ht="12.75">
      <c r="D775" s="49"/>
      <c r="E775" s="49"/>
      <c r="F775" s="49"/>
      <c r="W775" s="59"/>
    </row>
    <row r="776" spans="4:23" ht="12.75">
      <c r="D776" s="49"/>
      <c r="E776" s="49"/>
      <c r="F776" s="49"/>
      <c r="W776" s="59"/>
    </row>
    <row r="777" spans="4:23" ht="12.75">
      <c r="D777" s="49"/>
      <c r="E777" s="49"/>
      <c r="F777" s="49"/>
      <c r="W777" s="59"/>
    </row>
    <row r="778" spans="4:23" ht="12.75">
      <c r="D778" s="49"/>
      <c r="E778" s="49"/>
      <c r="F778" s="49"/>
      <c r="W778" s="59"/>
    </row>
    <row r="779" spans="4:23" ht="12.75">
      <c r="D779" s="49"/>
      <c r="E779" s="49"/>
      <c r="F779" s="49"/>
      <c r="W779" s="59"/>
    </row>
    <row r="780" spans="4:23" ht="12.75">
      <c r="D780" s="49"/>
      <c r="E780" s="49"/>
      <c r="F780" s="49"/>
      <c r="W780" s="59"/>
    </row>
    <row r="781" spans="4:23" ht="12.75">
      <c r="D781" s="49"/>
      <c r="E781" s="49"/>
      <c r="F781" s="49"/>
      <c r="W781" s="59"/>
    </row>
    <row r="782" spans="4:23" ht="12.75">
      <c r="D782" s="49"/>
      <c r="E782" s="49"/>
      <c r="F782" s="49"/>
      <c r="W782" s="59"/>
    </row>
    <row r="783" spans="4:23" ht="12.75">
      <c r="D783" s="49"/>
      <c r="E783" s="49"/>
      <c r="F783" s="49"/>
      <c r="W783" s="59"/>
    </row>
    <row r="784" spans="4:23" ht="12.75">
      <c r="D784" s="49"/>
      <c r="E784" s="49"/>
      <c r="F784" s="49"/>
      <c r="W784" s="59"/>
    </row>
    <row r="785" spans="4:23" ht="12.75">
      <c r="D785" s="49"/>
      <c r="E785" s="49"/>
      <c r="F785" s="49"/>
      <c r="W785" s="59"/>
    </row>
    <row r="786" spans="4:23" ht="12.75">
      <c r="D786" s="49"/>
      <c r="E786" s="49"/>
      <c r="F786" s="49"/>
      <c r="W786" s="59"/>
    </row>
    <row r="787" spans="4:23" ht="12.75">
      <c r="D787" s="49"/>
      <c r="E787" s="49"/>
      <c r="F787" s="49"/>
      <c r="W787" s="59"/>
    </row>
    <row r="788" spans="4:23" ht="12.75">
      <c r="D788" s="49"/>
      <c r="E788" s="49"/>
      <c r="F788" s="49"/>
      <c r="W788" s="59"/>
    </row>
    <row r="789" spans="4:23" ht="12.75">
      <c r="D789" s="49"/>
      <c r="E789" s="49"/>
      <c r="F789" s="49"/>
      <c r="W789" s="59"/>
    </row>
    <row r="790" spans="4:23" ht="12.75">
      <c r="D790" s="49"/>
      <c r="E790" s="49"/>
      <c r="F790" s="49"/>
      <c r="W790" s="59"/>
    </row>
    <row r="791" spans="4:23" ht="12.75">
      <c r="D791" s="49"/>
      <c r="E791" s="49"/>
      <c r="F791" s="49"/>
      <c r="W791" s="59"/>
    </row>
    <row r="792" spans="4:23" ht="12.75">
      <c r="D792" s="49"/>
      <c r="E792" s="49"/>
      <c r="F792" s="49"/>
      <c r="W792" s="59"/>
    </row>
    <row r="793" spans="4:23" ht="12.75">
      <c r="D793" s="49"/>
      <c r="E793" s="49"/>
      <c r="F793" s="49"/>
      <c r="W793" s="59"/>
    </row>
    <row r="794" spans="4:23" ht="12.75">
      <c r="D794" s="49"/>
      <c r="E794" s="49"/>
      <c r="F794" s="49"/>
      <c r="W794" s="59"/>
    </row>
    <row r="795" spans="4:23" ht="12.75">
      <c r="D795" s="49"/>
      <c r="E795" s="49"/>
      <c r="F795" s="49"/>
      <c r="W795" s="59"/>
    </row>
    <row r="796" spans="4:23" ht="12.75">
      <c r="D796" s="49"/>
      <c r="E796" s="49"/>
      <c r="F796" s="49"/>
      <c r="W796" s="59"/>
    </row>
    <row r="797" spans="4:23" ht="12.75">
      <c r="D797" s="49"/>
      <c r="E797" s="49"/>
      <c r="F797" s="49"/>
      <c r="W797" s="59"/>
    </row>
    <row r="798" spans="4:23" ht="12.75">
      <c r="D798" s="49"/>
      <c r="E798" s="49"/>
      <c r="F798" s="49"/>
      <c r="W798" s="59"/>
    </row>
    <row r="799" spans="4:23" ht="12.75">
      <c r="D799" s="49"/>
      <c r="E799" s="49"/>
      <c r="F799" s="49"/>
      <c r="W799" s="59"/>
    </row>
    <row r="800" spans="4:23" ht="12.75">
      <c r="D800" s="49"/>
      <c r="E800" s="49"/>
      <c r="F800" s="49"/>
      <c r="W800" s="59"/>
    </row>
    <row r="801" spans="4:23" ht="12.75">
      <c r="D801" s="49"/>
      <c r="E801" s="49"/>
      <c r="F801" s="49"/>
      <c r="W801" s="59"/>
    </row>
    <row r="802" spans="4:23" ht="12.75">
      <c r="D802" s="49"/>
      <c r="E802" s="49"/>
      <c r="F802" s="49"/>
      <c r="W802" s="59"/>
    </row>
    <row r="803" spans="4:23" ht="12.75">
      <c r="D803" s="49"/>
      <c r="E803" s="49"/>
      <c r="F803" s="49"/>
      <c r="W803" s="59"/>
    </row>
    <row r="804" spans="4:23" ht="12.75">
      <c r="D804" s="49"/>
      <c r="E804" s="49"/>
      <c r="F804" s="49"/>
      <c r="W804" s="59"/>
    </row>
    <row r="805" spans="4:23" ht="12.75">
      <c r="D805" s="49"/>
      <c r="E805" s="49"/>
      <c r="F805" s="49"/>
      <c r="W805" s="59"/>
    </row>
    <row r="806" spans="4:23" ht="12.75">
      <c r="D806" s="49"/>
      <c r="E806" s="49"/>
      <c r="F806" s="49"/>
      <c r="W806" s="59"/>
    </row>
    <row r="807" spans="4:23" ht="12.75">
      <c r="D807" s="49"/>
      <c r="E807" s="49"/>
      <c r="F807" s="49"/>
      <c r="W807" s="59"/>
    </row>
    <row r="808" spans="4:23" ht="12.75">
      <c r="D808" s="49"/>
      <c r="E808" s="49"/>
      <c r="F808" s="49"/>
      <c r="W808" s="59"/>
    </row>
    <row r="809" spans="4:23" ht="12.75">
      <c r="D809" s="49"/>
      <c r="E809" s="49"/>
      <c r="F809" s="49"/>
      <c r="W809" s="59"/>
    </row>
    <row r="810" spans="4:23" ht="12.75">
      <c r="D810" s="49"/>
      <c r="E810" s="49"/>
      <c r="F810" s="49"/>
      <c r="W810" s="59"/>
    </row>
    <row r="811" spans="4:23" ht="12.75">
      <c r="D811" s="49"/>
      <c r="E811" s="49"/>
      <c r="F811" s="49"/>
      <c r="W811" s="59"/>
    </row>
    <row r="812" spans="4:23" ht="12.75">
      <c r="D812" s="49"/>
      <c r="E812" s="49"/>
      <c r="F812" s="49"/>
      <c r="W812" s="59"/>
    </row>
    <row r="813" spans="4:23" ht="12.75">
      <c r="D813" s="49"/>
      <c r="E813" s="49"/>
      <c r="F813" s="49"/>
      <c r="W813" s="59"/>
    </row>
    <row r="814" spans="4:23" ht="12.75">
      <c r="D814" s="49"/>
      <c r="E814" s="49"/>
      <c r="F814" s="49"/>
      <c r="W814" s="59"/>
    </row>
    <row r="815" spans="4:23" ht="12.75">
      <c r="D815" s="49"/>
      <c r="E815" s="49"/>
      <c r="F815" s="49"/>
      <c r="W815" s="59"/>
    </row>
    <row r="816" spans="4:23" ht="12.75">
      <c r="D816" s="49"/>
      <c r="E816" s="49"/>
      <c r="F816" s="49"/>
      <c r="W816" s="59"/>
    </row>
    <row r="817" spans="4:23" ht="12.75">
      <c r="D817" s="49"/>
      <c r="E817" s="49"/>
      <c r="F817" s="49"/>
      <c r="W817" s="59"/>
    </row>
    <row r="818" spans="4:23" ht="12.75">
      <c r="D818" s="49"/>
      <c r="E818" s="49"/>
      <c r="F818" s="49"/>
      <c r="W818" s="59"/>
    </row>
    <row r="819" spans="4:23" ht="12.75">
      <c r="D819" s="49"/>
      <c r="E819" s="49"/>
      <c r="F819" s="49"/>
      <c r="W819" s="59"/>
    </row>
    <row r="820" spans="4:23" ht="12.75">
      <c r="D820" s="49"/>
      <c r="E820" s="49"/>
      <c r="F820" s="49"/>
      <c r="W820" s="59"/>
    </row>
    <row r="821" spans="4:23" ht="12.75">
      <c r="D821" s="49"/>
      <c r="E821" s="49"/>
      <c r="F821" s="49"/>
      <c r="W821" s="59"/>
    </row>
    <row r="822" spans="4:23" ht="12.75">
      <c r="D822" s="49"/>
      <c r="E822" s="49"/>
      <c r="F822" s="49"/>
      <c r="W822" s="59"/>
    </row>
    <row r="823" spans="4:23" ht="12.75">
      <c r="D823" s="49"/>
      <c r="E823" s="49"/>
      <c r="F823" s="49"/>
      <c r="W823" s="59"/>
    </row>
    <row r="824" spans="4:23" ht="12.75">
      <c r="D824" s="49"/>
      <c r="E824" s="49"/>
      <c r="F824" s="49"/>
      <c r="W824" s="59"/>
    </row>
    <row r="825" spans="4:23" ht="12.75">
      <c r="D825" s="49"/>
      <c r="E825" s="49"/>
      <c r="F825" s="49"/>
      <c r="W825" s="59"/>
    </row>
    <row r="826" spans="4:23" ht="12.75">
      <c r="D826" s="49"/>
      <c r="E826" s="49"/>
      <c r="F826" s="49"/>
      <c r="W826" s="59"/>
    </row>
    <row r="827" spans="4:23" ht="12.75">
      <c r="D827" s="49"/>
      <c r="E827" s="49"/>
      <c r="F827" s="49"/>
      <c r="W827" s="59"/>
    </row>
    <row r="828" spans="4:23" ht="12.75">
      <c r="D828" s="49"/>
      <c r="E828" s="49"/>
      <c r="F828" s="49"/>
      <c r="W828" s="59"/>
    </row>
    <row r="829" spans="4:23" ht="12.75">
      <c r="D829" s="49"/>
      <c r="E829" s="49"/>
      <c r="F829" s="49"/>
      <c r="W829" s="59"/>
    </row>
    <row r="830" spans="4:23" ht="12.75">
      <c r="D830" s="49"/>
      <c r="E830" s="49"/>
      <c r="F830" s="49"/>
      <c r="W830" s="59"/>
    </row>
    <row r="831" spans="4:23" ht="12.75">
      <c r="D831" s="49"/>
      <c r="E831" s="49"/>
      <c r="F831" s="49"/>
      <c r="W831" s="59"/>
    </row>
    <row r="832" spans="4:23" ht="12.75">
      <c r="D832" s="49"/>
      <c r="E832" s="49"/>
      <c r="F832" s="49"/>
      <c r="W832" s="59"/>
    </row>
    <row r="833" spans="4:23" ht="12.75">
      <c r="D833" s="49"/>
      <c r="E833" s="49"/>
      <c r="F833" s="49"/>
      <c r="W833" s="59"/>
    </row>
    <row r="834" spans="4:23" ht="12.75">
      <c r="D834" s="49"/>
      <c r="E834" s="49"/>
      <c r="F834" s="49"/>
      <c r="W834" s="59"/>
    </row>
    <row r="835" spans="4:23" ht="12.75">
      <c r="D835" s="49"/>
      <c r="E835" s="49"/>
      <c r="F835" s="49"/>
      <c r="W835" s="59"/>
    </row>
    <row r="836" spans="4:23" ht="12.75">
      <c r="D836" s="49"/>
      <c r="E836" s="49"/>
      <c r="F836" s="49"/>
      <c r="W836" s="59"/>
    </row>
    <row r="837" spans="4:23" ht="12.75">
      <c r="D837" s="49"/>
      <c r="E837" s="49"/>
      <c r="F837" s="49"/>
      <c r="W837" s="59"/>
    </row>
    <row r="838" spans="4:23" ht="12.75">
      <c r="D838" s="49"/>
      <c r="E838" s="49"/>
      <c r="F838" s="49"/>
      <c r="W838" s="59"/>
    </row>
    <row r="839" spans="4:23" ht="12.75">
      <c r="D839" s="49"/>
      <c r="E839" s="49"/>
      <c r="F839" s="49"/>
      <c r="W839" s="59"/>
    </row>
    <row r="840" spans="4:23" ht="12.75">
      <c r="D840" s="49"/>
      <c r="E840" s="49"/>
      <c r="F840" s="49"/>
      <c r="W840" s="59"/>
    </row>
    <row r="841" spans="4:23" ht="12.75">
      <c r="D841" s="49"/>
      <c r="E841" s="49"/>
      <c r="F841" s="49"/>
      <c r="W841" s="59"/>
    </row>
    <row r="842" spans="4:23" ht="12.75">
      <c r="D842" s="49"/>
      <c r="E842" s="49"/>
      <c r="F842" s="49"/>
      <c r="W842" s="59"/>
    </row>
    <row r="843" spans="4:23" ht="12.75">
      <c r="D843" s="49"/>
      <c r="E843" s="49"/>
      <c r="F843" s="49"/>
      <c r="W843" s="59"/>
    </row>
    <row r="844" spans="4:23" ht="12.75">
      <c r="D844" s="49"/>
      <c r="E844" s="49"/>
      <c r="F844" s="49"/>
      <c r="W844" s="59"/>
    </row>
    <row r="845" spans="4:23" ht="12.75">
      <c r="D845" s="49"/>
      <c r="E845" s="49"/>
      <c r="F845" s="49"/>
      <c r="W845" s="59"/>
    </row>
    <row r="846" spans="4:23" ht="12.75">
      <c r="D846" s="49"/>
      <c r="E846" s="49"/>
      <c r="F846" s="49"/>
      <c r="W846" s="59"/>
    </row>
    <row r="847" spans="4:23" ht="12.75">
      <c r="D847" s="49"/>
      <c r="E847" s="49"/>
      <c r="F847" s="49"/>
      <c r="W847" s="59"/>
    </row>
    <row r="848" spans="4:23" ht="12.75">
      <c r="D848" s="49"/>
      <c r="E848" s="49"/>
      <c r="F848" s="49"/>
      <c r="W848" s="59"/>
    </row>
    <row r="849" spans="4:23" ht="12.75">
      <c r="D849" s="49"/>
      <c r="E849" s="49"/>
      <c r="F849" s="49"/>
      <c r="W849" s="59"/>
    </row>
    <row r="850" spans="4:23" ht="12.75">
      <c r="D850" s="49"/>
      <c r="E850" s="49"/>
      <c r="F850" s="49"/>
      <c r="W850" s="59"/>
    </row>
    <row r="851" spans="4:23" ht="12.75">
      <c r="D851" s="49"/>
      <c r="E851" s="49"/>
      <c r="F851" s="49"/>
      <c r="W851" s="59"/>
    </row>
    <row r="852" spans="4:23" ht="12.75">
      <c r="D852" s="49"/>
      <c r="E852" s="49"/>
      <c r="F852" s="49"/>
      <c r="W852" s="59"/>
    </row>
    <row r="853" spans="4:23" ht="12.75">
      <c r="D853" s="49"/>
      <c r="E853" s="49"/>
      <c r="F853" s="49"/>
      <c r="W853" s="59"/>
    </row>
    <row r="854" spans="4:23" ht="12.75">
      <c r="D854" s="49"/>
      <c r="E854" s="49"/>
      <c r="F854" s="49"/>
      <c r="W854" s="59"/>
    </row>
    <row r="855" spans="4:23" ht="12.75">
      <c r="D855" s="49"/>
      <c r="E855" s="49"/>
      <c r="F855" s="49"/>
      <c r="W855" s="59"/>
    </row>
    <row r="856" spans="4:23" ht="12.75">
      <c r="D856" s="49"/>
      <c r="E856" s="49"/>
      <c r="F856" s="49"/>
      <c r="W856" s="59"/>
    </row>
    <row r="857" spans="4:23" ht="12.75">
      <c r="D857" s="49"/>
      <c r="E857" s="49"/>
      <c r="F857" s="49"/>
      <c r="W857" s="59"/>
    </row>
    <row r="858" spans="4:23" ht="12.75">
      <c r="D858" s="49"/>
      <c r="E858" s="49"/>
      <c r="F858" s="49"/>
      <c r="W858" s="59"/>
    </row>
    <row r="859" spans="4:23" ht="12.75">
      <c r="D859" s="49"/>
      <c r="E859" s="49"/>
      <c r="F859" s="49"/>
      <c r="W859" s="59"/>
    </row>
    <row r="860" spans="4:23" ht="12.75">
      <c r="D860" s="49"/>
      <c r="E860" s="49"/>
      <c r="F860" s="49"/>
      <c r="W860" s="59"/>
    </row>
    <row r="861" spans="4:23" ht="12.75">
      <c r="D861" s="49"/>
      <c r="E861" s="49"/>
      <c r="F861" s="49"/>
      <c r="W861" s="59"/>
    </row>
    <row r="862" spans="4:23" ht="12.75">
      <c r="D862" s="49"/>
      <c r="E862" s="49"/>
      <c r="F862" s="49"/>
      <c r="W862" s="59"/>
    </row>
    <row r="863" spans="4:23" ht="12.75">
      <c r="D863" s="49"/>
      <c r="E863" s="49"/>
      <c r="F863" s="49"/>
      <c r="W863" s="59"/>
    </row>
    <row r="864" spans="4:23" ht="12.75">
      <c r="D864" s="49"/>
      <c r="E864" s="49"/>
      <c r="F864" s="49"/>
      <c r="W864" s="59"/>
    </row>
    <row r="865" spans="4:23" ht="12.75">
      <c r="D865" s="49"/>
      <c r="E865" s="49"/>
      <c r="F865" s="49"/>
      <c r="W865" s="59"/>
    </row>
    <row r="866" spans="4:23" ht="12.75">
      <c r="D866" s="49"/>
      <c r="E866" s="49"/>
      <c r="F866" s="49"/>
      <c r="W866" s="59"/>
    </row>
    <row r="867" spans="4:23" ht="12.75">
      <c r="D867" s="49"/>
      <c r="E867" s="49"/>
      <c r="F867" s="49"/>
      <c r="W867" s="59"/>
    </row>
    <row r="868" spans="4:23" ht="12.75">
      <c r="D868" s="49"/>
      <c r="E868" s="49"/>
      <c r="F868" s="49"/>
      <c r="W868" s="59"/>
    </row>
    <row r="869" spans="4:23" ht="12.75">
      <c r="D869" s="49"/>
      <c r="E869" s="49"/>
      <c r="F869" s="49"/>
      <c r="W869" s="59"/>
    </row>
    <row r="870" spans="4:23" ht="12.75">
      <c r="D870" s="49"/>
      <c r="E870" s="49"/>
      <c r="F870" s="49"/>
      <c r="W870" s="59"/>
    </row>
    <row r="871" spans="4:23" ht="12.75">
      <c r="D871" s="49"/>
      <c r="E871" s="49"/>
      <c r="F871" s="49"/>
      <c r="W871" s="59"/>
    </row>
    <row r="872" spans="4:23" ht="12.75">
      <c r="D872" s="49"/>
      <c r="E872" s="49"/>
      <c r="F872" s="49"/>
      <c r="W872" s="59"/>
    </row>
    <row r="873" spans="4:23" ht="12.75">
      <c r="D873" s="49"/>
      <c r="E873" s="49"/>
      <c r="F873" s="49"/>
      <c r="W873" s="59"/>
    </row>
    <row r="874" spans="4:23" ht="12.75">
      <c r="D874" s="49"/>
      <c r="E874" s="49"/>
      <c r="F874" s="49"/>
      <c r="W874" s="59"/>
    </row>
    <row r="875" spans="4:23" ht="12.75">
      <c r="D875" s="49"/>
      <c r="E875" s="49"/>
      <c r="F875" s="49"/>
      <c r="W875" s="59"/>
    </row>
    <row r="876" spans="4:23" ht="12.75">
      <c r="D876" s="49"/>
      <c r="E876" s="49"/>
      <c r="F876" s="49"/>
      <c r="W876" s="59"/>
    </row>
    <row r="877" spans="4:23" ht="12.75">
      <c r="D877" s="49"/>
      <c r="E877" s="49"/>
      <c r="F877" s="49"/>
      <c r="W877" s="59"/>
    </row>
    <row r="878" spans="4:23" ht="12.75">
      <c r="D878" s="49"/>
      <c r="E878" s="49"/>
      <c r="F878" s="49"/>
      <c r="W878" s="59"/>
    </row>
    <row r="879" spans="4:23" ht="12.75">
      <c r="D879" s="49"/>
      <c r="E879" s="49"/>
      <c r="F879" s="49"/>
      <c r="W879" s="59"/>
    </row>
    <row r="880" spans="4:23" ht="12.75">
      <c r="D880" s="49"/>
      <c r="E880" s="49"/>
      <c r="F880" s="49"/>
      <c r="W880" s="59"/>
    </row>
    <row r="881" spans="4:23" ht="12.75">
      <c r="D881" s="49"/>
      <c r="E881" s="49"/>
      <c r="F881" s="49"/>
      <c r="W881" s="59"/>
    </row>
    <row r="882" spans="4:23" ht="12.75">
      <c r="D882" s="49"/>
      <c r="E882" s="49"/>
      <c r="F882" s="49"/>
      <c r="W882" s="59"/>
    </row>
    <row r="883" spans="4:23" ht="12.75">
      <c r="D883" s="49"/>
      <c r="E883" s="49"/>
      <c r="F883" s="49"/>
      <c r="W883" s="59"/>
    </row>
    <row r="884" spans="4:23" ht="12.75">
      <c r="D884" s="49"/>
      <c r="E884" s="49"/>
      <c r="F884" s="49"/>
      <c r="W884" s="59"/>
    </row>
    <row r="885" spans="4:23" ht="12.75">
      <c r="D885" s="49"/>
      <c r="E885" s="49"/>
      <c r="F885" s="49"/>
      <c r="W885" s="59"/>
    </row>
    <row r="886" spans="4:23" ht="12.75">
      <c r="D886" s="49"/>
      <c r="E886" s="49"/>
      <c r="F886" s="49"/>
      <c r="W886" s="59"/>
    </row>
    <row r="887" spans="4:23" ht="12.75">
      <c r="D887" s="49"/>
      <c r="E887" s="49"/>
      <c r="F887" s="49"/>
      <c r="W887" s="59"/>
    </row>
    <row r="888" spans="4:23" ht="12.75">
      <c r="D888" s="49"/>
      <c r="E888" s="49"/>
      <c r="F888" s="49"/>
      <c r="W888" s="59"/>
    </row>
    <row r="889" spans="4:23" ht="12.75">
      <c r="D889" s="49"/>
      <c r="E889" s="49"/>
      <c r="F889" s="49"/>
      <c r="W889" s="59"/>
    </row>
    <row r="890" spans="4:23" ht="12.75">
      <c r="D890" s="49"/>
      <c r="E890" s="49"/>
      <c r="F890" s="49"/>
      <c r="W890" s="59"/>
    </row>
    <row r="891" spans="4:23" ht="12.75">
      <c r="D891" s="49"/>
      <c r="E891" s="49"/>
      <c r="F891" s="49"/>
      <c r="W891" s="59"/>
    </row>
    <row r="892" spans="4:23" ht="12.75">
      <c r="D892" s="49"/>
      <c r="E892" s="49"/>
      <c r="F892" s="49"/>
      <c r="W892" s="59"/>
    </row>
    <row r="893" spans="4:23" ht="12.75">
      <c r="D893" s="49"/>
      <c r="E893" s="49"/>
      <c r="F893" s="49"/>
      <c r="W893" s="59"/>
    </row>
    <row r="894" spans="4:23" ht="12.75">
      <c r="D894" s="49"/>
      <c r="E894" s="49"/>
      <c r="F894" s="49"/>
      <c r="W894" s="59"/>
    </row>
    <row r="895" spans="4:23" ht="12.75">
      <c r="D895" s="49"/>
      <c r="E895" s="49"/>
      <c r="F895" s="49"/>
      <c r="W895" s="59"/>
    </row>
    <row r="896" spans="4:23" ht="12.75">
      <c r="D896" s="49"/>
      <c r="E896" s="49"/>
      <c r="F896" s="49"/>
      <c r="W896" s="59"/>
    </row>
    <row r="897" spans="4:23" ht="12.75">
      <c r="D897" s="49"/>
      <c r="E897" s="49"/>
      <c r="F897" s="49"/>
      <c r="W897" s="59"/>
    </row>
    <row r="898" spans="4:23" ht="12.75">
      <c r="D898" s="49"/>
      <c r="E898" s="49"/>
      <c r="F898" s="49"/>
      <c r="W898" s="59"/>
    </row>
    <row r="899" spans="4:23" ht="12.75">
      <c r="D899" s="49"/>
      <c r="E899" s="49"/>
      <c r="F899" s="49"/>
      <c r="W899" s="59"/>
    </row>
    <row r="900" spans="4:23" ht="12.75">
      <c r="D900" s="49"/>
      <c r="E900" s="49"/>
      <c r="F900" s="49"/>
      <c r="W900" s="59"/>
    </row>
    <row r="901" spans="4:23" ht="12.75">
      <c r="D901" s="49"/>
      <c r="E901" s="49"/>
      <c r="F901" s="49"/>
      <c r="W901" s="59"/>
    </row>
    <row r="902" spans="4:23" ht="12.75">
      <c r="D902" s="49"/>
      <c r="E902" s="49"/>
      <c r="F902" s="49"/>
      <c r="W902" s="59"/>
    </row>
    <row r="903" spans="4:23" ht="12.75">
      <c r="D903" s="49"/>
      <c r="E903" s="49"/>
      <c r="F903" s="49"/>
      <c r="W903" s="59"/>
    </row>
    <row r="904" spans="4:23" ht="12.75">
      <c r="D904" s="49"/>
      <c r="E904" s="49"/>
      <c r="F904" s="49"/>
      <c r="W904" s="59"/>
    </row>
    <row r="905" spans="4:23" ht="12.75">
      <c r="D905" s="49"/>
      <c r="E905" s="49"/>
      <c r="F905" s="49"/>
      <c r="W905" s="59"/>
    </row>
    <row r="906" spans="4:23" ht="12.75">
      <c r="D906" s="49"/>
      <c r="E906" s="49"/>
      <c r="F906" s="49"/>
      <c r="W906" s="59"/>
    </row>
    <row r="907" spans="4:23" ht="12.75">
      <c r="D907" s="49"/>
      <c r="E907" s="49"/>
      <c r="F907" s="49"/>
      <c r="W907" s="59"/>
    </row>
    <row r="908" spans="4:23" ht="12.75">
      <c r="D908" s="49"/>
      <c r="E908" s="49"/>
      <c r="F908" s="49"/>
      <c r="W908" s="59"/>
    </row>
    <row r="909" spans="4:23" ht="12.75">
      <c r="D909" s="49"/>
      <c r="E909" s="49"/>
      <c r="F909" s="49"/>
      <c r="W909" s="59"/>
    </row>
    <row r="910" spans="4:23" ht="12.75">
      <c r="D910" s="49"/>
      <c r="E910" s="49"/>
      <c r="F910" s="49"/>
      <c r="W910" s="59"/>
    </row>
    <row r="911" spans="4:23" ht="12.75">
      <c r="D911" s="49"/>
      <c r="E911" s="49"/>
      <c r="F911" s="49"/>
      <c r="W911" s="59"/>
    </row>
    <row r="912" spans="4:23" ht="12.75">
      <c r="D912" s="49"/>
      <c r="E912" s="49"/>
      <c r="F912" s="49"/>
      <c r="W912" s="59"/>
    </row>
    <row r="913" spans="4:23" ht="12.75">
      <c r="D913" s="49"/>
      <c r="E913" s="49"/>
      <c r="F913" s="49"/>
      <c r="W913" s="59"/>
    </row>
    <row r="914" spans="4:23" ht="12.75">
      <c r="D914" s="49"/>
      <c r="E914" s="49"/>
      <c r="F914" s="49"/>
      <c r="W914" s="59"/>
    </row>
    <row r="915" spans="4:23" ht="12.75">
      <c r="D915" s="49"/>
      <c r="E915" s="49"/>
      <c r="F915" s="49"/>
      <c r="W915" s="59"/>
    </row>
    <row r="916" spans="4:23" ht="12.75">
      <c r="D916" s="49"/>
      <c r="E916" s="49"/>
      <c r="F916" s="49"/>
      <c r="W916" s="59"/>
    </row>
    <row r="917" spans="4:23" ht="12.75">
      <c r="D917" s="49"/>
      <c r="E917" s="49"/>
      <c r="F917" s="49"/>
      <c r="W917" s="59"/>
    </row>
    <row r="918" spans="4:23" ht="12.75">
      <c r="D918" s="49"/>
      <c r="E918" s="49"/>
      <c r="F918" s="49"/>
      <c r="W918" s="59"/>
    </row>
    <row r="919" spans="4:23" ht="12.75">
      <c r="D919" s="49"/>
      <c r="E919" s="49"/>
      <c r="F919" s="49"/>
      <c r="W919" s="59"/>
    </row>
    <row r="920" spans="4:23" ht="12.75">
      <c r="D920" s="49"/>
      <c r="E920" s="49"/>
      <c r="F920" s="49"/>
      <c r="W920" s="59"/>
    </row>
    <row r="921" spans="4:23" ht="12.75">
      <c r="D921" s="49"/>
      <c r="E921" s="49"/>
      <c r="F921" s="49"/>
      <c r="W921" s="59"/>
    </row>
    <row r="922" spans="4:23" ht="12.75">
      <c r="D922" s="49"/>
      <c r="E922" s="49"/>
      <c r="F922" s="49"/>
      <c r="W922" s="59"/>
    </row>
    <row r="923" spans="4:23" ht="12.75">
      <c r="D923" s="49"/>
      <c r="E923" s="49"/>
      <c r="F923" s="49"/>
      <c r="W923" s="59"/>
    </row>
    <row r="924" spans="4:23" ht="12.75">
      <c r="D924" s="49"/>
      <c r="E924" s="49"/>
      <c r="F924" s="49"/>
      <c r="W924" s="59"/>
    </row>
    <row r="925" spans="4:23" ht="12.75">
      <c r="D925" s="49"/>
      <c r="E925" s="49"/>
      <c r="F925" s="49"/>
      <c r="W925" s="59"/>
    </row>
    <row r="926" spans="4:23" ht="12.75">
      <c r="D926" s="49"/>
      <c r="E926" s="49"/>
      <c r="F926" s="49"/>
      <c r="W926" s="59"/>
    </row>
    <row r="927" spans="4:23" ht="12.75">
      <c r="D927" s="49"/>
      <c r="E927" s="49"/>
      <c r="F927" s="49"/>
      <c r="W927" s="59"/>
    </row>
    <row r="928" spans="4:23" ht="12.75">
      <c r="D928" s="49"/>
      <c r="E928" s="49"/>
      <c r="F928" s="49"/>
      <c r="W928" s="59"/>
    </row>
    <row r="929" spans="4:23" ht="12.75">
      <c r="D929" s="49"/>
      <c r="E929" s="49"/>
      <c r="F929" s="49"/>
      <c r="W929" s="59"/>
    </row>
    <row r="930" spans="4:23" ht="12.75">
      <c r="D930" s="49"/>
      <c r="E930" s="49"/>
      <c r="F930" s="49"/>
      <c r="W930" s="59"/>
    </row>
    <row r="931" spans="4:23" ht="12.75">
      <c r="D931" s="49"/>
      <c r="E931" s="49"/>
      <c r="F931" s="49"/>
      <c r="W931" s="59"/>
    </row>
    <row r="932" spans="4:23" ht="12.75">
      <c r="D932" s="49"/>
      <c r="E932" s="49"/>
      <c r="F932" s="49"/>
      <c r="W932" s="59"/>
    </row>
    <row r="933" spans="4:23" ht="12.75">
      <c r="D933" s="49"/>
      <c r="E933" s="49"/>
      <c r="F933" s="49"/>
      <c r="W933" s="59"/>
    </row>
    <row r="934" spans="4:23" ht="12.75">
      <c r="D934" s="49"/>
      <c r="E934" s="49"/>
      <c r="F934" s="49"/>
      <c r="W934" s="59"/>
    </row>
    <row r="935" spans="4:23" ht="12.75">
      <c r="D935" s="49"/>
      <c r="E935" s="49"/>
      <c r="F935" s="49"/>
      <c r="W935" s="59"/>
    </row>
    <row r="936" spans="4:23" ht="12.75">
      <c r="D936" s="49"/>
      <c r="E936" s="49"/>
      <c r="F936" s="49"/>
      <c r="W936" s="59"/>
    </row>
    <row r="937" spans="4:23" ht="12.75">
      <c r="D937" s="49"/>
      <c r="E937" s="49"/>
      <c r="F937" s="49"/>
      <c r="W937" s="59"/>
    </row>
    <row r="938" spans="4:23" ht="12.75">
      <c r="D938" s="49"/>
      <c r="E938" s="49"/>
      <c r="F938" s="49"/>
      <c r="W938" s="59"/>
    </row>
    <row r="939" spans="4:23" ht="12.75">
      <c r="D939" s="49"/>
      <c r="E939" s="49"/>
      <c r="F939" s="49"/>
      <c r="W939" s="59"/>
    </row>
    <row r="940" spans="4:23" ht="12.75">
      <c r="D940" s="49"/>
      <c r="E940" s="49"/>
      <c r="F940" s="49"/>
      <c r="W940" s="59"/>
    </row>
    <row r="941" spans="4:23" ht="12.75">
      <c r="D941" s="49"/>
      <c r="E941" s="49"/>
      <c r="F941" s="49"/>
      <c r="W941" s="59"/>
    </row>
    <row r="942" spans="4:23" ht="12.75">
      <c r="D942" s="49"/>
      <c r="E942" s="49"/>
      <c r="F942" s="49"/>
      <c r="W942" s="59"/>
    </row>
    <row r="943" spans="4:23" ht="12.75">
      <c r="D943" s="49"/>
      <c r="E943" s="49"/>
      <c r="F943" s="49"/>
      <c r="W943" s="59"/>
    </row>
    <row r="944" spans="4:23" ht="12.75">
      <c r="D944" s="49"/>
      <c r="E944" s="49"/>
      <c r="F944" s="49"/>
      <c r="W944" s="59"/>
    </row>
    <row r="945" spans="4:23" ht="12.75">
      <c r="D945" s="49"/>
      <c r="E945" s="49"/>
      <c r="F945" s="49"/>
      <c r="W945" s="59"/>
    </row>
    <row r="946" spans="4:23" ht="12.75">
      <c r="D946" s="49"/>
      <c r="E946" s="49"/>
      <c r="F946" s="49"/>
      <c r="W946" s="59"/>
    </row>
    <row r="947" spans="4:23" ht="12.75">
      <c r="D947" s="49"/>
      <c r="E947" s="49"/>
      <c r="F947" s="49"/>
      <c r="W947" s="59"/>
    </row>
    <row r="948" spans="4:23" ht="12.75">
      <c r="D948" s="49"/>
      <c r="E948" s="49"/>
      <c r="F948" s="49"/>
      <c r="W948" s="59"/>
    </row>
    <row r="949" spans="4:23" ht="12.75">
      <c r="D949" s="49"/>
      <c r="E949" s="49"/>
      <c r="F949" s="49"/>
      <c r="W949" s="59"/>
    </row>
    <row r="950" spans="4:23" ht="12.75">
      <c r="D950" s="49"/>
      <c r="E950" s="49"/>
      <c r="F950" s="49"/>
      <c r="W950" s="59"/>
    </row>
    <row r="951" spans="4:23" ht="12.75">
      <c r="D951" s="49"/>
      <c r="E951" s="49"/>
      <c r="F951" s="49"/>
      <c r="W951" s="59"/>
    </row>
    <row r="952" spans="4:23" ht="12.75">
      <c r="D952" s="49"/>
      <c r="E952" s="49"/>
      <c r="F952" s="49"/>
      <c r="W952" s="59"/>
    </row>
    <row r="953" spans="4:23" ht="12.75">
      <c r="D953" s="49"/>
      <c r="E953" s="49"/>
      <c r="F953" s="49"/>
      <c r="W953" s="59"/>
    </row>
    <row r="954" spans="4:23" ht="12.75">
      <c r="D954" s="49"/>
      <c r="E954" s="49"/>
      <c r="F954" s="49"/>
      <c r="W954" s="59"/>
    </row>
    <row r="955" spans="4:23" ht="12.75">
      <c r="D955" s="49"/>
      <c r="E955" s="49"/>
      <c r="F955" s="49"/>
      <c r="W955" s="59"/>
    </row>
    <row r="956" spans="4:23" ht="12.75">
      <c r="D956" s="49"/>
      <c r="E956" s="49"/>
      <c r="F956" s="49"/>
      <c r="W956" s="59"/>
    </row>
    <row r="957" spans="4:23" ht="12.75">
      <c r="D957" s="49"/>
      <c r="E957" s="49"/>
      <c r="F957" s="49"/>
      <c r="W957" s="59"/>
    </row>
    <row r="958" spans="4:23" ht="12.75">
      <c r="D958" s="49"/>
      <c r="E958" s="49"/>
      <c r="F958" s="49"/>
      <c r="W958" s="59"/>
    </row>
    <row r="959" spans="4:23" ht="12.75">
      <c r="D959" s="49"/>
      <c r="E959" s="49"/>
      <c r="F959" s="49"/>
      <c r="W959" s="59"/>
    </row>
    <row r="960" spans="4:23" ht="12.75">
      <c r="D960" s="49"/>
      <c r="E960" s="49"/>
      <c r="F960" s="49"/>
      <c r="W960" s="59"/>
    </row>
    <row r="961" spans="4:23" ht="12.75">
      <c r="D961" s="49"/>
      <c r="E961" s="49"/>
      <c r="F961" s="49"/>
      <c r="W961" s="59"/>
    </row>
    <row r="962" spans="4:23" ht="12.75">
      <c r="D962" s="49"/>
      <c r="E962" s="49"/>
      <c r="F962" s="49"/>
      <c r="W962" s="59"/>
    </row>
    <row r="963" spans="4:23" ht="12.75">
      <c r="D963" s="49"/>
      <c r="E963" s="49"/>
      <c r="F963" s="49"/>
      <c r="W963" s="59"/>
    </row>
    <row r="964" spans="4:23" ht="12.75">
      <c r="D964" s="49"/>
      <c r="E964" s="49"/>
      <c r="F964" s="49"/>
      <c r="W964" s="59"/>
    </row>
    <row r="965" spans="4:23" ht="12.75">
      <c r="D965" s="49"/>
      <c r="E965" s="49"/>
      <c r="F965" s="49"/>
      <c r="W965" s="59"/>
    </row>
    <row r="966" spans="4:23" ht="12.75">
      <c r="D966" s="49"/>
      <c r="E966" s="49"/>
      <c r="F966" s="49"/>
      <c r="W966" s="59"/>
    </row>
    <row r="967" spans="4:23" ht="12.75">
      <c r="D967" s="49"/>
      <c r="E967" s="49"/>
      <c r="F967" s="49"/>
      <c r="W967" s="59"/>
    </row>
    <row r="968" spans="4:23" ht="12.75">
      <c r="D968" s="49"/>
      <c r="E968" s="49"/>
      <c r="F968" s="49"/>
      <c r="W968" s="59"/>
    </row>
    <row r="969" spans="4:23" ht="12.75">
      <c r="D969" s="49"/>
      <c r="E969" s="49"/>
      <c r="F969" s="49"/>
      <c r="W969" s="59"/>
    </row>
    <row r="970" spans="4:23" ht="12.75">
      <c r="D970" s="49"/>
      <c r="E970" s="49"/>
      <c r="F970" s="49"/>
      <c r="W970" s="59"/>
    </row>
    <row r="971" spans="4:23" ht="12.75">
      <c r="D971" s="49"/>
      <c r="E971" s="49"/>
      <c r="F971" s="49"/>
      <c r="W971" s="59"/>
    </row>
    <row r="972" spans="4:23" ht="12.75">
      <c r="D972" s="49"/>
      <c r="E972" s="49"/>
      <c r="F972" s="49"/>
      <c r="W972" s="59"/>
    </row>
    <row r="973" spans="4:23" ht="12.75">
      <c r="D973" s="49"/>
      <c r="E973" s="49"/>
      <c r="F973" s="49"/>
      <c r="W973" s="59"/>
    </row>
    <row r="974" spans="4:23" ht="12.75">
      <c r="D974" s="49"/>
      <c r="E974" s="49"/>
      <c r="F974" s="49"/>
      <c r="W974" s="59"/>
    </row>
    <row r="975" spans="4:23" ht="12.75">
      <c r="D975" s="49"/>
      <c r="E975" s="49"/>
      <c r="F975" s="49"/>
      <c r="W975" s="59"/>
    </row>
    <row r="976" spans="4:23" ht="12.75">
      <c r="D976" s="49"/>
      <c r="E976" s="49"/>
      <c r="F976" s="49"/>
      <c r="W976" s="59"/>
    </row>
    <row r="977" spans="4:23" ht="12.75">
      <c r="D977" s="49"/>
      <c r="E977" s="49"/>
      <c r="F977" s="49"/>
      <c r="W977" s="59"/>
    </row>
    <row r="978" spans="4:23" ht="12.75">
      <c r="D978" s="49"/>
      <c r="E978" s="49"/>
      <c r="F978" s="49"/>
      <c r="W978" s="59"/>
    </row>
    <row r="979" spans="4:23" ht="12.75">
      <c r="D979" s="49"/>
      <c r="E979" s="49"/>
      <c r="F979" s="49"/>
      <c r="W979" s="59"/>
    </row>
    <row r="980" spans="4:23" ht="12.75">
      <c r="D980" s="49"/>
      <c r="E980" s="49"/>
      <c r="F980" s="49"/>
      <c r="W980" s="59"/>
    </row>
    <row r="981" spans="4:23" ht="12.75">
      <c r="D981" s="49"/>
      <c r="E981" s="49"/>
      <c r="F981" s="49"/>
      <c r="W981" s="59"/>
    </row>
    <row r="982" spans="4:23" ht="12.75">
      <c r="D982" s="49"/>
      <c r="E982" s="49"/>
      <c r="F982" s="49"/>
      <c r="W982" s="59"/>
    </row>
    <row r="983" spans="4:23" ht="12.75">
      <c r="D983" s="49"/>
      <c r="E983" s="49"/>
      <c r="F983" s="49"/>
      <c r="W983" s="59"/>
    </row>
    <row r="984" spans="4:23" ht="12.75">
      <c r="D984" s="49"/>
      <c r="E984" s="49"/>
      <c r="F984" s="49"/>
      <c r="W984" s="59"/>
    </row>
    <row r="985" spans="4:23" ht="12.75">
      <c r="D985" s="49"/>
      <c r="E985" s="49"/>
      <c r="F985" s="49"/>
      <c r="W985" s="59"/>
    </row>
    <row r="986" spans="4:23" ht="12.75">
      <c r="D986" s="49"/>
      <c r="E986" s="49"/>
      <c r="F986" s="49"/>
      <c r="W986" s="59"/>
    </row>
    <row r="987" spans="4:23" ht="12.75">
      <c r="D987" s="49"/>
      <c r="E987" s="49"/>
      <c r="F987" s="49"/>
      <c r="W987" s="59"/>
    </row>
  </sheetData>
  <mergeCells count="10">
    <mergeCell ref="V5:Y5"/>
    <mergeCell ref="Z5:AD5"/>
    <mergeCell ref="AE5:AK5"/>
    <mergeCell ref="A1:AD2"/>
    <mergeCell ref="A3:AD4"/>
    <mergeCell ref="A5:B5"/>
    <mergeCell ref="D5:F5"/>
    <mergeCell ref="G5:M5"/>
    <mergeCell ref="N5:P5"/>
    <mergeCell ref="Q5:U5"/>
  </mergeCells>
  <phoneticPr fontId="40" type="noConversion"/>
  <conditionalFormatting sqref="A7:A23">
    <cfRule type="notContainsBlanks" dxfId="4" priority="1">
      <formula>LEN(TRIM(A7))&gt;0</formula>
    </cfRule>
  </conditionalFormatting>
  <dataValidations count="1">
    <dataValidation type="list" allowBlank="1" showErrorMessage="1" sqref="A7:A23" xr:uid="{00000000-0002-0000-0600-000000000000}">
      <formula1>$AE$7:$AE$23</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K987"/>
  <sheetViews>
    <sheetView workbookViewId="0"/>
  </sheetViews>
  <sheetFormatPr defaultColWidth="12.5703125" defaultRowHeight="15.75" customHeight="1"/>
  <cols>
    <col min="2" max="2" width="18.7109375" customWidth="1"/>
    <col min="31" max="31" width="33" customWidth="1"/>
  </cols>
  <sheetData>
    <row r="1" spans="1:37" ht="14.25">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3"/>
      <c r="AF1" s="3"/>
      <c r="AG1" s="4"/>
      <c r="AH1" s="4"/>
      <c r="AI1" s="4"/>
      <c r="AJ1" s="4"/>
      <c r="AK1" s="4"/>
    </row>
    <row r="2" spans="1:37" ht="14.25">
      <c r="A2" s="249"/>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3"/>
      <c r="AF2" s="3"/>
      <c r="AG2" s="4"/>
      <c r="AH2" s="4"/>
      <c r="AI2" s="4"/>
      <c r="AJ2" s="4"/>
      <c r="AK2" s="4"/>
    </row>
    <row r="3" spans="1:37" ht="14.25">
      <c r="A3" s="251" t="s">
        <v>1</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2"/>
      <c r="AE3" s="3" t="s">
        <v>2</v>
      </c>
      <c r="AF3" s="3" t="s">
        <v>3</v>
      </c>
      <c r="AG3" s="4"/>
      <c r="AH3" s="4"/>
      <c r="AI3" s="4"/>
      <c r="AJ3" s="4"/>
      <c r="AK3" s="4"/>
    </row>
    <row r="4" spans="1:37" ht="14.2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5"/>
      <c r="AE4" s="3">
        <v>192.41</v>
      </c>
      <c r="AF4" s="3">
        <v>1385</v>
      </c>
      <c r="AG4" s="4"/>
      <c r="AH4" s="4"/>
      <c r="AI4" s="4"/>
      <c r="AJ4" s="4"/>
      <c r="AK4" s="4"/>
    </row>
    <row r="5" spans="1:37" ht="15">
      <c r="A5" s="235" t="s">
        <v>4</v>
      </c>
      <c r="B5" s="236"/>
      <c r="C5" s="12" t="s">
        <v>4</v>
      </c>
      <c r="D5" s="240"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60" t="s">
        <v>7</v>
      </c>
      <c r="B6" s="60" t="s">
        <v>8</v>
      </c>
      <c r="C6" s="61" t="s">
        <v>9</v>
      </c>
      <c r="D6" s="90" t="s">
        <v>10</v>
      </c>
      <c r="E6" s="90" t="s">
        <v>11</v>
      </c>
      <c r="F6" s="90" t="s">
        <v>12</v>
      </c>
      <c r="G6" s="61" t="s">
        <v>13</v>
      </c>
      <c r="H6" s="61" t="s">
        <v>14</v>
      </c>
      <c r="I6" s="61" t="s">
        <v>15</v>
      </c>
      <c r="J6" s="61" t="s">
        <v>16</v>
      </c>
      <c r="K6" s="61" t="s">
        <v>17</v>
      </c>
      <c r="L6" s="61" t="s">
        <v>18</v>
      </c>
      <c r="M6" s="61" t="s">
        <v>19</v>
      </c>
      <c r="N6" s="19" t="s">
        <v>20</v>
      </c>
      <c r="O6" s="64" t="s">
        <v>6</v>
      </c>
      <c r="P6" s="60" t="s">
        <v>21</v>
      </c>
      <c r="Q6" s="61" t="s">
        <v>22</v>
      </c>
      <c r="R6" s="61" t="s">
        <v>23</v>
      </c>
      <c r="S6" s="61" t="s">
        <v>24</v>
      </c>
      <c r="T6" s="61" t="s">
        <v>25</v>
      </c>
      <c r="U6" s="61" t="s">
        <v>26</v>
      </c>
      <c r="V6" s="60" t="s">
        <v>27</v>
      </c>
      <c r="W6" s="65" t="s">
        <v>28</v>
      </c>
      <c r="X6" s="60"/>
      <c r="Y6" s="60" t="s">
        <v>29</v>
      </c>
      <c r="Z6" s="66" t="s">
        <v>30</v>
      </c>
      <c r="AA6" s="66" t="s">
        <v>31</v>
      </c>
      <c r="AB6" s="66" t="s">
        <v>32</v>
      </c>
      <c r="AC6" s="66" t="s">
        <v>33</v>
      </c>
      <c r="AD6" s="67" t="s">
        <v>34</v>
      </c>
      <c r="AE6" s="3" t="s">
        <v>35</v>
      </c>
      <c r="AF6" s="4" t="s">
        <v>36</v>
      </c>
      <c r="AG6" s="3" t="s">
        <v>37</v>
      </c>
      <c r="AH6" s="3"/>
      <c r="AI6" s="3"/>
      <c r="AJ6" s="3"/>
      <c r="AK6" s="3"/>
    </row>
    <row r="7" spans="1:37" ht="37.5" customHeight="1">
      <c r="A7" s="25" t="s">
        <v>114</v>
      </c>
      <c r="B7" s="25" t="s">
        <v>115</v>
      </c>
      <c r="C7" s="26" t="s">
        <v>39</v>
      </c>
      <c r="D7" s="72">
        <v>20</v>
      </c>
      <c r="E7" s="72">
        <v>14</v>
      </c>
      <c r="F7" s="72">
        <v>5</v>
      </c>
      <c r="G7" s="72">
        <f t="shared" ref="G7:G9" si="0">PRODUCT(D7*E7*F7)</f>
        <v>1400</v>
      </c>
      <c r="H7" s="70">
        <f t="shared" ref="H7:H9" si="1">G7/1000000</f>
        <v>1.4E-3</v>
      </c>
      <c r="I7" s="29">
        <f t="shared" ref="I7:I9" si="2">1/H7</f>
        <v>714.28571428571433</v>
      </c>
      <c r="J7" s="30">
        <f t="shared" ref="J7:J9" si="3">80/I7</f>
        <v>0.11199999999999999</v>
      </c>
      <c r="K7" s="31">
        <f t="shared" ref="K7:K9" si="4">27000/I7</f>
        <v>37.799999999999997</v>
      </c>
      <c r="L7" s="31">
        <f t="shared" ref="L7:L9" si="5">(J7*$AF$4)+K7</f>
        <v>192.91999999999996</v>
      </c>
      <c r="M7" s="32">
        <f t="shared" ref="M7:M9" si="6">T7/R7</f>
        <v>6.5168808454771632E-2</v>
      </c>
      <c r="N7" s="33">
        <v>176</v>
      </c>
      <c r="O7" s="32">
        <f t="shared" ref="O7:O9" ca="1" si="7">SUMIF($AE$6:$AG$23,$A7,$AG$6:$AG$23)</f>
        <v>0</v>
      </c>
      <c r="P7" s="34">
        <v>16</v>
      </c>
      <c r="Q7" s="34">
        <f t="shared" ref="Q7:Q9" si="8">P7*1.15</f>
        <v>18.399999999999999</v>
      </c>
      <c r="R7" s="35">
        <f t="shared" ref="R7:R9" si="9">Q7*$AE$4</f>
        <v>3540.3439999999996</v>
      </c>
      <c r="S7" s="35">
        <f t="shared" ref="S7:S9" ca="1" si="10">R7*O7</f>
        <v>0</v>
      </c>
      <c r="T7" s="35">
        <f t="shared" ref="T7:T9" si="11">L7+K7</f>
        <v>230.71999999999997</v>
      </c>
      <c r="U7" s="35">
        <f t="shared" ref="U7:U9" ca="1" si="12">R7+S7+T7</f>
        <v>3771.0639999999994</v>
      </c>
      <c r="V7" s="35">
        <v>26900</v>
      </c>
      <c r="W7" s="36">
        <v>8.1299999999999997E-2</v>
      </c>
      <c r="X7" s="71"/>
      <c r="Y7" s="35">
        <v>2827</v>
      </c>
      <c r="Z7" s="38">
        <f t="shared" ref="Z7:Z9" si="13">W7+(Y7/V7)</f>
        <v>0.18639293680297397</v>
      </c>
      <c r="AA7" s="39">
        <f t="shared" ref="AA7:AA9" si="14">V7*Z7</f>
        <v>5013.97</v>
      </c>
      <c r="AB7" s="39">
        <f t="shared" ref="AB7:AB9" ca="1" si="15">(V7)/1.1*10%-(R7+AA7+K7+S7+N7+X7)*10%</f>
        <v>1568.6431454545454</v>
      </c>
      <c r="AC7" s="39">
        <f t="shared" ref="AC7:AC9" ca="1" si="16">V7-(U7+AA7+AB7+N7)</f>
        <v>16370.322854545455</v>
      </c>
      <c r="AD7" s="40">
        <f t="shared" ref="AD7:AD9" ca="1" si="17">AC7/V7</f>
        <v>0.608562187901318</v>
      </c>
      <c r="AE7" s="41" t="s">
        <v>40</v>
      </c>
      <c r="AF7" s="41"/>
      <c r="AG7" s="42">
        <v>0.08</v>
      </c>
      <c r="AH7" s="43"/>
      <c r="AI7" s="43"/>
      <c r="AJ7" s="44"/>
      <c r="AK7" s="44"/>
    </row>
    <row r="8" spans="1:37" ht="37.5" customHeight="1">
      <c r="A8" s="25"/>
      <c r="B8" s="25" t="s">
        <v>116</v>
      </c>
      <c r="C8" s="26" t="s">
        <v>39</v>
      </c>
      <c r="D8" s="72">
        <v>23</v>
      </c>
      <c r="E8" s="72">
        <v>13</v>
      </c>
      <c r="F8" s="72">
        <v>8</v>
      </c>
      <c r="G8" s="72">
        <f t="shared" si="0"/>
        <v>2392</v>
      </c>
      <c r="H8" s="70">
        <f t="shared" si="1"/>
        <v>2.392E-3</v>
      </c>
      <c r="I8" s="29">
        <f t="shared" si="2"/>
        <v>418.0602006688963</v>
      </c>
      <c r="J8" s="30">
        <f t="shared" si="3"/>
        <v>0.19136</v>
      </c>
      <c r="K8" s="31">
        <f t="shared" si="4"/>
        <v>64.584000000000003</v>
      </c>
      <c r="L8" s="31">
        <f t="shared" si="5"/>
        <v>329.61759999999998</v>
      </c>
      <c r="M8" s="32">
        <f t="shared" si="6"/>
        <v>5.9384300885262378E-2</v>
      </c>
      <c r="N8" s="33">
        <v>176</v>
      </c>
      <c r="O8" s="32">
        <f t="shared" ca="1" si="7"/>
        <v>0</v>
      </c>
      <c r="P8" s="34">
        <v>30</v>
      </c>
      <c r="Q8" s="34">
        <f t="shared" si="8"/>
        <v>34.5</v>
      </c>
      <c r="R8" s="35">
        <f t="shared" si="9"/>
        <v>6638.1449999999995</v>
      </c>
      <c r="S8" s="35">
        <f t="shared" ca="1" si="10"/>
        <v>0</v>
      </c>
      <c r="T8" s="35">
        <f t="shared" si="11"/>
        <v>394.20159999999998</v>
      </c>
      <c r="U8" s="35">
        <f t="shared" ca="1" si="12"/>
        <v>7032.3465999999999</v>
      </c>
      <c r="V8" s="35">
        <v>29800</v>
      </c>
      <c r="W8" s="36">
        <v>8.1299999999999997E-2</v>
      </c>
      <c r="X8" s="71"/>
      <c r="Y8" s="35">
        <v>2827</v>
      </c>
      <c r="Z8" s="38">
        <f t="shared" si="13"/>
        <v>0.17616577181208054</v>
      </c>
      <c r="AA8" s="39">
        <f t="shared" si="14"/>
        <v>5249.74</v>
      </c>
      <c r="AB8" s="39">
        <f t="shared" ca="1" si="15"/>
        <v>1496.244009090909</v>
      </c>
      <c r="AC8" s="39">
        <f t="shared" ca="1" si="16"/>
        <v>15845.669390909092</v>
      </c>
      <c r="AD8" s="40">
        <f t="shared" ca="1" si="17"/>
        <v>0.53173387217815749</v>
      </c>
      <c r="AE8" s="41"/>
      <c r="AF8" s="41"/>
      <c r="AG8" s="42"/>
      <c r="AH8" s="43"/>
      <c r="AI8" s="43"/>
      <c r="AJ8" s="44"/>
      <c r="AK8" s="44"/>
    </row>
    <row r="9" spans="1:37" ht="37.5" customHeight="1">
      <c r="A9" s="25"/>
      <c r="B9" s="25" t="s">
        <v>117</v>
      </c>
      <c r="C9" s="26" t="s">
        <v>39</v>
      </c>
      <c r="D9" s="72">
        <v>19</v>
      </c>
      <c r="E9" s="72">
        <v>7</v>
      </c>
      <c r="F9" s="72">
        <v>4</v>
      </c>
      <c r="G9" s="72">
        <f t="shared" si="0"/>
        <v>532</v>
      </c>
      <c r="H9" s="70">
        <f t="shared" si="1"/>
        <v>5.3200000000000003E-4</v>
      </c>
      <c r="I9" s="29">
        <f t="shared" si="2"/>
        <v>1879.6992481203006</v>
      </c>
      <c r="J9" s="30">
        <f t="shared" si="3"/>
        <v>4.2560000000000001E-2</v>
      </c>
      <c r="K9" s="31">
        <f t="shared" si="4"/>
        <v>14.364000000000001</v>
      </c>
      <c r="L9" s="31">
        <f t="shared" si="5"/>
        <v>73.309600000000003</v>
      </c>
      <c r="M9" s="32">
        <f t="shared" si="6"/>
        <v>2.3307432670883036E-2</v>
      </c>
      <c r="N9" s="33">
        <v>176</v>
      </c>
      <c r="O9" s="32">
        <f t="shared" ca="1" si="7"/>
        <v>0</v>
      </c>
      <c r="P9" s="34">
        <v>17</v>
      </c>
      <c r="Q9" s="34">
        <f t="shared" si="8"/>
        <v>19.549999999999997</v>
      </c>
      <c r="R9" s="35">
        <f t="shared" si="9"/>
        <v>3761.6154999999994</v>
      </c>
      <c r="S9" s="35">
        <f t="shared" ca="1" si="10"/>
        <v>0</v>
      </c>
      <c r="T9" s="35">
        <f t="shared" si="11"/>
        <v>87.673600000000008</v>
      </c>
      <c r="U9" s="35">
        <f t="shared" ca="1" si="12"/>
        <v>3849.2890999999995</v>
      </c>
      <c r="V9" s="35">
        <v>16800</v>
      </c>
      <c r="W9" s="36">
        <v>8.1299999999999997E-2</v>
      </c>
      <c r="X9" s="71"/>
      <c r="Y9" s="35">
        <v>2827</v>
      </c>
      <c r="Z9" s="38">
        <f t="shared" si="13"/>
        <v>0.24957380952380953</v>
      </c>
      <c r="AA9" s="39">
        <f t="shared" si="14"/>
        <v>4192.84</v>
      </c>
      <c r="AB9" s="39">
        <f t="shared" ca="1" si="15"/>
        <v>712.79077727272727</v>
      </c>
      <c r="AC9" s="39">
        <f t="shared" ca="1" si="16"/>
        <v>7869.0801227272732</v>
      </c>
      <c r="AD9" s="40">
        <f t="shared" ca="1" si="17"/>
        <v>0.4683976263528139</v>
      </c>
      <c r="AE9" s="41"/>
      <c r="AF9" s="41"/>
      <c r="AG9" s="42"/>
      <c r="AH9" s="43"/>
      <c r="AI9" s="43"/>
      <c r="AJ9" s="44"/>
      <c r="AK9" s="44"/>
    </row>
    <row r="10" spans="1:37" ht="37.5" customHeight="1">
      <c r="A10" s="25"/>
      <c r="B10" s="25"/>
      <c r="C10" s="26"/>
      <c r="D10" s="72"/>
      <c r="E10" s="72"/>
      <c r="F10" s="72"/>
      <c r="G10" s="72"/>
      <c r="H10" s="70"/>
      <c r="I10" s="29"/>
      <c r="J10" s="30"/>
      <c r="K10" s="31"/>
      <c r="L10" s="31"/>
      <c r="M10" s="32"/>
      <c r="N10" s="33"/>
      <c r="O10" s="32"/>
      <c r="P10" s="34"/>
      <c r="Q10" s="34"/>
      <c r="R10" s="35"/>
      <c r="S10" s="25"/>
      <c r="T10" s="35"/>
      <c r="U10" s="35"/>
      <c r="V10" s="35"/>
      <c r="W10" s="36"/>
      <c r="X10" s="71"/>
      <c r="Y10" s="35"/>
      <c r="Z10" s="38"/>
      <c r="AA10" s="39"/>
      <c r="AB10" s="39"/>
      <c r="AC10" s="39"/>
      <c r="AD10" s="40"/>
      <c r="AE10" s="41"/>
      <c r="AF10" s="41"/>
      <c r="AG10" s="45"/>
      <c r="AH10" s="43"/>
      <c r="AI10" s="43"/>
      <c r="AJ10" s="44"/>
      <c r="AK10" s="44"/>
    </row>
    <row r="11" spans="1:37" ht="37.5" customHeight="1">
      <c r="A11" s="25"/>
      <c r="B11" s="25"/>
      <c r="C11" s="26"/>
      <c r="D11" s="72"/>
      <c r="E11" s="72"/>
      <c r="F11" s="72"/>
      <c r="G11" s="72"/>
      <c r="H11" s="70"/>
      <c r="I11" s="29"/>
      <c r="J11" s="30"/>
      <c r="K11" s="31"/>
      <c r="L11" s="31"/>
      <c r="M11" s="32"/>
      <c r="N11" s="33"/>
      <c r="O11" s="32"/>
      <c r="P11" s="34"/>
      <c r="Q11" s="34"/>
      <c r="R11" s="35"/>
      <c r="S11" s="25"/>
      <c r="T11" s="35"/>
      <c r="U11" s="35"/>
      <c r="V11" s="35"/>
      <c r="W11" s="36"/>
      <c r="X11" s="71"/>
      <c r="Y11" s="35"/>
      <c r="Z11" s="38"/>
      <c r="AA11" s="39"/>
      <c r="AB11" s="39"/>
      <c r="AC11" s="39"/>
      <c r="AD11" s="40"/>
      <c r="AE11" s="41"/>
      <c r="AF11" s="41"/>
      <c r="AG11" s="45"/>
      <c r="AH11" s="43"/>
      <c r="AI11" s="43"/>
      <c r="AJ11" s="44"/>
      <c r="AK11" s="44"/>
    </row>
    <row r="12" spans="1:37" ht="37.5" customHeight="1">
      <c r="A12" s="25"/>
      <c r="B12" s="25"/>
      <c r="C12" s="26"/>
      <c r="D12" s="72"/>
      <c r="E12" s="72"/>
      <c r="F12" s="72"/>
      <c r="G12" s="72"/>
      <c r="H12" s="70"/>
      <c r="I12" s="29"/>
      <c r="J12" s="30"/>
      <c r="K12" s="31"/>
      <c r="L12" s="31"/>
      <c r="M12" s="32"/>
      <c r="N12" s="33"/>
      <c r="O12" s="32"/>
      <c r="P12" s="34"/>
      <c r="Q12" s="34"/>
      <c r="R12" s="35"/>
      <c r="S12" s="25"/>
      <c r="T12" s="35"/>
      <c r="U12" s="35"/>
      <c r="V12" s="35"/>
      <c r="W12" s="36"/>
      <c r="X12" s="71"/>
      <c r="Y12" s="35"/>
      <c r="Z12" s="38"/>
      <c r="AA12" s="39"/>
      <c r="AB12" s="39"/>
      <c r="AC12" s="39"/>
      <c r="AD12" s="40"/>
      <c r="AE12" s="41"/>
      <c r="AF12" s="41"/>
      <c r="AG12" s="45"/>
      <c r="AH12" s="43"/>
      <c r="AI12" s="43"/>
      <c r="AJ12" s="44"/>
      <c r="AK12" s="44"/>
    </row>
    <row r="13" spans="1:37" ht="37.5" customHeight="1">
      <c r="A13" s="25"/>
      <c r="B13" s="25"/>
      <c r="C13" s="26"/>
      <c r="D13" s="72"/>
      <c r="E13" s="72"/>
      <c r="F13" s="72"/>
      <c r="G13" s="72"/>
      <c r="H13" s="70"/>
      <c r="I13" s="29"/>
      <c r="J13" s="30"/>
      <c r="K13" s="31"/>
      <c r="L13" s="31"/>
      <c r="M13" s="32"/>
      <c r="N13" s="33"/>
      <c r="O13" s="32"/>
      <c r="P13" s="34"/>
      <c r="Q13" s="34"/>
      <c r="R13" s="35"/>
      <c r="S13" s="25"/>
      <c r="T13" s="35"/>
      <c r="U13" s="35"/>
      <c r="V13" s="35"/>
      <c r="W13" s="36"/>
      <c r="X13" s="71"/>
      <c r="Y13" s="35"/>
      <c r="Z13" s="38"/>
      <c r="AA13" s="39"/>
      <c r="AB13" s="39"/>
      <c r="AC13" s="39"/>
      <c r="AD13" s="40"/>
      <c r="AE13" s="41"/>
      <c r="AF13" s="41"/>
      <c r="AG13" s="45"/>
      <c r="AH13" s="43"/>
      <c r="AI13" s="43"/>
      <c r="AJ13" s="44"/>
      <c r="AK13" s="44"/>
    </row>
    <row r="14" spans="1:37" ht="37.5" customHeight="1">
      <c r="A14" s="25"/>
      <c r="B14" s="25"/>
      <c r="C14" s="26"/>
      <c r="D14" s="72"/>
      <c r="E14" s="72"/>
      <c r="F14" s="72"/>
      <c r="G14" s="72"/>
      <c r="H14" s="70"/>
      <c r="I14" s="29"/>
      <c r="J14" s="30"/>
      <c r="K14" s="31"/>
      <c r="L14" s="31"/>
      <c r="M14" s="32"/>
      <c r="N14" s="33"/>
      <c r="O14" s="32"/>
      <c r="P14" s="34"/>
      <c r="Q14" s="34"/>
      <c r="R14" s="35"/>
      <c r="S14" s="25"/>
      <c r="T14" s="35"/>
      <c r="U14" s="35"/>
      <c r="V14" s="35"/>
      <c r="W14" s="36"/>
      <c r="X14" s="71"/>
      <c r="Y14" s="35"/>
      <c r="Z14" s="38"/>
      <c r="AA14" s="39"/>
      <c r="AB14" s="39"/>
      <c r="AC14" s="39"/>
      <c r="AD14" s="40"/>
      <c r="AE14" s="41"/>
      <c r="AF14" s="41"/>
      <c r="AG14" s="45"/>
      <c r="AH14" s="43"/>
      <c r="AI14" s="43"/>
      <c r="AJ14" s="44"/>
      <c r="AK14" s="44"/>
    </row>
    <row r="15" spans="1:37" ht="37.5" customHeight="1">
      <c r="A15" s="25"/>
      <c r="B15" s="25"/>
      <c r="C15" s="26"/>
      <c r="D15" s="72"/>
      <c r="E15" s="72"/>
      <c r="F15" s="72"/>
      <c r="G15" s="72"/>
      <c r="H15" s="70"/>
      <c r="I15" s="29"/>
      <c r="J15" s="30"/>
      <c r="K15" s="31"/>
      <c r="L15" s="31"/>
      <c r="M15" s="32"/>
      <c r="N15" s="33"/>
      <c r="O15" s="32"/>
      <c r="P15" s="34"/>
      <c r="Q15" s="34"/>
      <c r="R15" s="35"/>
      <c r="S15" s="25"/>
      <c r="T15" s="35"/>
      <c r="U15" s="35"/>
      <c r="V15" s="35"/>
      <c r="W15" s="36"/>
      <c r="X15" s="71"/>
      <c r="Y15" s="35"/>
      <c r="Z15" s="38"/>
      <c r="AA15" s="39"/>
      <c r="AB15" s="39"/>
      <c r="AC15" s="39"/>
      <c r="AD15" s="40"/>
      <c r="AE15" s="41"/>
      <c r="AF15" s="41"/>
      <c r="AG15" s="45"/>
      <c r="AH15" s="43"/>
      <c r="AI15" s="43"/>
      <c r="AJ15" s="44"/>
      <c r="AK15" s="44"/>
    </row>
    <row r="16" spans="1:37" ht="37.5" customHeight="1">
      <c r="A16" s="25"/>
      <c r="B16" s="25"/>
      <c r="C16" s="26"/>
      <c r="D16" s="72"/>
      <c r="E16" s="72"/>
      <c r="F16" s="72"/>
      <c r="G16" s="72"/>
      <c r="H16" s="70"/>
      <c r="I16" s="29"/>
      <c r="J16" s="30"/>
      <c r="K16" s="31"/>
      <c r="L16" s="31"/>
      <c r="M16" s="32"/>
      <c r="N16" s="33"/>
      <c r="O16" s="32"/>
      <c r="P16" s="34"/>
      <c r="Q16" s="34"/>
      <c r="R16" s="35"/>
      <c r="S16" s="25"/>
      <c r="T16" s="35"/>
      <c r="U16" s="35"/>
      <c r="V16" s="35"/>
      <c r="W16" s="36"/>
      <c r="X16" s="71"/>
      <c r="Y16" s="35"/>
      <c r="Z16" s="38"/>
      <c r="AA16" s="39"/>
      <c r="AB16" s="39"/>
      <c r="AC16" s="39"/>
      <c r="AD16" s="40"/>
      <c r="AE16" s="41"/>
      <c r="AF16" s="41"/>
      <c r="AG16" s="45"/>
      <c r="AH16" s="43"/>
      <c r="AI16" s="43"/>
      <c r="AJ16" s="44"/>
      <c r="AK16" s="44"/>
    </row>
    <row r="17" spans="1:37" ht="37.5" customHeight="1">
      <c r="A17" s="25"/>
      <c r="B17" s="25"/>
      <c r="C17" s="26"/>
      <c r="D17" s="72"/>
      <c r="E17" s="72"/>
      <c r="F17" s="72"/>
      <c r="G17" s="72"/>
      <c r="H17" s="70"/>
      <c r="I17" s="29"/>
      <c r="J17" s="30"/>
      <c r="K17" s="31"/>
      <c r="L17" s="31"/>
      <c r="M17" s="32"/>
      <c r="N17" s="33"/>
      <c r="O17" s="32"/>
      <c r="P17" s="34"/>
      <c r="Q17" s="34"/>
      <c r="R17" s="35"/>
      <c r="S17" s="25"/>
      <c r="T17" s="35"/>
      <c r="U17" s="35"/>
      <c r="V17" s="35"/>
      <c r="W17" s="36"/>
      <c r="X17" s="71"/>
      <c r="Y17" s="35"/>
      <c r="Z17" s="38"/>
      <c r="AA17" s="39"/>
      <c r="AB17" s="39"/>
      <c r="AC17" s="39"/>
      <c r="AD17" s="40"/>
      <c r="AE17" s="41"/>
      <c r="AF17" s="41"/>
      <c r="AG17" s="45"/>
      <c r="AH17" s="43"/>
      <c r="AI17" s="43"/>
      <c r="AJ17" s="44"/>
      <c r="AK17" s="44"/>
    </row>
    <row r="18" spans="1:37" ht="37.5" customHeight="1">
      <c r="A18" s="25"/>
      <c r="B18" s="25"/>
      <c r="C18" s="26"/>
      <c r="D18" s="72"/>
      <c r="E18" s="72"/>
      <c r="F18" s="72"/>
      <c r="G18" s="72"/>
      <c r="H18" s="70"/>
      <c r="I18" s="29"/>
      <c r="J18" s="30"/>
      <c r="K18" s="31"/>
      <c r="L18" s="31"/>
      <c r="M18" s="32"/>
      <c r="N18" s="34"/>
      <c r="O18" s="32"/>
      <c r="P18" s="34"/>
      <c r="Q18" s="34"/>
      <c r="R18" s="35"/>
      <c r="S18" s="25"/>
      <c r="T18" s="35"/>
      <c r="U18" s="35"/>
      <c r="V18" s="35"/>
      <c r="W18" s="36"/>
      <c r="X18" s="71"/>
      <c r="Y18" s="35"/>
      <c r="Z18" s="38"/>
      <c r="AA18" s="39"/>
      <c r="AB18" s="39"/>
      <c r="AC18" s="39"/>
      <c r="AD18" s="40"/>
      <c r="AE18" s="41"/>
      <c r="AF18" s="41"/>
      <c r="AG18" s="45"/>
      <c r="AH18" s="43"/>
      <c r="AI18" s="43"/>
      <c r="AJ18" s="44"/>
      <c r="AK18" s="44"/>
    </row>
    <row r="19" spans="1:37" ht="37.5" customHeight="1">
      <c r="A19" s="25"/>
      <c r="B19" s="25"/>
      <c r="C19" s="26"/>
      <c r="D19" s="72"/>
      <c r="E19" s="72"/>
      <c r="F19" s="72"/>
      <c r="G19" s="72"/>
      <c r="H19" s="70"/>
      <c r="I19" s="29"/>
      <c r="J19" s="30"/>
      <c r="K19" s="31"/>
      <c r="L19" s="31"/>
      <c r="M19" s="32"/>
      <c r="N19" s="34"/>
      <c r="O19" s="32"/>
      <c r="P19" s="34"/>
      <c r="Q19" s="34"/>
      <c r="R19" s="35"/>
      <c r="S19" s="25"/>
      <c r="T19" s="35"/>
      <c r="U19" s="35"/>
      <c r="V19" s="35"/>
      <c r="W19" s="36"/>
      <c r="X19" s="71"/>
      <c r="Y19" s="35"/>
      <c r="Z19" s="38"/>
      <c r="AA19" s="39"/>
      <c r="AB19" s="39"/>
      <c r="AC19" s="39"/>
      <c r="AD19" s="40"/>
      <c r="AE19" s="41"/>
      <c r="AF19" s="41"/>
      <c r="AG19" s="45"/>
      <c r="AH19" s="43"/>
      <c r="AI19" s="43"/>
      <c r="AJ19" s="44"/>
      <c r="AK19" s="44"/>
    </row>
    <row r="20" spans="1:37" ht="37.5" customHeight="1">
      <c r="A20" s="25"/>
      <c r="B20" s="25"/>
      <c r="C20" s="26"/>
      <c r="D20" s="72"/>
      <c r="E20" s="72"/>
      <c r="F20" s="72"/>
      <c r="G20" s="72"/>
      <c r="H20" s="70"/>
      <c r="I20" s="29"/>
      <c r="J20" s="30"/>
      <c r="K20" s="31"/>
      <c r="L20" s="31"/>
      <c r="M20" s="32"/>
      <c r="N20" s="34"/>
      <c r="O20" s="32"/>
      <c r="P20" s="34"/>
      <c r="Q20" s="34"/>
      <c r="R20" s="35"/>
      <c r="S20" s="25"/>
      <c r="T20" s="35"/>
      <c r="U20" s="35"/>
      <c r="V20" s="35"/>
      <c r="W20" s="36"/>
      <c r="X20" s="71"/>
      <c r="Y20" s="35"/>
      <c r="Z20" s="38"/>
      <c r="AA20" s="39"/>
      <c r="AB20" s="39"/>
      <c r="AC20" s="39"/>
      <c r="AD20" s="40"/>
      <c r="AE20" s="41"/>
      <c r="AF20" s="41"/>
      <c r="AG20" s="45"/>
      <c r="AH20" s="43"/>
      <c r="AI20" s="43"/>
      <c r="AJ20" s="44"/>
      <c r="AK20" s="44"/>
    </row>
    <row r="21" spans="1:37" ht="37.5" customHeight="1">
      <c r="A21" s="25"/>
      <c r="B21" s="25"/>
      <c r="C21" s="26"/>
      <c r="D21" s="72"/>
      <c r="E21" s="72"/>
      <c r="F21" s="72"/>
      <c r="G21" s="72"/>
      <c r="H21" s="70"/>
      <c r="I21" s="29"/>
      <c r="J21" s="30"/>
      <c r="K21" s="31"/>
      <c r="L21" s="31"/>
      <c r="M21" s="32"/>
      <c r="N21" s="34"/>
      <c r="O21" s="32"/>
      <c r="P21" s="34"/>
      <c r="Q21" s="34"/>
      <c r="R21" s="35"/>
      <c r="S21" s="25"/>
      <c r="T21" s="35"/>
      <c r="U21" s="35"/>
      <c r="V21" s="35"/>
      <c r="W21" s="36"/>
      <c r="X21" s="71"/>
      <c r="Y21" s="35"/>
      <c r="Z21" s="38"/>
      <c r="AA21" s="39"/>
      <c r="AB21" s="39"/>
      <c r="AC21" s="39"/>
      <c r="AD21" s="40"/>
      <c r="AE21" s="41"/>
      <c r="AF21" s="41"/>
      <c r="AG21" s="45"/>
      <c r="AH21" s="43"/>
      <c r="AI21" s="43"/>
      <c r="AJ21" s="44"/>
      <c r="AK21" s="44"/>
    </row>
    <row r="22" spans="1:37" ht="37.5" customHeight="1">
      <c r="A22" s="25"/>
      <c r="B22" s="25"/>
      <c r="C22" s="26"/>
      <c r="D22" s="72"/>
      <c r="E22" s="72"/>
      <c r="F22" s="72"/>
      <c r="G22" s="72"/>
      <c r="H22" s="70"/>
      <c r="I22" s="29"/>
      <c r="J22" s="30"/>
      <c r="K22" s="31"/>
      <c r="L22" s="31"/>
      <c r="M22" s="32"/>
      <c r="N22" s="34"/>
      <c r="O22" s="32"/>
      <c r="P22" s="34"/>
      <c r="Q22" s="34"/>
      <c r="R22" s="35"/>
      <c r="S22" s="25"/>
      <c r="T22" s="35"/>
      <c r="U22" s="35"/>
      <c r="V22" s="35"/>
      <c r="W22" s="36"/>
      <c r="X22" s="71"/>
      <c r="Y22" s="35"/>
      <c r="Z22" s="38"/>
      <c r="AA22" s="39"/>
      <c r="AB22" s="39"/>
      <c r="AC22" s="39"/>
      <c r="AD22" s="40"/>
      <c r="AE22" s="41"/>
      <c r="AF22" s="41"/>
      <c r="AG22" s="45"/>
      <c r="AH22" s="43"/>
      <c r="AI22" s="43"/>
      <c r="AJ22" s="44"/>
      <c r="AK22" s="44"/>
    </row>
    <row r="23" spans="1:37" ht="37.5" customHeight="1">
      <c r="A23" s="25"/>
      <c r="B23" s="25"/>
      <c r="C23" s="26"/>
      <c r="D23" s="72"/>
      <c r="E23" s="72"/>
      <c r="F23" s="72"/>
      <c r="G23" s="72"/>
      <c r="H23" s="70"/>
      <c r="I23" s="29"/>
      <c r="J23" s="30"/>
      <c r="K23" s="31"/>
      <c r="L23" s="31"/>
      <c r="M23" s="32"/>
      <c r="N23" s="34"/>
      <c r="O23" s="32"/>
      <c r="P23" s="34"/>
      <c r="Q23" s="34"/>
      <c r="R23" s="35"/>
      <c r="S23" s="25"/>
      <c r="T23" s="35"/>
      <c r="U23" s="35"/>
      <c r="V23" s="35"/>
      <c r="W23" s="36"/>
      <c r="X23" s="71"/>
      <c r="Y23" s="35"/>
      <c r="Z23" s="38"/>
      <c r="AA23" s="39"/>
      <c r="AB23" s="39"/>
      <c r="AC23" s="39"/>
      <c r="AD23" s="40"/>
      <c r="AE23" s="41"/>
      <c r="AF23" s="41"/>
      <c r="AG23" s="45"/>
      <c r="AH23" s="43"/>
      <c r="AI23" s="43"/>
      <c r="AJ23" s="44"/>
      <c r="AK23" s="44"/>
    </row>
    <row r="24" spans="1:37" ht="37.5" customHeight="1">
      <c r="A24" s="52"/>
      <c r="B24" s="52"/>
      <c r="C24" s="52"/>
      <c r="D24" s="52"/>
      <c r="E24" s="52"/>
      <c r="F24" s="52"/>
      <c r="G24" s="52"/>
      <c r="H24" s="52"/>
      <c r="I24" s="52"/>
      <c r="J24" s="52"/>
      <c r="K24" s="52"/>
      <c r="L24" s="52"/>
      <c r="M24" s="52"/>
      <c r="N24" s="52"/>
      <c r="O24" s="52"/>
      <c r="P24" s="52"/>
      <c r="Q24" s="52"/>
      <c r="R24" s="52"/>
      <c r="S24" s="52"/>
      <c r="T24" s="52"/>
      <c r="U24" s="52"/>
      <c r="V24" s="52"/>
      <c r="W24" s="56"/>
      <c r="X24" s="52"/>
      <c r="Y24" s="52"/>
      <c r="Z24" s="52"/>
      <c r="AA24" s="52"/>
      <c r="AB24" s="52"/>
      <c r="AC24" s="52"/>
      <c r="AD24" s="57"/>
      <c r="AE24" s="3"/>
      <c r="AF24" s="58"/>
      <c r="AG24" s="4"/>
      <c r="AH24" s="58"/>
      <c r="AI24" s="4"/>
      <c r="AJ24" s="4"/>
      <c r="AK24" s="4"/>
    </row>
    <row r="25" spans="1:37" ht="37.5" customHeight="1">
      <c r="A25" s="52"/>
      <c r="B25" s="52"/>
      <c r="C25" s="52"/>
      <c r="D25" s="52"/>
      <c r="E25" s="52"/>
      <c r="F25" s="52"/>
      <c r="G25" s="52"/>
      <c r="H25" s="52"/>
      <c r="I25" s="52"/>
      <c r="J25" s="52"/>
      <c r="K25" s="52"/>
      <c r="L25" s="52"/>
      <c r="M25" s="52"/>
      <c r="N25" s="52"/>
      <c r="O25" s="52"/>
      <c r="P25" s="52"/>
      <c r="Q25" s="52"/>
      <c r="R25" s="52"/>
      <c r="S25" s="52"/>
      <c r="T25" s="52"/>
      <c r="U25" s="52"/>
      <c r="V25" s="52"/>
      <c r="W25" s="56"/>
      <c r="X25" s="52"/>
      <c r="Y25" s="52"/>
      <c r="Z25" s="52"/>
      <c r="AA25" s="52"/>
      <c r="AB25" s="52"/>
      <c r="AC25" s="52"/>
      <c r="AD25" s="57"/>
      <c r="AE25" s="3"/>
      <c r="AF25" s="58"/>
      <c r="AG25" s="4"/>
      <c r="AH25" s="58"/>
      <c r="AI25" s="4"/>
      <c r="AJ25" s="4"/>
      <c r="AK25" s="4"/>
    </row>
    <row r="26" spans="1:37" ht="37.5" customHeight="1">
      <c r="A26" s="52"/>
      <c r="B26" s="52"/>
      <c r="C26" s="52"/>
      <c r="D26" s="52"/>
      <c r="E26" s="52"/>
      <c r="F26" s="52"/>
      <c r="G26" s="52"/>
      <c r="H26" s="52"/>
      <c r="I26" s="52"/>
      <c r="J26" s="52"/>
      <c r="K26" s="52"/>
      <c r="L26" s="52"/>
      <c r="M26" s="52"/>
      <c r="N26" s="52"/>
      <c r="O26" s="52"/>
      <c r="P26" s="52"/>
      <c r="Q26" s="52"/>
      <c r="R26" s="52"/>
      <c r="S26" s="52"/>
      <c r="T26" s="52"/>
      <c r="U26" s="52"/>
      <c r="V26" s="52"/>
      <c r="W26" s="56"/>
      <c r="X26" s="52"/>
      <c r="Y26" s="52"/>
      <c r="Z26" s="52"/>
      <c r="AA26" s="52"/>
      <c r="AB26" s="52"/>
      <c r="AC26" s="52"/>
      <c r="AD26" s="57"/>
      <c r="AE26" s="3"/>
      <c r="AF26" s="58"/>
      <c r="AG26" s="4"/>
      <c r="AH26" s="58"/>
      <c r="AI26" s="4"/>
      <c r="AJ26" s="4"/>
      <c r="AK26" s="4"/>
    </row>
    <row r="27" spans="1:37" ht="37.5" customHeight="1">
      <c r="A27" s="52"/>
      <c r="B27" s="52"/>
      <c r="C27" s="52"/>
      <c r="D27" s="52"/>
      <c r="E27" s="52"/>
      <c r="F27" s="52"/>
      <c r="G27" s="52"/>
      <c r="H27" s="52"/>
      <c r="I27" s="52"/>
      <c r="J27" s="52"/>
      <c r="K27" s="52"/>
      <c r="L27" s="52"/>
      <c r="M27" s="52"/>
      <c r="N27" s="52"/>
      <c r="O27" s="52"/>
      <c r="P27" s="52"/>
      <c r="Q27" s="52"/>
      <c r="R27" s="52"/>
      <c r="S27" s="52"/>
      <c r="T27" s="52"/>
      <c r="U27" s="52"/>
      <c r="V27" s="52"/>
      <c r="W27" s="56"/>
      <c r="X27" s="52"/>
      <c r="Y27" s="52"/>
      <c r="Z27" s="52"/>
      <c r="AA27" s="52"/>
      <c r="AB27" s="52"/>
      <c r="AC27" s="52"/>
      <c r="AD27" s="57"/>
      <c r="AE27" s="3"/>
      <c r="AF27" s="58"/>
      <c r="AG27" s="4"/>
      <c r="AH27" s="58"/>
      <c r="AI27" s="4"/>
      <c r="AJ27" s="4"/>
      <c r="AK27" s="4"/>
    </row>
    <row r="28" spans="1:37" ht="37.5" customHeight="1">
      <c r="A28" s="52"/>
      <c r="B28" s="52"/>
      <c r="C28" s="52"/>
      <c r="D28" s="52"/>
      <c r="E28" s="52"/>
      <c r="F28" s="52"/>
      <c r="G28" s="52"/>
      <c r="H28" s="52"/>
      <c r="I28" s="52"/>
      <c r="J28" s="52"/>
      <c r="K28" s="52"/>
      <c r="L28" s="52"/>
      <c r="M28" s="52"/>
      <c r="N28" s="52"/>
      <c r="O28" s="52"/>
      <c r="P28" s="52"/>
      <c r="Q28" s="52"/>
      <c r="R28" s="52"/>
      <c r="S28" s="52"/>
      <c r="T28" s="52"/>
      <c r="U28" s="52"/>
      <c r="V28" s="52"/>
      <c r="W28" s="56"/>
      <c r="X28" s="52"/>
      <c r="Y28" s="52"/>
      <c r="Z28" s="52"/>
      <c r="AA28" s="52"/>
      <c r="AB28" s="52"/>
      <c r="AC28" s="52"/>
      <c r="AD28" s="57"/>
      <c r="AE28" s="3"/>
      <c r="AF28" s="58"/>
      <c r="AG28" s="4"/>
      <c r="AH28" s="58"/>
      <c r="AI28" s="4"/>
      <c r="AJ28" s="4"/>
      <c r="AK28" s="4"/>
    </row>
    <row r="29" spans="1:37" ht="37.5" customHeight="1">
      <c r="A29" s="52"/>
      <c r="B29" s="52"/>
      <c r="C29" s="52"/>
      <c r="D29" s="52"/>
      <c r="E29" s="52"/>
      <c r="F29" s="52"/>
      <c r="G29" s="52"/>
      <c r="H29" s="52"/>
      <c r="I29" s="52"/>
      <c r="J29" s="52"/>
      <c r="K29" s="52"/>
      <c r="L29" s="52"/>
      <c r="M29" s="52"/>
      <c r="N29" s="52"/>
      <c r="O29" s="52"/>
      <c r="P29" s="52"/>
      <c r="Q29" s="52"/>
      <c r="R29" s="52"/>
      <c r="S29" s="52"/>
      <c r="T29" s="52"/>
      <c r="U29" s="52"/>
      <c r="V29" s="52"/>
      <c r="W29" s="56"/>
      <c r="X29" s="52"/>
      <c r="Y29" s="52"/>
      <c r="Z29" s="52"/>
      <c r="AA29" s="52"/>
      <c r="AB29" s="52"/>
      <c r="AC29" s="52"/>
      <c r="AD29" s="57"/>
      <c r="AE29" s="3"/>
      <c r="AF29" s="58"/>
      <c r="AG29" s="4"/>
      <c r="AH29" s="58"/>
      <c r="AI29" s="4"/>
      <c r="AJ29" s="4"/>
      <c r="AK29" s="4"/>
    </row>
    <row r="30" spans="1:37" ht="37.5" customHeight="1">
      <c r="A30" s="52"/>
      <c r="B30" s="52"/>
      <c r="C30" s="52"/>
      <c r="D30" s="52"/>
      <c r="E30" s="52"/>
      <c r="F30" s="52"/>
      <c r="G30" s="52"/>
      <c r="H30" s="52"/>
      <c r="I30" s="52"/>
      <c r="J30" s="52"/>
      <c r="K30" s="52"/>
      <c r="L30" s="52"/>
      <c r="M30" s="52"/>
      <c r="N30" s="52"/>
      <c r="O30" s="52"/>
      <c r="P30" s="52"/>
      <c r="Q30" s="52"/>
      <c r="R30" s="52"/>
      <c r="S30" s="52"/>
      <c r="T30" s="52"/>
      <c r="U30" s="52"/>
      <c r="V30" s="52"/>
      <c r="W30" s="56"/>
      <c r="X30" s="52"/>
      <c r="Y30" s="52"/>
      <c r="Z30" s="52"/>
      <c r="AA30" s="52"/>
      <c r="AB30" s="52"/>
      <c r="AC30" s="52"/>
      <c r="AD30" s="57"/>
      <c r="AE30" s="3"/>
      <c r="AF30" s="58"/>
      <c r="AG30" s="4"/>
      <c r="AH30" s="58"/>
      <c r="AI30" s="4"/>
      <c r="AJ30" s="4"/>
      <c r="AK30" s="4"/>
    </row>
    <row r="31" spans="1:37" ht="37.5" customHeight="1">
      <c r="A31" s="52"/>
      <c r="B31" s="52"/>
      <c r="C31" s="52"/>
      <c r="D31" s="52"/>
      <c r="E31" s="52"/>
      <c r="F31" s="52"/>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row>
    <row r="32" spans="1:37" ht="14.25">
      <c r="A32" s="52"/>
      <c r="B32" s="52"/>
      <c r="C32" s="52"/>
      <c r="D32" s="52"/>
      <c r="E32" s="52"/>
      <c r="F32" s="52"/>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row>
    <row r="33" spans="1:37" ht="14.25">
      <c r="A33" s="52"/>
      <c r="B33" s="52"/>
      <c r="C33" s="52"/>
      <c r="D33" s="52"/>
      <c r="E33" s="52"/>
      <c r="F33" s="52"/>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14.25">
      <c r="A34" s="52"/>
      <c r="B34" s="52"/>
      <c r="C34" s="52"/>
      <c r="D34" s="52"/>
      <c r="E34" s="52"/>
      <c r="F34" s="52"/>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14.25">
      <c r="A35" s="52"/>
      <c r="B35" s="52"/>
      <c r="C35" s="52"/>
      <c r="D35" s="52"/>
      <c r="E35" s="52"/>
      <c r="F35" s="52"/>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14.25">
      <c r="A36" s="52"/>
      <c r="B36" s="52"/>
      <c r="C36" s="52"/>
      <c r="D36" s="52"/>
      <c r="E36" s="52"/>
      <c r="F36" s="52"/>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3"/>
      <c r="AG36" s="4"/>
      <c r="AH36" s="4"/>
      <c r="AI36" s="4"/>
      <c r="AJ36" s="4"/>
      <c r="AK36" s="4"/>
    </row>
    <row r="37" spans="1:37" ht="14.25">
      <c r="A37" s="52"/>
      <c r="B37" s="52"/>
      <c r="C37" s="52"/>
      <c r="D37" s="52"/>
      <c r="E37" s="52"/>
      <c r="F37" s="52"/>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3"/>
      <c r="AG37" s="4"/>
      <c r="AH37" s="4"/>
      <c r="AI37" s="4"/>
      <c r="AJ37" s="4"/>
      <c r="AK37" s="4"/>
    </row>
    <row r="38" spans="1:37" ht="14.25">
      <c r="A38" s="52"/>
      <c r="B38" s="52"/>
      <c r="C38" s="52"/>
      <c r="D38" s="52"/>
      <c r="E38" s="52"/>
      <c r="F38" s="52"/>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3"/>
      <c r="AG38" s="4"/>
      <c r="AH38" s="4"/>
      <c r="AI38" s="4"/>
      <c r="AJ38" s="4"/>
      <c r="AK38" s="4"/>
    </row>
    <row r="39" spans="1:37" ht="14.25">
      <c r="A39" s="52"/>
      <c r="B39" s="52"/>
      <c r="C39" s="52"/>
      <c r="D39" s="52"/>
      <c r="E39" s="52"/>
      <c r="F39" s="52"/>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3"/>
      <c r="AG39" s="4"/>
      <c r="AH39" s="4"/>
      <c r="AI39" s="4"/>
      <c r="AJ39" s="4"/>
      <c r="AK39" s="4"/>
    </row>
    <row r="40" spans="1:37" ht="14.25">
      <c r="A40" s="52"/>
      <c r="B40" s="52"/>
      <c r="C40" s="52"/>
      <c r="D40" s="52"/>
      <c r="E40" s="52"/>
      <c r="F40" s="52"/>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3"/>
      <c r="AG40" s="4"/>
      <c r="AH40" s="4"/>
      <c r="AI40" s="4"/>
      <c r="AJ40" s="4"/>
      <c r="AK40" s="4"/>
    </row>
    <row r="41" spans="1:37" ht="14.25">
      <c r="A41" s="52"/>
      <c r="B41" s="52"/>
      <c r="C41" s="52"/>
      <c r="D41" s="52"/>
      <c r="E41" s="52"/>
      <c r="F41" s="52"/>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3"/>
      <c r="AG41" s="4"/>
      <c r="AH41" s="4"/>
      <c r="AI41" s="4"/>
      <c r="AJ41" s="4"/>
      <c r="AK41" s="4"/>
    </row>
    <row r="42" spans="1:37" ht="14.25">
      <c r="A42" s="52"/>
      <c r="B42" s="52"/>
      <c r="C42" s="52"/>
      <c r="D42" s="52"/>
      <c r="E42" s="52"/>
      <c r="F42" s="52"/>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3"/>
      <c r="AG42" s="4"/>
      <c r="AH42" s="4"/>
      <c r="AI42" s="4"/>
      <c r="AJ42" s="4"/>
      <c r="AK42" s="4"/>
    </row>
    <row r="43" spans="1:37" ht="14.25">
      <c r="A43" s="52"/>
      <c r="B43" s="52"/>
      <c r="C43" s="52"/>
      <c r="D43" s="52"/>
      <c r="E43" s="52"/>
      <c r="F43" s="52"/>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2"/>
      <c r="E44" s="52"/>
      <c r="F44" s="52"/>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2"/>
      <c r="E45" s="52"/>
      <c r="F45" s="52"/>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2"/>
      <c r="E46" s="52"/>
      <c r="F46" s="52"/>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2"/>
      <c r="E47" s="52"/>
      <c r="F47" s="52"/>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2"/>
      <c r="E48" s="52"/>
      <c r="F48" s="52"/>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2"/>
      <c r="E49" s="52"/>
      <c r="F49" s="52"/>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2"/>
      <c r="E50" s="52"/>
      <c r="F50" s="52"/>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2"/>
      <c r="E51" s="52"/>
      <c r="F51" s="52"/>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2"/>
      <c r="E52" s="52"/>
      <c r="F52" s="52"/>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2"/>
      <c r="E53" s="52"/>
      <c r="F53" s="52"/>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2"/>
      <c r="E54" s="52"/>
      <c r="F54" s="52"/>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2"/>
      <c r="E55" s="52"/>
      <c r="F55" s="52"/>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2"/>
      <c r="E56" s="52"/>
      <c r="F56" s="52"/>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2"/>
      <c r="E57" s="52"/>
      <c r="F57" s="52"/>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2"/>
      <c r="E58" s="52"/>
      <c r="F58" s="52"/>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2"/>
      <c r="E59" s="52"/>
      <c r="F59" s="52"/>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2"/>
      <c r="E60" s="52"/>
      <c r="F60" s="52"/>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2"/>
      <c r="E61" s="52"/>
      <c r="F61" s="52"/>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2"/>
      <c r="E62" s="52"/>
      <c r="F62" s="52"/>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2"/>
      <c r="E63" s="52"/>
      <c r="F63" s="52"/>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2"/>
      <c r="E64" s="52"/>
      <c r="F64" s="52"/>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2"/>
      <c r="E65" s="52"/>
      <c r="F65" s="52"/>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2"/>
      <c r="E66" s="52"/>
      <c r="F66" s="52"/>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2"/>
      <c r="E67" s="52"/>
      <c r="F67" s="52"/>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2"/>
      <c r="E68" s="52"/>
      <c r="F68" s="52"/>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2"/>
      <c r="E69" s="52"/>
      <c r="F69" s="52"/>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2"/>
      <c r="E70" s="52"/>
      <c r="F70" s="52"/>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2"/>
      <c r="E71" s="52"/>
      <c r="F71" s="52"/>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2"/>
      <c r="E72" s="52"/>
      <c r="F72" s="52"/>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2"/>
      <c r="E73" s="52"/>
      <c r="F73" s="52"/>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2"/>
      <c r="E74" s="52"/>
      <c r="F74" s="52"/>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2"/>
      <c r="E75" s="52"/>
      <c r="F75" s="52"/>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2"/>
      <c r="E76" s="52"/>
      <c r="F76" s="52"/>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2"/>
      <c r="E77" s="52"/>
      <c r="F77" s="52"/>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2"/>
      <c r="E78" s="52"/>
      <c r="F78" s="52"/>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2"/>
      <c r="E79" s="52"/>
      <c r="F79" s="52"/>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2"/>
      <c r="E80" s="52"/>
      <c r="F80" s="52"/>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2"/>
      <c r="E81" s="52"/>
      <c r="F81" s="52"/>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2"/>
      <c r="E82" s="52"/>
      <c r="F82" s="52"/>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2"/>
      <c r="E83" s="52"/>
      <c r="F83" s="52"/>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2"/>
      <c r="E84" s="52"/>
      <c r="F84" s="52"/>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2"/>
      <c r="E85" s="52"/>
      <c r="F85" s="52"/>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2"/>
      <c r="E86" s="52"/>
      <c r="F86" s="52"/>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2"/>
      <c r="E87" s="52"/>
      <c r="F87" s="52"/>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2"/>
      <c r="E88" s="52"/>
      <c r="F88" s="52"/>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2"/>
      <c r="E89" s="52"/>
      <c r="F89" s="52"/>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2"/>
      <c r="E90" s="52"/>
      <c r="F90" s="52"/>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2"/>
      <c r="E91" s="52"/>
      <c r="F91" s="52"/>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2"/>
      <c r="E92" s="52"/>
      <c r="F92" s="52"/>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2"/>
      <c r="E93" s="52"/>
      <c r="F93" s="52"/>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2"/>
      <c r="E94" s="52"/>
      <c r="F94" s="52"/>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2"/>
      <c r="E95" s="52"/>
      <c r="F95" s="52"/>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2"/>
      <c r="E96" s="52"/>
      <c r="F96" s="52"/>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2"/>
      <c r="E97" s="52"/>
      <c r="F97" s="52"/>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2"/>
      <c r="E98" s="52"/>
      <c r="F98" s="52"/>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2"/>
      <c r="E99" s="52"/>
      <c r="F99" s="52"/>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2.75">
      <c r="W100" s="59"/>
    </row>
    <row r="101" spans="1:37" ht="12.75">
      <c r="W101" s="59"/>
    </row>
    <row r="102" spans="1:37" ht="12.75">
      <c r="W102" s="59"/>
    </row>
    <row r="103" spans="1:37" ht="12.75">
      <c r="W103" s="59"/>
    </row>
    <row r="104" spans="1:37" ht="12.75">
      <c r="W104" s="59"/>
    </row>
    <row r="105" spans="1:37" ht="12.75">
      <c r="W105" s="59"/>
    </row>
    <row r="106" spans="1:37" ht="12.75">
      <c r="W106" s="59"/>
    </row>
    <row r="107" spans="1:37" ht="12.75">
      <c r="W107" s="59"/>
    </row>
    <row r="108" spans="1:37" ht="12.75">
      <c r="W108" s="59"/>
    </row>
    <row r="109" spans="1:37" ht="12.75">
      <c r="W109" s="59"/>
    </row>
    <row r="110" spans="1:37" ht="12.75">
      <c r="W110" s="59"/>
    </row>
    <row r="111" spans="1:37" ht="12.75">
      <c r="W111" s="59"/>
    </row>
    <row r="112" spans="1:37" ht="12.75">
      <c r="W112" s="59"/>
    </row>
    <row r="113" spans="23:23" ht="12.75">
      <c r="W113" s="59"/>
    </row>
    <row r="114" spans="23:23" ht="12.75">
      <c r="W114" s="59"/>
    </row>
    <row r="115" spans="23:23" ht="12.75">
      <c r="W115" s="59"/>
    </row>
    <row r="116" spans="23:23" ht="12.75">
      <c r="W116" s="59"/>
    </row>
    <row r="117" spans="23:23" ht="12.75">
      <c r="W117" s="59"/>
    </row>
    <row r="118" spans="23:23" ht="12.75">
      <c r="W118" s="59"/>
    </row>
    <row r="119" spans="23:23" ht="12.75">
      <c r="W119" s="59"/>
    </row>
    <row r="120" spans="23:23" ht="12.75">
      <c r="W120" s="59"/>
    </row>
    <row r="121" spans="23:23" ht="12.75">
      <c r="W121" s="59"/>
    </row>
    <row r="122" spans="23:23" ht="12.75">
      <c r="W122" s="59"/>
    </row>
    <row r="123" spans="23:23" ht="12.75">
      <c r="W123" s="59"/>
    </row>
    <row r="124" spans="23:23" ht="12.75">
      <c r="W124" s="59"/>
    </row>
    <row r="125" spans="23:23" ht="12.75">
      <c r="W125" s="59"/>
    </row>
    <row r="126" spans="23:23" ht="12.75">
      <c r="W126" s="59"/>
    </row>
    <row r="127" spans="23:23" ht="12.75">
      <c r="W127" s="59"/>
    </row>
    <row r="128" spans="23:23" ht="12.75">
      <c r="W128" s="59"/>
    </row>
    <row r="129" spans="23:23" ht="12.75">
      <c r="W129" s="59"/>
    </row>
    <row r="130" spans="23:23" ht="12.75">
      <c r="W130" s="59"/>
    </row>
    <row r="131" spans="23:23" ht="12.75">
      <c r="W131" s="59"/>
    </row>
    <row r="132" spans="23:23" ht="12.75">
      <c r="W132" s="59"/>
    </row>
    <row r="133" spans="23:23" ht="12.75">
      <c r="W133" s="59"/>
    </row>
    <row r="134" spans="23:23" ht="12.75">
      <c r="W134" s="59"/>
    </row>
    <row r="135" spans="23:23" ht="12.75">
      <c r="W135" s="59"/>
    </row>
    <row r="136" spans="23:23" ht="12.75">
      <c r="W136" s="59"/>
    </row>
    <row r="137" spans="23:23" ht="12.75">
      <c r="W137" s="59"/>
    </row>
    <row r="138" spans="23:23" ht="12.75">
      <c r="W138" s="59"/>
    </row>
    <row r="139" spans="23:23" ht="12.75">
      <c r="W139" s="59"/>
    </row>
    <row r="140" spans="23:23" ht="12.75">
      <c r="W140" s="59"/>
    </row>
    <row r="141" spans="23:23" ht="12.75">
      <c r="W141" s="59"/>
    </row>
    <row r="142" spans="23:23" ht="12.75">
      <c r="W142" s="59"/>
    </row>
    <row r="143" spans="23:23" ht="12.75">
      <c r="W143" s="59"/>
    </row>
    <row r="144" spans="23:23" ht="12.75">
      <c r="W144" s="59"/>
    </row>
    <row r="145" spans="23:23" ht="12.75">
      <c r="W145" s="59"/>
    </row>
    <row r="146" spans="23:23" ht="12.75">
      <c r="W146" s="59"/>
    </row>
    <row r="147" spans="23:23" ht="12.75">
      <c r="W147" s="59"/>
    </row>
    <row r="148" spans="23:23" ht="12.75">
      <c r="W148" s="59"/>
    </row>
    <row r="149" spans="23:23" ht="12.75">
      <c r="W149" s="59"/>
    </row>
    <row r="150" spans="23:23" ht="12.75">
      <c r="W150" s="59"/>
    </row>
    <row r="151" spans="23:23" ht="12.75">
      <c r="W151" s="59"/>
    </row>
    <row r="152" spans="23:23" ht="12.75">
      <c r="W152" s="59"/>
    </row>
    <row r="153" spans="23:23" ht="12.75">
      <c r="W153" s="59"/>
    </row>
    <row r="154" spans="23:23" ht="12.75">
      <c r="W154" s="59"/>
    </row>
    <row r="155" spans="23:23" ht="12.75">
      <c r="W155" s="59"/>
    </row>
    <row r="156" spans="23:23" ht="12.75">
      <c r="W156" s="59"/>
    </row>
    <row r="157" spans="23:23" ht="12.75">
      <c r="W157" s="59"/>
    </row>
    <row r="158" spans="23:23" ht="12.75">
      <c r="W158" s="59"/>
    </row>
    <row r="159" spans="23:23" ht="12.75">
      <c r="W159" s="59"/>
    </row>
    <row r="160" spans="23:23" ht="12.75">
      <c r="W160" s="59"/>
    </row>
    <row r="161" spans="23:23" ht="12.75">
      <c r="W161" s="59"/>
    </row>
    <row r="162" spans="23:23" ht="12.75">
      <c r="W162" s="59"/>
    </row>
    <row r="163" spans="23:23" ht="12.75">
      <c r="W163" s="59"/>
    </row>
    <row r="164" spans="23:23" ht="12.75">
      <c r="W164" s="59"/>
    </row>
    <row r="165" spans="23:23" ht="12.75">
      <c r="W165" s="59"/>
    </row>
    <row r="166" spans="23:23" ht="12.75">
      <c r="W166" s="59"/>
    </row>
    <row r="167" spans="23:23" ht="12.75">
      <c r="W167" s="59"/>
    </row>
    <row r="168" spans="23:23" ht="12.75">
      <c r="W168" s="59"/>
    </row>
    <row r="169" spans="23:23" ht="12.75">
      <c r="W169" s="59"/>
    </row>
    <row r="170" spans="23:23" ht="12.75">
      <c r="W170" s="59"/>
    </row>
    <row r="171" spans="23:23" ht="12.75">
      <c r="W171" s="59"/>
    </row>
    <row r="172" spans="23:23" ht="12.75">
      <c r="W172" s="59"/>
    </row>
    <row r="173" spans="23:23" ht="12.75">
      <c r="W173" s="59"/>
    </row>
    <row r="174" spans="23:23" ht="12.75">
      <c r="W174" s="59"/>
    </row>
    <row r="175" spans="23:23" ht="12.75">
      <c r="W175" s="59"/>
    </row>
    <row r="176" spans="23:23" ht="12.75">
      <c r="W176" s="59"/>
    </row>
    <row r="177" spans="23:23" ht="12.75">
      <c r="W177" s="59"/>
    </row>
    <row r="178" spans="23:23" ht="12.75">
      <c r="W178" s="59"/>
    </row>
    <row r="179" spans="23:23" ht="12.75">
      <c r="W179" s="59"/>
    </row>
    <row r="180" spans="23:23" ht="12.75">
      <c r="W180" s="59"/>
    </row>
    <row r="181" spans="23:23" ht="12.75">
      <c r="W181" s="59"/>
    </row>
    <row r="182" spans="23:23" ht="12.75">
      <c r="W182" s="59"/>
    </row>
    <row r="183" spans="23:23" ht="12.75">
      <c r="W183" s="59"/>
    </row>
    <row r="184" spans="23:23" ht="12.75">
      <c r="W184" s="59"/>
    </row>
    <row r="185" spans="23:23" ht="12.75">
      <c r="W185" s="59"/>
    </row>
    <row r="186" spans="23:23" ht="12.75">
      <c r="W186" s="59"/>
    </row>
    <row r="187" spans="23:23" ht="12.75">
      <c r="W187" s="59"/>
    </row>
    <row r="188" spans="23:23" ht="12.75">
      <c r="W188" s="59"/>
    </row>
    <row r="189" spans="23:23" ht="12.75">
      <c r="W189" s="59"/>
    </row>
    <row r="190" spans="23:23" ht="12.75">
      <c r="W190" s="59"/>
    </row>
    <row r="191" spans="23:23" ht="12.75">
      <c r="W191" s="59"/>
    </row>
    <row r="192" spans="23:23" ht="12.75">
      <c r="W192" s="59"/>
    </row>
    <row r="193" spans="23:23" ht="12.75">
      <c r="W193" s="59"/>
    </row>
    <row r="194" spans="23:23" ht="12.75">
      <c r="W194" s="59"/>
    </row>
    <row r="195" spans="23:23" ht="12.75">
      <c r="W195" s="59"/>
    </row>
    <row r="196" spans="23:23" ht="12.75">
      <c r="W196" s="59"/>
    </row>
    <row r="197" spans="23:23" ht="12.75">
      <c r="W197" s="59"/>
    </row>
    <row r="198" spans="23:23" ht="12.75">
      <c r="W198" s="59"/>
    </row>
    <row r="199" spans="23:23" ht="12.75">
      <c r="W199" s="59"/>
    </row>
    <row r="200" spans="23:23" ht="12.75">
      <c r="W200" s="59"/>
    </row>
    <row r="201" spans="23:23" ht="12.75">
      <c r="W201" s="59"/>
    </row>
    <row r="202" spans="23:23" ht="12.75">
      <c r="W202" s="59"/>
    </row>
    <row r="203" spans="23:23" ht="12.75">
      <c r="W203" s="59"/>
    </row>
    <row r="204" spans="23:23" ht="12.75">
      <c r="W204" s="59"/>
    </row>
    <row r="205" spans="23:23" ht="12.75">
      <c r="W205" s="59"/>
    </row>
    <row r="206" spans="23:23" ht="12.75">
      <c r="W206" s="59"/>
    </row>
    <row r="207" spans="23:23" ht="12.75">
      <c r="W207" s="59"/>
    </row>
    <row r="208" spans="23:23" ht="12.75">
      <c r="W208" s="59"/>
    </row>
    <row r="209" spans="23:23" ht="12.75">
      <c r="W209" s="59"/>
    </row>
    <row r="210" spans="23:23" ht="12.75">
      <c r="W210" s="59"/>
    </row>
    <row r="211" spans="23:23" ht="12.75">
      <c r="W211" s="59"/>
    </row>
    <row r="212" spans="23:23" ht="12.75">
      <c r="W212" s="59"/>
    </row>
    <row r="213" spans="23:23" ht="12.75">
      <c r="W213" s="59"/>
    </row>
    <row r="214" spans="23:23" ht="12.75">
      <c r="W214" s="59"/>
    </row>
    <row r="215" spans="23:23" ht="12.75">
      <c r="W215" s="59"/>
    </row>
    <row r="216" spans="23:23" ht="12.75">
      <c r="W216" s="59"/>
    </row>
    <row r="217" spans="23:23" ht="12.75">
      <c r="W217" s="59"/>
    </row>
    <row r="218" spans="23:23" ht="12.75">
      <c r="W218" s="59"/>
    </row>
    <row r="219" spans="23:23" ht="12.75">
      <c r="W219" s="59"/>
    </row>
    <row r="220" spans="23:23" ht="12.75">
      <c r="W220" s="59"/>
    </row>
    <row r="221" spans="23:23" ht="12.75">
      <c r="W221" s="59"/>
    </row>
    <row r="222" spans="23:23" ht="12.75">
      <c r="W222" s="59"/>
    </row>
    <row r="223" spans="23:23" ht="12.75">
      <c r="W223" s="59"/>
    </row>
    <row r="224" spans="23:23" ht="12.75">
      <c r="W224" s="59"/>
    </row>
    <row r="225" spans="23:23" ht="12.75">
      <c r="W225" s="59"/>
    </row>
    <row r="226" spans="23:23" ht="12.75">
      <c r="W226" s="59"/>
    </row>
    <row r="227" spans="23:23" ht="12.75">
      <c r="W227" s="59"/>
    </row>
    <row r="228" spans="23:23" ht="12.75">
      <c r="W228" s="59"/>
    </row>
    <row r="229" spans="23:23" ht="12.75">
      <c r="W229" s="59"/>
    </row>
    <row r="230" spans="23:23" ht="12.75">
      <c r="W230" s="59"/>
    </row>
    <row r="231" spans="23:23" ht="12.75">
      <c r="W231" s="59"/>
    </row>
    <row r="232" spans="23:23" ht="12.75">
      <c r="W232" s="59"/>
    </row>
    <row r="233" spans="23:23" ht="12.75">
      <c r="W233" s="59"/>
    </row>
    <row r="234" spans="23:23" ht="12.75">
      <c r="W234" s="59"/>
    </row>
    <row r="235" spans="23:23" ht="12.75">
      <c r="W235" s="59"/>
    </row>
    <row r="236" spans="23:23" ht="12.75">
      <c r="W236" s="59"/>
    </row>
    <row r="237" spans="23:23" ht="12.75">
      <c r="W237" s="59"/>
    </row>
    <row r="238" spans="23:23" ht="12.75">
      <c r="W238" s="59"/>
    </row>
    <row r="239" spans="23:23" ht="12.75">
      <c r="W239" s="59"/>
    </row>
    <row r="240" spans="23:23" ht="12.75">
      <c r="W240" s="59"/>
    </row>
    <row r="241" spans="23:23" ht="12.75">
      <c r="W241" s="59"/>
    </row>
    <row r="242" spans="23:23" ht="12.75">
      <c r="W242" s="59"/>
    </row>
    <row r="243" spans="23:23" ht="12.75">
      <c r="W243" s="59"/>
    </row>
    <row r="244" spans="23:23" ht="12.75">
      <c r="W244" s="59"/>
    </row>
    <row r="245" spans="23:23" ht="12.75">
      <c r="W245" s="59"/>
    </row>
    <row r="246" spans="23:23" ht="12.75">
      <c r="W246" s="59"/>
    </row>
    <row r="247" spans="23:23" ht="12.75">
      <c r="W247" s="59"/>
    </row>
    <row r="248" spans="23:23" ht="12.75">
      <c r="W248" s="59"/>
    </row>
    <row r="249" spans="23:23" ht="12.75">
      <c r="W249" s="59"/>
    </row>
    <row r="250" spans="23:23" ht="12.75">
      <c r="W250" s="59"/>
    </row>
    <row r="251" spans="23:23" ht="12.75">
      <c r="W251" s="59"/>
    </row>
    <row r="252" spans="23:23" ht="12.75">
      <c r="W252" s="59"/>
    </row>
    <row r="253" spans="23:23" ht="12.75">
      <c r="W253" s="59"/>
    </row>
    <row r="254" spans="23:23" ht="12.75">
      <c r="W254" s="59"/>
    </row>
    <row r="255" spans="23:23" ht="12.75">
      <c r="W255" s="59"/>
    </row>
    <row r="256" spans="23:23" ht="12.75">
      <c r="W256" s="59"/>
    </row>
    <row r="257" spans="23:23" ht="12.75">
      <c r="W257" s="59"/>
    </row>
    <row r="258" spans="23:23" ht="12.75">
      <c r="W258" s="59"/>
    </row>
    <row r="259" spans="23:23" ht="12.75">
      <c r="W259" s="59"/>
    </row>
    <row r="260" spans="23:23" ht="12.75">
      <c r="W260" s="59"/>
    </row>
    <row r="261" spans="23:23" ht="12.75">
      <c r="W261" s="59"/>
    </row>
    <row r="262" spans="23:23" ht="12.75">
      <c r="W262" s="59"/>
    </row>
    <row r="263" spans="23:23" ht="12.75">
      <c r="W263" s="59"/>
    </row>
    <row r="264" spans="23:23" ht="12.75">
      <c r="W264" s="59"/>
    </row>
    <row r="265" spans="23:23" ht="12.75">
      <c r="W265" s="59"/>
    </row>
    <row r="266" spans="23:23" ht="12.75">
      <c r="W266" s="59"/>
    </row>
    <row r="267" spans="23:23" ht="12.75">
      <c r="W267" s="59"/>
    </row>
    <row r="268" spans="23:23" ht="12.75">
      <c r="W268" s="59"/>
    </row>
    <row r="269" spans="23:23" ht="12.75">
      <c r="W269" s="59"/>
    </row>
    <row r="270" spans="23:23" ht="12.75">
      <c r="W270" s="59"/>
    </row>
    <row r="271" spans="23:23" ht="12.75">
      <c r="W271" s="59"/>
    </row>
    <row r="272" spans="23:23" ht="12.75">
      <c r="W272" s="59"/>
    </row>
    <row r="273" spans="23:23" ht="12.75">
      <c r="W273" s="59"/>
    </row>
    <row r="274" spans="23:23" ht="12.75">
      <c r="W274" s="59"/>
    </row>
    <row r="275" spans="23:23" ht="12.75">
      <c r="W275" s="59"/>
    </row>
    <row r="276" spans="23:23" ht="12.75">
      <c r="W276" s="59"/>
    </row>
    <row r="277" spans="23:23" ht="12.75">
      <c r="W277" s="59"/>
    </row>
    <row r="278" spans="23:23" ht="12.75">
      <c r="W278" s="59"/>
    </row>
    <row r="279" spans="23:23" ht="12.75">
      <c r="W279" s="59"/>
    </row>
    <row r="280" spans="23:23" ht="12.75">
      <c r="W280" s="59"/>
    </row>
    <row r="281" spans="23:23" ht="12.75">
      <c r="W281" s="59"/>
    </row>
    <row r="282" spans="23:23" ht="12.75">
      <c r="W282" s="59"/>
    </row>
    <row r="283" spans="23:23" ht="12.75">
      <c r="W283" s="59"/>
    </row>
    <row r="284" spans="23:23" ht="12.75">
      <c r="W284" s="59"/>
    </row>
    <row r="285" spans="23:23" ht="12.75">
      <c r="W285" s="59"/>
    </row>
    <row r="286" spans="23:23" ht="12.75">
      <c r="W286" s="59"/>
    </row>
    <row r="287" spans="23:23" ht="12.75">
      <c r="W287" s="59"/>
    </row>
    <row r="288" spans="23:23" ht="12.75">
      <c r="W288" s="59"/>
    </row>
    <row r="289" spans="23:23" ht="12.75">
      <c r="W289" s="59"/>
    </row>
    <row r="290" spans="23:23" ht="12.75">
      <c r="W290" s="59"/>
    </row>
    <row r="291" spans="23:23" ht="12.75">
      <c r="W291" s="59"/>
    </row>
    <row r="292" spans="23:23" ht="12.75">
      <c r="W292" s="59"/>
    </row>
    <row r="293" spans="23:23" ht="12.75">
      <c r="W293" s="59"/>
    </row>
    <row r="294" spans="23:23" ht="12.75">
      <c r="W294" s="59"/>
    </row>
    <row r="295" spans="23:23" ht="12.75">
      <c r="W295" s="59"/>
    </row>
    <row r="296" spans="23:23" ht="12.75">
      <c r="W296" s="59"/>
    </row>
    <row r="297" spans="23:23" ht="12.75">
      <c r="W297" s="59"/>
    </row>
    <row r="298" spans="23:23" ht="12.75">
      <c r="W298" s="59"/>
    </row>
    <row r="299" spans="23:23" ht="12.75">
      <c r="W299" s="59"/>
    </row>
    <row r="300" spans="23:23" ht="12.75">
      <c r="W300" s="59"/>
    </row>
    <row r="301" spans="23:23" ht="12.75">
      <c r="W301" s="59"/>
    </row>
    <row r="302" spans="23:23" ht="12.75">
      <c r="W302" s="59"/>
    </row>
    <row r="303" spans="23:23" ht="12.75">
      <c r="W303" s="59"/>
    </row>
    <row r="304" spans="23:23" ht="12.75">
      <c r="W304" s="59"/>
    </row>
    <row r="305" spans="23:23" ht="12.75">
      <c r="W305" s="59"/>
    </row>
    <row r="306" spans="23:23" ht="12.75">
      <c r="W306" s="59"/>
    </row>
    <row r="307" spans="23:23" ht="12.75">
      <c r="W307" s="59"/>
    </row>
    <row r="308" spans="23:23" ht="12.75">
      <c r="W308" s="59"/>
    </row>
    <row r="309" spans="23:23" ht="12.75">
      <c r="W309" s="59"/>
    </row>
    <row r="310" spans="23:23" ht="12.75">
      <c r="W310" s="59"/>
    </row>
    <row r="311" spans="23:23" ht="12.75">
      <c r="W311" s="59"/>
    </row>
    <row r="312" spans="23:23" ht="12.75">
      <c r="W312" s="59"/>
    </row>
    <row r="313" spans="23:23" ht="12.75">
      <c r="W313" s="59"/>
    </row>
    <row r="314" spans="23:23" ht="12.75">
      <c r="W314" s="59"/>
    </row>
    <row r="315" spans="23:23" ht="12.75">
      <c r="W315" s="59"/>
    </row>
    <row r="316" spans="23:23" ht="12.75">
      <c r="W316" s="59"/>
    </row>
    <row r="317" spans="23:23" ht="12.75">
      <c r="W317" s="59"/>
    </row>
    <row r="318" spans="23:23" ht="12.75">
      <c r="W318" s="59"/>
    </row>
    <row r="319" spans="23:23" ht="12.75">
      <c r="W319" s="59"/>
    </row>
    <row r="320" spans="23:23" ht="12.75">
      <c r="W320" s="59"/>
    </row>
    <row r="321" spans="23:23" ht="12.75">
      <c r="W321" s="59"/>
    </row>
    <row r="322" spans="23:23" ht="12.75">
      <c r="W322" s="59"/>
    </row>
    <row r="323" spans="23:23" ht="12.75">
      <c r="W323" s="59"/>
    </row>
    <row r="324" spans="23:23" ht="12.75">
      <c r="W324" s="59"/>
    </row>
    <row r="325" spans="23:23" ht="12.75">
      <c r="W325" s="59"/>
    </row>
    <row r="326" spans="23:23" ht="12.75">
      <c r="W326" s="59"/>
    </row>
    <row r="327" spans="23:23" ht="12.75">
      <c r="W327" s="59"/>
    </row>
    <row r="328" spans="23:23" ht="12.75">
      <c r="W328" s="59"/>
    </row>
    <row r="329" spans="23:23" ht="12.75">
      <c r="W329" s="59"/>
    </row>
    <row r="330" spans="23:23" ht="12.75">
      <c r="W330" s="59"/>
    </row>
    <row r="331" spans="23:23" ht="12.75">
      <c r="W331" s="59"/>
    </row>
    <row r="332" spans="23:23" ht="12.75">
      <c r="W332" s="59"/>
    </row>
    <row r="333" spans="23:23" ht="12.75">
      <c r="W333" s="59"/>
    </row>
    <row r="334" spans="23:23" ht="12.75">
      <c r="W334" s="59"/>
    </row>
    <row r="335" spans="23:23" ht="12.75">
      <c r="W335" s="59"/>
    </row>
    <row r="336" spans="23:23" ht="12.75">
      <c r="W336" s="59"/>
    </row>
    <row r="337" spans="23:23" ht="12.75">
      <c r="W337" s="59"/>
    </row>
    <row r="338" spans="23:23" ht="12.75">
      <c r="W338" s="59"/>
    </row>
    <row r="339" spans="23:23" ht="12.75">
      <c r="W339" s="59"/>
    </row>
    <row r="340" spans="23:23" ht="12.75">
      <c r="W340" s="59"/>
    </row>
    <row r="341" spans="23:23" ht="12.75">
      <c r="W341" s="59"/>
    </row>
    <row r="342" spans="23:23" ht="12.75">
      <c r="W342" s="59"/>
    </row>
    <row r="343" spans="23:23" ht="12.75">
      <c r="W343" s="59"/>
    </row>
    <row r="344" spans="23:23" ht="12.75">
      <c r="W344" s="59"/>
    </row>
    <row r="345" spans="23:23" ht="12.75">
      <c r="W345" s="59"/>
    </row>
    <row r="346" spans="23:23" ht="12.75">
      <c r="W346" s="59"/>
    </row>
    <row r="347" spans="23:23" ht="12.75">
      <c r="W347" s="59"/>
    </row>
    <row r="348" spans="23:23" ht="12.75">
      <c r="W348" s="59"/>
    </row>
    <row r="349" spans="23:23" ht="12.75">
      <c r="W349" s="59"/>
    </row>
    <row r="350" spans="23:23" ht="12.75">
      <c r="W350" s="59"/>
    </row>
    <row r="351" spans="23:23" ht="12.75">
      <c r="W351" s="59"/>
    </row>
    <row r="352" spans="23:23" ht="12.75">
      <c r="W352" s="59"/>
    </row>
    <row r="353" spans="23:23" ht="12.75">
      <c r="W353" s="59"/>
    </row>
    <row r="354" spans="23:23" ht="12.75">
      <c r="W354" s="59"/>
    </row>
    <row r="355" spans="23:23" ht="12.75">
      <c r="W355" s="59"/>
    </row>
    <row r="356" spans="23:23" ht="12.75">
      <c r="W356" s="59"/>
    </row>
    <row r="357" spans="23:23" ht="12.75">
      <c r="W357" s="59"/>
    </row>
    <row r="358" spans="23:23" ht="12.75">
      <c r="W358" s="59"/>
    </row>
    <row r="359" spans="23:23" ht="12.75">
      <c r="W359" s="59"/>
    </row>
    <row r="360" spans="23:23" ht="12.75">
      <c r="W360" s="59"/>
    </row>
    <row r="361" spans="23:23" ht="12.75">
      <c r="W361" s="59"/>
    </row>
    <row r="362" spans="23:23" ht="12.75">
      <c r="W362" s="59"/>
    </row>
    <row r="363" spans="23:23" ht="12.75">
      <c r="W363" s="59"/>
    </row>
    <row r="364" spans="23:23" ht="12.75">
      <c r="W364" s="59"/>
    </row>
    <row r="365" spans="23:23" ht="12.75">
      <c r="W365" s="59"/>
    </row>
    <row r="366" spans="23:23" ht="12.75">
      <c r="W366" s="59"/>
    </row>
    <row r="367" spans="23:23" ht="12.75">
      <c r="W367" s="59"/>
    </row>
    <row r="368" spans="23:23" ht="12.75">
      <c r="W368" s="59"/>
    </row>
    <row r="369" spans="23:23" ht="12.75">
      <c r="W369" s="59"/>
    </row>
    <row r="370" spans="23:23" ht="12.75">
      <c r="W370" s="59"/>
    </row>
    <row r="371" spans="23:23" ht="12.75">
      <c r="W371" s="59"/>
    </row>
    <row r="372" spans="23:23" ht="12.75">
      <c r="W372" s="59"/>
    </row>
    <row r="373" spans="23:23" ht="12.75">
      <c r="W373" s="59"/>
    </row>
    <row r="374" spans="23:23" ht="12.75">
      <c r="W374" s="59"/>
    </row>
    <row r="375" spans="23:23" ht="12.75">
      <c r="W375" s="59"/>
    </row>
    <row r="376" spans="23:23" ht="12.75">
      <c r="W376" s="59"/>
    </row>
    <row r="377" spans="23:23" ht="12.75">
      <c r="W377" s="59"/>
    </row>
    <row r="378" spans="23:23" ht="12.75">
      <c r="W378" s="59"/>
    </row>
    <row r="379" spans="23:23" ht="12.75">
      <c r="W379" s="59"/>
    </row>
    <row r="380" spans="23:23" ht="12.75">
      <c r="W380" s="59"/>
    </row>
    <row r="381" spans="23:23" ht="12.75">
      <c r="W381" s="59"/>
    </row>
    <row r="382" spans="23:23" ht="12.75">
      <c r="W382" s="59"/>
    </row>
    <row r="383" spans="23:23" ht="12.75">
      <c r="W383" s="59"/>
    </row>
    <row r="384" spans="23:23" ht="12.75">
      <c r="W384" s="59"/>
    </row>
    <row r="385" spans="23:23" ht="12.75">
      <c r="W385" s="59"/>
    </row>
    <row r="386" spans="23:23" ht="12.75">
      <c r="W386" s="59"/>
    </row>
    <row r="387" spans="23:23" ht="12.75">
      <c r="W387" s="59"/>
    </row>
    <row r="388" spans="23:23" ht="12.75">
      <c r="W388" s="59"/>
    </row>
    <row r="389" spans="23:23" ht="12.75">
      <c r="W389" s="59"/>
    </row>
    <row r="390" spans="23:23" ht="12.75">
      <c r="W390" s="59"/>
    </row>
    <row r="391" spans="23:23" ht="12.75">
      <c r="W391" s="59"/>
    </row>
    <row r="392" spans="23:23" ht="12.75">
      <c r="W392" s="59"/>
    </row>
    <row r="393" spans="23:23" ht="12.75">
      <c r="W393" s="59"/>
    </row>
    <row r="394" spans="23:23" ht="12.75">
      <c r="W394" s="59"/>
    </row>
    <row r="395" spans="23:23" ht="12.75">
      <c r="W395" s="59"/>
    </row>
    <row r="396" spans="23:23" ht="12.75">
      <c r="W396" s="59"/>
    </row>
    <row r="397" spans="23:23" ht="12.75">
      <c r="W397" s="59"/>
    </row>
    <row r="398" spans="23:23" ht="12.75">
      <c r="W398" s="59"/>
    </row>
    <row r="399" spans="23:23" ht="12.75">
      <c r="W399" s="59"/>
    </row>
    <row r="400" spans="23:23" ht="12.75">
      <c r="W400" s="59"/>
    </row>
    <row r="401" spans="23:23" ht="12.75">
      <c r="W401" s="59"/>
    </row>
    <row r="402" spans="23:23" ht="12.75">
      <c r="W402" s="59"/>
    </row>
    <row r="403" spans="23:23" ht="12.75">
      <c r="W403" s="59"/>
    </row>
    <row r="404" spans="23:23" ht="12.75">
      <c r="W404" s="59"/>
    </row>
    <row r="405" spans="23:23" ht="12.75">
      <c r="W405" s="59"/>
    </row>
    <row r="406" spans="23:23" ht="12.75">
      <c r="W406" s="59"/>
    </row>
    <row r="407" spans="23:23" ht="12.75">
      <c r="W407" s="59"/>
    </row>
    <row r="408" spans="23:23" ht="12.75">
      <c r="W408" s="59"/>
    </row>
    <row r="409" spans="23:23" ht="12.75">
      <c r="W409" s="59"/>
    </row>
    <row r="410" spans="23:23" ht="12.75">
      <c r="W410" s="59"/>
    </row>
    <row r="411" spans="23:23" ht="12.75">
      <c r="W411" s="59"/>
    </row>
    <row r="412" spans="23:23" ht="12.75">
      <c r="W412" s="59"/>
    </row>
    <row r="413" spans="23:23" ht="12.75">
      <c r="W413" s="59"/>
    </row>
    <row r="414" spans="23:23" ht="12.75">
      <c r="W414" s="59"/>
    </row>
    <row r="415" spans="23:23" ht="12.75">
      <c r="W415" s="59"/>
    </row>
    <row r="416" spans="23:23" ht="12.75">
      <c r="W416" s="59"/>
    </row>
    <row r="417" spans="23:23" ht="12.75">
      <c r="W417" s="59"/>
    </row>
    <row r="418" spans="23:23" ht="12.75">
      <c r="W418" s="59"/>
    </row>
    <row r="419" spans="23:23" ht="12.75">
      <c r="W419" s="59"/>
    </row>
    <row r="420" spans="23:23" ht="12.75">
      <c r="W420" s="59"/>
    </row>
    <row r="421" spans="23:23" ht="12.75">
      <c r="W421" s="59"/>
    </row>
    <row r="422" spans="23:23" ht="12.75">
      <c r="W422" s="59"/>
    </row>
    <row r="423" spans="23:23" ht="12.75">
      <c r="W423" s="59"/>
    </row>
    <row r="424" spans="23:23" ht="12.75">
      <c r="W424" s="59"/>
    </row>
    <row r="425" spans="23:23" ht="12.75">
      <c r="W425" s="59"/>
    </row>
    <row r="426" spans="23:23" ht="12.75">
      <c r="W426" s="59"/>
    </row>
    <row r="427" spans="23:23" ht="12.75">
      <c r="W427" s="59"/>
    </row>
    <row r="428" spans="23:23" ht="12.75">
      <c r="W428" s="59"/>
    </row>
    <row r="429" spans="23:23" ht="12.75">
      <c r="W429" s="59"/>
    </row>
    <row r="430" spans="23:23" ht="12.75">
      <c r="W430" s="59"/>
    </row>
    <row r="431" spans="23:23" ht="12.75">
      <c r="W431" s="59"/>
    </row>
    <row r="432" spans="23:23" ht="12.75">
      <c r="W432" s="59"/>
    </row>
    <row r="433" spans="23:23" ht="12.75">
      <c r="W433" s="59"/>
    </row>
    <row r="434" spans="23:23" ht="12.75">
      <c r="W434" s="59"/>
    </row>
    <row r="435" spans="23:23" ht="12.75">
      <c r="W435" s="59"/>
    </row>
    <row r="436" spans="23:23" ht="12.75">
      <c r="W436" s="59"/>
    </row>
    <row r="437" spans="23:23" ht="12.75">
      <c r="W437" s="59"/>
    </row>
    <row r="438" spans="23:23" ht="12.75">
      <c r="W438" s="59"/>
    </row>
    <row r="439" spans="23:23" ht="12.75">
      <c r="W439" s="59"/>
    </row>
    <row r="440" spans="23:23" ht="12.75">
      <c r="W440" s="59"/>
    </row>
    <row r="441" spans="23:23" ht="12.75">
      <c r="W441" s="59"/>
    </row>
    <row r="442" spans="23:23" ht="12.75">
      <c r="W442" s="59"/>
    </row>
    <row r="443" spans="23:23" ht="12.75">
      <c r="W443" s="59"/>
    </row>
    <row r="444" spans="23:23" ht="12.75">
      <c r="W444" s="59"/>
    </row>
    <row r="445" spans="23:23" ht="12.75">
      <c r="W445" s="59"/>
    </row>
    <row r="446" spans="23:23" ht="12.75">
      <c r="W446" s="59"/>
    </row>
    <row r="447" spans="23:23" ht="12.75">
      <c r="W447" s="59"/>
    </row>
    <row r="448" spans="23:23" ht="12.75">
      <c r="W448" s="59"/>
    </row>
    <row r="449" spans="23:23" ht="12.75">
      <c r="W449" s="59"/>
    </row>
    <row r="450" spans="23:23" ht="12.75">
      <c r="W450" s="59"/>
    </row>
    <row r="451" spans="23:23" ht="12.75">
      <c r="W451" s="59"/>
    </row>
    <row r="452" spans="23:23" ht="12.75">
      <c r="W452" s="59"/>
    </row>
    <row r="453" spans="23:23" ht="12.75">
      <c r="W453" s="59"/>
    </row>
    <row r="454" spans="23:23" ht="12.75">
      <c r="W454" s="59"/>
    </row>
    <row r="455" spans="23:23" ht="12.75">
      <c r="W455" s="59"/>
    </row>
    <row r="456" spans="23:23" ht="12.75">
      <c r="W456" s="59"/>
    </row>
    <row r="457" spans="23:23" ht="12.75">
      <c r="W457" s="59"/>
    </row>
    <row r="458" spans="23:23" ht="12.75">
      <c r="W458" s="59"/>
    </row>
    <row r="459" spans="23:23" ht="12.75">
      <c r="W459" s="59"/>
    </row>
    <row r="460" spans="23:23" ht="12.75">
      <c r="W460" s="59"/>
    </row>
    <row r="461" spans="23:23" ht="12.75">
      <c r="W461" s="59"/>
    </row>
    <row r="462" spans="23:23" ht="12.75">
      <c r="W462" s="59"/>
    </row>
    <row r="463" spans="23:23" ht="12.75">
      <c r="W463" s="59"/>
    </row>
    <row r="464" spans="23:23" ht="12.75">
      <c r="W464" s="59"/>
    </row>
    <row r="465" spans="23:23" ht="12.75">
      <c r="W465" s="59"/>
    </row>
    <row r="466" spans="23:23" ht="12.75">
      <c r="W466" s="59"/>
    </row>
    <row r="467" spans="23:23" ht="12.75">
      <c r="W467" s="59"/>
    </row>
    <row r="468" spans="23:23" ht="12.75">
      <c r="W468" s="59"/>
    </row>
    <row r="469" spans="23:23" ht="12.75">
      <c r="W469" s="59"/>
    </row>
    <row r="470" spans="23:23" ht="12.75">
      <c r="W470" s="59"/>
    </row>
    <row r="471" spans="23:23" ht="12.75">
      <c r="W471" s="59"/>
    </row>
    <row r="472" spans="23:23" ht="12.75">
      <c r="W472" s="59"/>
    </row>
    <row r="473" spans="23:23" ht="12.75">
      <c r="W473" s="59"/>
    </row>
    <row r="474" spans="23:23" ht="12.75">
      <c r="W474" s="59"/>
    </row>
    <row r="475" spans="23:23" ht="12.75">
      <c r="W475" s="59"/>
    </row>
    <row r="476" spans="23:23" ht="12.75">
      <c r="W476" s="59"/>
    </row>
    <row r="477" spans="23:23" ht="12.75">
      <c r="W477" s="59"/>
    </row>
    <row r="478" spans="23:23" ht="12.75">
      <c r="W478" s="59"/>
    </row>
    <row r="479" spans="23:23" ht="12.75">
      <c r="W479" s="59"/>
    </row>
    <row r="480" spans="23:23" ht="12.75">
      <c r="W480" s="59"/>
    </row>
    <row r="481" spans="23:23" ht="12.75">
      <c r="W481" s="59"/>
    </row>
    <row r="482" spans="23:23" ht="12.75">
      <c r="W482" s="59"/>
    </row>
    <row r="483" spans="23:23" ht="12.75">
      <c r="W483" s="59"/>
    </row>
    <row r="484" spans="23:23" ht="12.75">
      <c r="W484" s="59"/>
    </row>
    <row r="485" spans="23:23" ht="12.75">
      <c r="W485" s="59"/>
    </row>
    <row r="486" spans="23:23" ht="12.75">
      <c r="W486" s="59"/>
    </row>
    <row r="487" spans="23:23" ht="12.75">
      <c r="W487" s="59"/>
    </row>
    <row r="488" spans="23:23" ht="12.75">
      <c r="W488" s="59"/>
    </row>
    <row r="489" spans="23:23" ht="12.75">
      <c r="W489" s="59"/>
    </row>
    <row r="490" spans="23:23" ht="12.75">
      <c r="W490" s="59"/>
    </row>
    <row r="491" spans="23:23" ht="12.75">
      <c r="W491" s="59"/>
    </row>
    <row r="492" spans="23:23" ht="12.75">
      <c r="W492" s="59"/>
    </row>
    <row r="493" spans="23:23" ht="12.75">
      <c r="W493" s="59"/>
    </row>
    <row r="494" spans="23:23" ht="12.75">
      <c r="W494" s="59"/>
    </row>
    <row r="495" spans="23:23" ht="12.75">
      <c r="W495" s="59"/>
    </row>
    <row r="496" spans="23:23" ht="12.75">
      <c r="W496" s="59"/>
    </row>
    <row r="497" spans="23:23" ht="12.75">
      <c r="W497" s="59"/>
    </row>
    <row r="498" spans="23:23" ht="12.75">
      <c r="W498" s="59"/>
    </row>
    <row r="499" spans="23:23" ht="12.75">
      <c r="W499" s="59"/>
    </row>
    <row r="500" spans="23:23" ht="12.75">
      <c r="W500" s="59"/>
    </row>
    <row r="501" spans="23:23" ht="12.75">
      <c r="W501" s="59"/>
    </row>
    <row r="502" spans="23:23" ht="12.75">
      <c r="W502" s="59"/>
    </row>
    <row r="503" spans="23:23" ht="12.75">
      <c r="W503" s="59"/>
    </row>
    <row r="504" spans="23:23" ht="12.75">
      <c r="W504" s="59"/>
    </row>
    <row r="505" spans="23:23" ht="12.75">
      <c r="W505" s="59"/>
    </row>
    <row r="506" spans="23:23" ht="12.75">
      <c r="W506" s="59"/>
    </row>
    <row r="507" spans="23:23" ht="12.75">
      <c r="W507" s="59"/>
    </row>
    <row r="508" spans="23:23" ht="12.75">
      <c r="W508" s="59"/>
    </row>
    <row r="509" spans="23:23" ht="12.75">
      <c r="W509" s="59"/>
    </row>
    <row r="510" spans="23:23" ht="12.75">
      <c r="W510" s="59"/>
    </row>
    <row r="511" spans="23:23" ht="12.75">
      <c r="W511" s="59"/>
    </row>
    <row r="512" spans="23:23" ht="12.75">
      <c r="W512" s="59"/>
    </row>
    <row r="513" spans="23:23" ht="12.75">
      <c r="W513" s="59"/>
    </row>
    <row r="514" spans="23:23" ht="12.75">
      <c r="W514" s="59"/>
    </row>
    <row r="515" spans="23:23" ht="12.75">
      <c r="W515" s="59"/>
    </row>
    <row r="516" spans="23:23" ht="12.75">
      <c r="W516" s="59"/>
    </row>
    <row r="517" spans="23:23" ht="12.75">
      <c r="W517" s="59"/>
    </row>
    <row r="518" spans="23:23" ht="12.75">
      <c r="W518" s="59"/>
    </row>
    <row r="519" spans="23:23" ht="12.75">
      <c r="W519" s="59"/>
    </row>
    <row r="520" spans="23:23" ht="12.75">
      <c r="W520" s="59"/>
    </row>
    <row r="521" spans="23:23" ht="12.75">
      <c r="W521" s="59"/>
    </row>
    <row r="522" spans="23:23" ht="12.75">
      <c r="W522" s="59"/>
    </row>
    <row r="523" spans="23:23" ht="12.75">
      <c r="W523" s="59"/>
    </row>
    <row r="524" spans="23:23" ht="12.75">
      <c r="W524" s="59"/>
    </row>
    <row r="525" spans="23:23" ht="12.75">
      <c r="W525" s="59"/>
    </row>
    <row r="526" spans="23:23" ht="12.75">
      <c r="W526" s="59"/>
    </row>
    <row r="527" spans="23:23" ht="12.75">
      <c r="W527" s="59"/>
    </row>
    <row r="528" spans="23:23" ht="12.75">
      <c r="W528" s="59"/>
    </row>
    <row r="529" spans="23:23" ht="12.75">
      <c r="W529" s="59"/>
    </row>
    <row r="530" spans="23:23" ht="12.75">
      <c r="W530" s="59"/>
    </row>
    <row r="531" spans="23:23" ht="12.75">
      <c r="W531" s="59"/>
    </row>
    <row r="532" spans="23:23" ht="12.75">
      <c r="W532" s="59"/>
    </row>
    <row r="533" spans="23:23" ht="12.75">
      <c r="W533" s="59"/>
    </row>
    <row r="534" spans="23:23" ht="12.75">
      <c r="W534" s="59"/>
    </row>
    <row r="535" spans="23:23" ht="12.75">
      <c r="W535" s="59"/>
    </row>
    <row r="536" spans="23:23" ht="12.75">
      <c r="W536" s="59"/>
    </row>
    <row r="537" spans="23:23" ht="12.75">
      <c r="W537" s="59"/>
    </row>
    <row r="538" spans="23:23" ht="12.75">
      <c r="W538" s="59"/>
    </row>
    <row r="539" spans="23:23" ht="12.75">
      <c r="W539" s="59"/>
    </row>
    <row r="540" spans="23:23" ht="12.75">
      <c r="W540" s="59"/>
    </row>
    <row r="541" spans="23:23" ht="12.75">
      <c r="W541" s="59"/>
    </row>
    <row r="542" spans="23:23" ht="12.75">
      <c r="W542" s="59"/>
    </row>
    <row r="543" spans="23:23" ht="12.75">
      <c r="W543" s="59"/>
    </row>
    <row r="544" spans="23:23" ht="12.75">
      <c r="W544" s="59"/>
    </row>
    <row r="545" spans="23:23" ht="12.75">
      <c r="W545" s="59"/>
    </row>
    <row r="546" spans="23:23" ht="12.75">
      <c r="W546" s="59"/>
    </row>
    <row r="547" spans="23:23" ht="12.75">
      <c r="W547" s="59"/>
    </row>
    <row r="548" spans="23:23" ht="12.75">
      <c r="W548" s="59"/>
    </row>
    <row r="549" spans="23:23" ht="12.75">
      <c r="W549" s="59"/>
    </row>
    <row r="550" spans="23:23" ht="12.75">
      <c r="W550" s="59"/>
    </row>
    <row r="551" spans="23:23" ht="12.75">
      <c r="W551" s="59"/>
    </row>
    <row r="552" spans="23:23" ht="12.75">
      <c r="W552" s="59"/>
    </row>
    <row r="553" spans="23:23" ht="12.75">
      <c r="W553" s="59"/>
    </row>
    <row r="554" spans="23:23" ht="12.75">
      <c r="W554" s="59"/>
    </row>
    <row r="555" spans="23:23" ht="12.75">
      <c r="W555" s="59"/>
    </row>
    <row r="556" spans="23:23" ht="12.75">
      <c r="W556" s="59"/>
    </row>
    <row r="557" spans="23:23" ht="12.75">
      <c r="W557" s="59"/>
    </row>
    <row r="558" spans="23:23" ht="12.75">
      <c r="W558" s="59"/>
    </row>
    <row r="559" spans="23:23" ht="12.75">
      <c r="W559" s="59"/>
    </row>
    <row r="560" spans="23:23" ht="12.75">
      <c r="W560" s="59"/>
    </row>
    <row r="561" spans="23:23" ht="12.75">
      <c r="W561" s="59"/>
    </row>
    <row r="562" spans="23:23" ht="12.75">
      <c r="W562" s="59"/>
    </row>
    <row r="563" spans="23:23" ht="12.75">
      <c r="W563" s="59"/>
    </row>
    <row r="564" spans="23:23" ht="12.75">
      <c r="W564" s="59"/>
    </row>
    <row r="565" spans="23:23" ht="12.75">
      <c r="W565" s="59"/>
    </row>
    <row r="566" spans="23:23" ht="12.75">
      <c r="W566" s="59"/>
    </row>
    <row r="567" spans="23:23" ht="12.75">
      <c r="W567" s="59"/>
    </row>
    <row r="568" spans="23:23" ht="12.75">
      <c r="W568" s="59"/>
    </row>
    <row r="569" spans="23:23" ht="12.75">
      <c r="W569" s="59"/>
    </row>
    <row r="570" spans="23:23" ht="12.75">
      <c r="W570" s="59"/>
    </row>
    <row r="571" spans="23:23" ht="12.75">
      <c r="W571" s="59"/>
    </row>
    <row r="572" spans="23:23" ht="12.75">
      <c r="W572" s="59"/>
    </row>
    <row r="573" spans="23:23" ht="12.75">
      <c r="W573" s="59"/>
    </row>
    <row r="574" spans="23:23" ht="12.75">
      <c r="W574" s="59"/>
    </row>
    <row r="575" spans="23:23" ht="12.75">
      <c r="W575" s="59"/>
    </row>
    <row r="576" spans="23:23" ht="12.75">
      <c r="W576" s="59"/>
    </row>
    <row r="577" spans="23:23" ht="12.75">
      <c r="W577" s="59"/>
    </row>
    <row r="578" spans="23:23" ht="12.75">
      <c r="W578" s="59"/>
    </row>
    <row r="579" spans="23:23" ht="12.75">
      <c r="W579" s="59"/>
    </row>
    <row r="580" spans="23:23" ht="12.75">
      <c r="W580" s="59"/>
    </row>
    <row r="581" spans="23:23" ht="12.75">
      <c r="W581" s="59"/>
    </row>
    <row r="582" spans="23:23" ht="12.75">
      <c r="W582" s="59"/>
    </row>
    <row r="583" spans="23:23" ht="12.75">
      <c r="W583" s="59"/>
    </row>
    <row r="584" spans="23:23" ht="12.75">
      <c r="W584" s="59"/>
    </row>
    <row r="585" spans="23:23" ht="12.75">
      <c r="W585" s="59"/>
    </row>
    <row r="586" spans="23:23" ht="12.75">
      <c r="W586" s="59"/>
    </row>
    <row r="587" spans="23:23" ht="12.75">
      <c r="W587" s="59"/>
    </row>
    <row r="588" spans="23:23" ht="12.75">
      <c r="W588" s="59"/>
    </row>
    <row r="589" spans="23:23" ht="12.75">
      <c r="W589" s="59"/>
    </row>
    <row r="590" spans="23:23" ht="12.75">
      <c r="W590" s="59"/>
    </row>
    <row r="591" spans="23:23" ht="12.75">
      <c r="W591" s="59"/>
    </row>
    <row r="592" spans="23:23" ht="12.75">
      <c r="W592" s="59"/>
    </row>
    <row r="593" spans="23:23" ht="12.75">
      <c r="W593" s="59"/>
    </row>
    <row r="594" spans="23:23" ht="12.75">
      <c r="W594" s="59"/>
    </row>
    <row r="595" spans="23:23" ht="12.75">
      <c r="W595" s="59"/>
    </row>
    <row r="596" spans="23:23" ht="12.75">
      <c r="W596" s="59"/>
    </row>
    <row r="597" spans="23:23" ht="12.75">
      <c r="W597" s="59"/>
    </row>
    <row r="598" spans="23:23" ht="12.75">
      <c r="W598" s="59"/>
    </row>
    <row r="599" spans="23:23" ht="12.75">
      <c r="W599" s="59"/>
    </row>
    <row r="600" spans="23:23" ht="12.75">
      <c r="W600" s="59"/>
    </row>
    <row r="601" spans="23:23" ht="12.75">
      <c r="W601" s="59"/>
    </row>
    <row r="602" spans="23:23" ht="12.75">
      <c r="W602" s="59"/>
    </row>
    <row r="603" spans="23:23" ht="12.75">
      <c r="W603" s="59"/>
    </row>
    <row r="604" spans="23:23" ht="12.75">
      <c r="W604" s="59"/>
    </row>
    <row r="605" spans="23:23" ht="12.75">
      <c r="W605" s="59"/>
    </row>
    <row r="606" spans="23:23" ht="12.75">
      <c r="W606" s="59"/>
    </row>
    <row r="607" spans="23:23" ht="12.75">
      <c r="W607" s="59"/>
    </row>
    <row r="608" spans="23:23" ht="12.75">
      <c r="W608" s="59"/>
    </row>
    <row r="609" spans="23:23" ht="12.75">
      <c r="W609" s="59"/>
    </row>
    <row r="610" spans="23:23" ht="12.75">
      <c r="W610" s="59"/>
    </row>
    <row r="611" spans="23:23" ht="12.75">
      <c r="W611" s="59"/>
    </row>
    <row r="612" spans="23:23" ht="12.75">
      <c r="W612" s="59"/>
    </row>
    <row r="613" spans="23:23" ht="12.75">
      <c r="W613" s="59"/>
    </row>
    <row r="614" spans="23:23" ht="12.75">
      <c r="W614" s="59"/>
    </row>
    <row r="615" spans="23:23" ht="12.75">
      <c r="W615" s="59"/>
    </row>
    <row r="616" spans="23:23" ht="12.75">
      <c r="W616" s="59"/>
    </row>
    <row r="617" spans="23:23" ht="12.75">
      <c r="W617" s="59"/>
    </row>
    <row r="618" spans="23:23" ht="12.75">
      <c r="W618" s="59"/>
    </row>
    <row r="619" spans="23:23" ht="12.75">
      <c r="W619" s="59"/>
    </row>
    <row r="620" spans="23:23" ht="12.75">
      <c r="W620" s="59"/>
    </row>
    <row r="621" spans="23:23" ht="12.75">
      <c r="W621" s="59"/>
    </row>
    <row r="622" spans="23:23" ht="12.75">
      <c r="W622" s="59"/>
    </row>
    <row r="623" spans="23:23" ht="12.75">
      <c r="W623" s="59"/>
    </row>
    <row r="624" spans="23:23" ht="12.75">
      <c r="W624" s="59"/>
    </row>
    <row r="625" spans="23:23" ht="12.75">
      <c r="W625" s="59"/>
    </row>
    <row r="626" spans="23:23" ht="12.75">
      <c r="W626" s="59"/>
    </row>
    <row r="627" spans="23:23" ht="12.75">
      <c r="W627" s="59"/>
    </row>
    <row r="628" spans="23:23" ht="12.75">
      <c r="W628" s="59"/>
    </row>
    <row r="629" spans="23:23" ht="12.75">
      <c r="W629" s="59"/>
    </row>
    <row r="630" spans="23:23" ht="12.75">
      <c r="W630" s="59"/>
    </row>
    <row r="631" spans="23:23" ht="12.75">
      <c r="W631" s="59"/>
    </row>
    <row r="632" spans="23:23" ht="12.75">
      <c r="W632" s="59"/>
    </row>
    <row r="633" spans="23:23" ht="12.75">
      <c r="W633" s="59"/>
    </row>
    <row r="634" spans="23:23" ht="12.75">
      <c r="W634" s="59"/>
    </row>
    <row r="635" spans="23:23" ht="12.75">
      <c r="W635" s="59"/>
    </row>
    <row r="636" spans="23:23" ht="12.75">
      <c r="W636" s="59"/>
    </row>
    <row r="637" spans="23:23" ht="12.75">
      <c r="W637" s="59"/>
    </row>
    <row r="638" spans="23:23" ht="12.75">
      <c r="W638" s="59"/>
    </row>
    <row r="639" spans="23:23" ht="12.75">
      <c r="W639" s="59"/>
    </row>
    <row r="640" spans="23:23" ht="12.75">
      <c r="W640" s="59"/>
    </row>
    <row r="641" spans="23:23" ht="12.75">
      <c r="W641" s="59"/>
    </row>
    <row r="642" spans="23:23" ht="12.75">
      <c r="W642" s="59"/>
    </row>
    <row r="643" spans="23:23" ht="12.75">
      <c r="W643" s="59"/>
    </row>
    <row r="644" spans="23:23" ht="12.75">
      <c r="W644" s="59"/>
    </row>
    <row r="645" spans="23:23" ht="12.75">
      <c r="W645" s="59"/>
    </row>
    <row r="646" spans="23:23" ht="12.75">
      <c r="W646" s="59"/>
    </row>
    <row r="647" spans="23:23" ht="12.75">
      <c r="W647" s="59"/>
    </row>
    <row r="648" spans="23:23" ht="12.75">
      <c r="W648" s="59"/>
    </row>
    <row r="649" spans="23:23" ht="12.75">
      <c r="W649" s="59"/>
    </row>
    <row r="650" spans="23:23" ht="12.75">
      <c r="W650" s="59"/>
    </row>
    <row r="651" spans="23:23" ht="12.75">
      <c r="W651" s="59"/>
    </row>
    <row r="652" spans="23:23" ht="12.75">
      <c r="W652" s="59"/>
    </row>
    <row r="653" spans="23:23" ht="12.75">
      <c r="W653" s="59"/>
    </row>
    <row r="654" spans="23:23" ht="12.75">
      <c r="W654" s="59"/>
    </row>
    <row r="655" spans="23:23" ht="12.75">
      <c r="W655" s="59"/>
    </row>
    <row r="656" spans="23:23" ht="12.75">
      <c r="W656" s="59"/>
    </row>
    <row r="657" spans="23:23" ht="12.75">
      <c r="W657" s="59"/>
    </row>
    <row r="658" spans="23:23" ht="12.75">
      <c r="W658" s="59"/>
    </row>
    <row r="659" spans="23:23" ht="12.75">
      <c r="W659" s="59"/>
    </row>
    <row r="660" spans="23:23" ht="12.75">
      <c r="W660" s="59"/>
    </row>
    <row r="661" spans="23:23" ht="12.75">
      <c r="W661" s="59"/>
    </row>
    <row r="662" spans="23:23" ht="12.75">
      <c r="W662" s="59"/>
    </row>
    <row r="663" spans="23:23" ht="12.75">
      <c r="W663" s="59"/>
    </row>
    <row r="664" spans="23:23" ht="12.75">
      <c r="W664" s="59"/>
    </row>
    <row r="665" spans="23:23" ht="12.75">
      <c r="W665" s="59"/>
    </row>
    <row r="666" spans="23:23" ht="12.75">
      <c r="W666" s="59"/>
    </row>
    <row r="667" spans="23:23" ht="12.75">
      <c r="W667" s="59"/>
    </row>
    <row r="668" spans="23:23" ht="12.75">
      <c r="W668" s="59"/>
    </row>
    <row r="669" spans="23:23" ht="12.75">
      <c r="W669" s="59"/>
    </row>
    <row r="670" spans="23:23" ht="12.75">
      <c r="W670" s="59"/>
    </row>
    <row r="671" spans="23:23" ht="12.75">
      <c r="W671" s="59"/>
    </row>
    <row r="672" spans="23:23" ht="12.75">
      <c r="W672" s="59"/>
    </row>
    <row r="673" spans="23:23" ht="12.75">
      <c r="W673" s="59"/>
    </row>
    <row r="674" spans="23:23" ht="12.75">
      <c r="W674" s="59"/>
    </row>
    <row r="675" spans="23:23" ht="12.75">
      <c r="W675" s="59"/>
    </row>
    <row r="676" spans="23:23" ht="12.75">
      <c r="W676" s="59"/>
    </row>
    <row r="677" spans="23:23" ht="12.75">
      <c r="W677" s="59"/>
    </row>
    <row r="678" spans="23:23" ht="12.75">
      <c r="W678" s="59"/>
    </row>
    <row r="679" spans="23:23" ht="12.75">
      <c r="W679" s="59"/>
    </row>
    <row r="680" spans="23:23" ht="12.75">
      <c r="W680" s="59"/>
    </row>
    <row r="681" spans="23:23" ht="12.75">
      <c r="W681" s="59"/>
    </row>
    <row r="682" spans="23:23" ht="12.75">
      <c r="W682" s="59"/>
    </row>
    <row r="683" spans="23:23" ht="12.75">
      <c r="W683" s="59"/>
    </row>
    <row r="684" spans="23:23" ht="12.75">
      <c r="W684" s="59"/>
    </row>
    <row r="685" spans="23:23" ht="12.75">
      <c r="W685" s="59"/>
    </row>
    <row r="686" spans="23:23" ht="12.75">
      <c r="W686" s="59"/>
    </row>
    <row r="687" spans="23:23" ht="12.75">
      <c r="W687" s="59"/>
    </row>
    <row r="688" spans="23:23" ht="12.75">
      <c r="W688" s="59"/>
    </row>
    <row r="689" spans="23:23" ht="12.75">
      <c r="W689" s="59"/>
    </row>
    <row r="690" spans="23:23" ht="12.75">
      <c r="W690" s="59"/>
    </row>
    <row r="691" spans="23:23" ht="12.75">
      <c r="W691" s="59"/>
    </row>
    <row r="692" spans="23:23" ht="12.75">
      <c r="W692" s="59"/>
    </row>
    <row r="693" spans="23:23" ht="12.75">
      <c r="W693" s="59"/>
    </row>
    <row r="694" spans="23:23" ht="12.75">
      <c r="W694" s="59"/>
    </row>
    <row r="695" spans="23:23" ht="12.75">
      <c r="W695" s="59"/>
    </row>
    <row r="696" spans="23:23" ht="12.75">
      <c r="W696" s="59"/>
    </row>
    <row r="697" spans="23:23" ht="12.75">
      <c r="W697" s="59"/>
    </row>
    <row r="698" spans="23:23" ht="12.75">
      <c r="W698" s="59"/>
    </row>
    <row r="699" spans="23:23" ht="12.75">
      <c r="W699" s="59"/>
    </row>
    <row r="700" spans="23:23" ht="12.75">
      <c r="W700" s="59"/>
    </row>
    <row r="701" spans="23:23" ht="12.75">
      <c r="W701" s="59"/>
    </row>
    <row r="702" spans="23:23" ht="12.75">
      <c r="W702" s="59"/>
    </row>
    <row r="703" spans="23:23" ht="12.75">
      <c r="W703" s="59"/>
    </row>
    <row r="704" spans="23:23" ht="12.75">
      <c r="W704" s="59"/>
    </row>
    <row r="705" spans="23:23" ht="12.75">
      <c r="W705" s="59"/>
    </row>
    <row r="706" spans="23:23" ht="12.75">
      <c r="W706" s="59"/>
    </row>
    <row r="707" spans="23:23" ht="12.75">
      <c r="W707" s="59"/>
    </row>
    <row r="708" spans="23:23" ht="12.75">
      <c r="W708" s="59"/>
    </row>
    <row r="709" spans="23:23" ht="12.75">
      <c r="W709" s="59"/>
    </row>
    <row r="710" spans="23:23" ht="12.75">
      <c r="W710" s="59"/>
    </row>
    <row r="711" spans="23:23" ht="12.75">
      <c r="W711" s="59"/>
    </row>
    <row r="712" spans="23:23" ht="12.75">
      <c r="W712" s="59"/>
    </row>
    <row r="713" spans="23:23" ht="12.75">
      <c r="W713" s="59"/>
    </row>
    <row r="714" spans="23:23" ht="12.75">
      <c r="W714" s="59"/>
    </row>
    <row r="715" spans="23:23" ht="12.75">
      <c r="W715" s="59"/>
    </row>
    <row r="716" spans="23:23" ht="12.75">
      <c r="W716" s="59"/>
    </row>
    <row r="717" spans="23:23" ht="12.75">
      <c r="W717" s="59"/>
    </row>
    <row r="718" spans="23:23" ht="12.75">
      <c r="W718" s="59"/>
    </row>
    <row r="719" spans="23:23" ht="12.75">
      <c r="W719" s="59"/>
    </row>
    <row r="720" spans="23:23" ht="12.75">
      <c r="W720" s="59"/>
    </row>
    <row r="721" spans="23:23" ht="12.75">
      <c r="W721" s="59"/>
    </row>
    <row r="722" spans="23:23" ht="12.75">
      <c r="W722" s="59"/>
    </row>
    <row r="723" spans="23:23" ht="12.75">
      <c r="W723" s="59"/>
    </row>
    <row r="724" spans="23:23" ht="12.75">
      <c r="W724" s="59"/>
    </row>
    <row r="725" spans="23:23" ht="12.75">
      <c r="W725" s="59"/>
    </row>
    <row r="726" spans="23:23" ht="12.75">
      <c r="W726" s="59"/>
    </row>
    <row r="727" spans="23:23" ht="12.75">
      <c r="W727" s="59"/>
    </row>
    <row r="728" spans="23:23" ht="12.75">
      <c r="W728" s="59"/>
    </row>
    <row r="729" spans="23:23" ht="12.75">
      <c r="W729" s="59"/>
    </row>
    <row r="730" spans="23:23" ht="12.75">
      <c r="W730" s="59"/>
    </row>
    <row r="731" spans="23:23" ht="12.75">
      <c r="W731" s="59"/>
    </row>
    <row r="732" spans="23:23" ht="12.75">
      <c r="W732" s="59"/>
    </row>
    <row r="733" spans="23:23" ht="12.75">
      <c r="W733" s="59"/>
    </row>
    <row r="734" spans="23:23" ht="12.75">
      <c r="W734" s="59"/>
    </row>
    <row r="735" spans="23:23" ht="12.75">
      <c r="W735" s="59"/>
    </row>
    <row r="736" spans="23:23" ht="12.75">
      <c r="W736" s="59"/>
    </row>
    <row r="737" spans="23:23" ht="12.75">
      <c r="W737" s="59"/>
    </row>
    <row r="738" spans="23:23" ht="12.75">
      <c r="W738" s="59"/>
    </row>
    <row r="739" spans="23:23" ht="12.75">
      <c r="W739" s="59"/>
    </row>
    <row r="740" spans="23:23" ht="12.75">
      <c r="W740" s="59"/>
    </row>
    <row r="741" spans="23:23" ht="12.75">
      <c r="W741" s="59"/>
    </row>
    <row r="742" spans="23:23" ht="12.75">
      <c r="W742" s="59"/>
    </row>
    <row r="743" spans="23:23" ht="12.75">
      <c r="W743" s="59"/>
    </row>
    <row r="744" spans="23:23" ht="12.75">
      <c r="W744" s="59"/>
    </row>
    <row r="745" spans="23:23" ht="12.75">
      <c r="W745" s="59"/>
    </row>
    <row r="746" spans="23:23" ht="12.75">
      <c r="W746" s="59"/>
    </row>
    <row r="747" spans="23:23" ht="12.75">
      <c r="W747" s="59"/>
    </row>
    <row r="748" spans="23:23" ht="12.75">
      <c r="W748" s="59"/>
    </row>
    <row r="749" spans="23:23" ht="12.75">
      <c r="W749" s="59"/>
    </row>
    <row r="750" spans="23:23" ht="12.75">
      <c r="W750" s="59"/>
    </row>
    <row r="751" spans="23:23" ht="12.75">
      <c r="W751" s="59"/>
    </row>
    <row r="752" spans="23:23" ht="12.75">
      <c r="W752" s="59"/>
    </row>
    <row r="753" spans="23:23" ht="12.75">
      <c r="W753" s="59"/>
    </row>
    <row r="754" spans="23:23" ht="12.75">
      <c r="W754" s="59"/>
    </row>
    <row r="755" spans="23:23" ht="12.75">
      <c r="W755" s="59"/>
    </row>
    <row r="756" spans="23:23" ht="12.75">
      <c r="W756" s="59"/>
    </row>
    <row r="757" spans="23:23" ht="12.75">
      <c r="W757" s="59"/>
    </row>
    <row r="758" spans="23:23" ht="12.75">
      <c r="W758" s="59"/>
    </row>
    <row r="759" spans="23:23" ht="12.75">
      <c r="W759" s="59"/>
    </row>
    <row r="760" spans="23:23" ht="12.75">
      <c r="W760" s="59"/>
    </row>
    <row r="761" spans="23:23" ht="12.75">
      <c r="W761" s="59"/>
    </row>
    <row r="762" spans="23:23" ht="12.75">
      <c r="W762" s="59"/>
    </row>
    <row r="763" spans="23:23" ht="12.75">
      <c r="W763" s="59"/>
    </row>
    <row r="764" spans="23:23" ht="12.75">
      <c r="W764" s="59"/>
    </row>
    <row r="765" spans="23:23" ht="12.75">
      <c r="W765" s="59"/>
    </row>
    <row r="766" spans="23:23" ht="12.75">
      <c r="W766" s="59"/>
    </row>
    <row r="767" spans="23:23" ht="12.75">
      <c r="W767" s="59"/>
    </row>
    <row r="768" spans="23:23" ht="12.75">
      <c r="W768" s="59"/>
    </row>
    <row r="769" spans="23:23" ht="12.75">
      <c r="W769" s="59"/>
    </row>
    <row r="770" spans="23:23" ht="12.75">
      <c r="W770" s="59"/>
    </row>
    <row r="771" spans="23:23" ht="12.75">
      <c r="W771" s="59"/>
    </row>
    <row r="772" spans="23:23" ht="12.75">
      <c r="W772" s="59"/>
    </row>
    <row r="773" spans="23:23" ht="12.75">
      <c r="W773" s="59"/>
    </row>
    <row r="774" spans="23:23" ht="12.75">
      <c r="W774" s="59"/>
    </row>
    <row r="775" spans="23:23" ht="12.75">
      <c r="W775" s="59"/>
    </row>
    <row r="776" spans="23:23" ht="12.75">
      <c r="W776" s="59"/>
    </row>
    <row r="777" spans="23:23" ht="12.75">
      <c r="W777" s="59"/>
    </row>
    <row r="778" spans="23:23" ht="12.75">
      <c r="W778" s="59"/>
    </row>
    <row r="779" spans="23:23" ht="12.75">
      <c r="W779" s="59"/>
    </row>
    <row r="780" spans="23:23" ht="12.75">
      <c r="W780" s="59"/>
    </row>
    <row r="781" spans="23:23" ht="12.75">
      <c r="W781" s="59"/>
    </row>
    <row r="782" spans="23:23" ht="12.75">
      <c r="W782" s="59"/>
    </row>
    <row r="783" spans="23:23" ht="12.75">
      <c r="W783" s="59"/>
    </row>
    <row r="784" spans="23:23" ht="12.75">
      <c r="W784" s="59"/>
    </row>
    <row r="785" spans="23:23" ht="12.75">
      <c r="W785" s="59"/>
    </row>
    <row r="786" spans="23:23" ht="12.75">
      <c r="W786" s="59"/>
    </row>
    <row r="787" spans="23:23" ht="12.75">
      <c r="W787" s="59"/>
    </row>
    <row r="788" spans="23:23" ht="12.75">
      <c r="W788" s="59"/>
    </row>
    <row r="789" spans="23:23" ht="12.75">
      <c r="W789" s="59"/>
    </row>
    <row r="790" spans="23:23" ht="12.75">
      <c r="W790" s="59"/>
    </row>
    <row r="791" spans="23:23" ht="12.75">
      <c r="W791" s="59"/>
    </row>
    <row r="792" spans="23:23" ht="12.75">
      <c r="W792" s="59"/>
    </row>
    <row r="793" spans="23:23" ht="12.75">
      <c r="W793" s="59"/>
    </row>
    <row r="794" spans="23:23" ht="12.75">
      <c r="W794" s="59"/>
    </row>
    <row r="795" spans="23:23" ht="12.75">
      <c r="W795" s="59"/>
    </row>
    <row r="796" spans="23:23" ht="12.75">
      <c r="W796" s="59"/>
    </row>
    <row r="797" spans="23:23" ht="12.75">
      <c r="W797" s="59"/>
    </row>
    <row r="798" spans="23:23" ht="12.75">
      <c r="W798" s="59"/>
    </row>
    <row r="799" spans="23:23" ht="12.75">
      <c r="W799" s="59"/>
    </row>
    <row r="800" spans="23:23" ht="12.75">
      <c r="W800" s="59"/>
    </row>
    <row r="801" spans="23:23" ht="12.75">
      <c r="W801" s="59"/>
    </row>
    <row r="802" spans="23:23" ht="12.75">
      <c r="W802" s="59"/>
    </row>
    <row r="803" spans="23:23" ht="12.75">
      <c r="W803" s="59"/>
    </row>
    <row r="804" spans="23:23" ht="12.75">
      <c r="W804" s="59"/>
    </row>
    <row r="805" spans="23:23" ht="12.75">
      <c r="W805" s="59"/>
    </row>
    <row r="806" spans="23:23" ht="12.75">
      <c r="W806" s="59"/>
    </row>
    <row r="807" spans="23:23" ht="12.75">
      <c r="W807" s="59"/>
    </row>
    <row r="808" spans="23:23" ht="12.75">
      <c r="W808" s="59"/>
    </row>
    <row r="809" spans="23:23" ht="12.75">
      <c r="W809" s="59"/>
    </row>
    <row r="810" spans="23:23" ht="12.75">
      <c r="W810" s="59"/>
    </row>
    <row r="811" spans="23:23" ht="12.75">
      <c r="W811" s="59"/>
    </row>
    <row r="812" spans="23:23" ht="12.75">
      <c r="W812" s="59"/>
    </row>
    <row r="813" spans="23:23" ht="12.75">
      <c r="W813" s="59"/>
    </row>
    <row r="814" spans="23:23" ht="12.75">
      <c r="W814" s="59"/>
    </row>
    <row r="815" spans="23:23" ht="12.75">
      <c r="W815" s="59"/>
    </row>
    <row r="816" spans="23:23" ht="12.75">
      <c r="W816" s="59"/>
    </row>
    <row r="817" spans="23:23" ht="12.75">
      <c r="W817" s="59"/>
    </row>
    <row r="818" spans="23:23" ht="12.75">
      <c r="W818" s="59"/>
    </row>
    <row r="819" spans="23:23" ht="12.75">
      <c r="W819" s="59"/>
    </row>
    <row r="820" spans="23:23" ht="12.75">
      <c r="W820" s="59"/>
    </row>
    <row r="821" spans="23:23" ht="12.75">
      <c r="W821" s="59"/>
    </row>
    <row r="822" spans="23:23" ht="12.75">
      <c r="W822" s="59"/>
    </row>
    <row r="823" spans="23:23" ht="12.75">
      <c r="W823" s="59"/>
    </row>
    <row r="824" spans="23:23" ht="12.75">
      <c r="W824" s="59"/>
    </row>
    <row r="825" spans="23:23" ht="12.75">
      <c r="W825" s="59"/>
    </row>
    <row r="826" spans="23:23" ht="12.75">
      <c r="W826" s="59"/>
    </row>
    <row r="827" spans="23:23" ht="12.75">
      <c r="W827" s="59"/>
    </row>
    <row r="828" spans="23:23" ht="12.75">
      <c r="W828" s="59"/>
    </row>
    <row r="829" spans="23:23" ht="12.75">
      <c r="W829" s="59"/>
    </row>
    <row r="830" spans="23:23" ht="12.75">
      <c r="W830" s="59"/>
    </row>
    <row r="831" spans="23:23" ht="12.75">
      <c r="W831" s="59"/>
    </row>
    <row r="832" spans="23:23" ht="12.75">
      <c r="W832" s="59"/>
    </row>
    <row r="833" spans="23:23" ht="12.75">
      <c r="W833" s="59"/>
    </row>
    <row r="834" spans="23:23" ht="12.75">
      <c r="W834" s="59"/>
    </row>
    <row r="835" spans="23:23" ht="12.75">
      <c r="W835" s="59"/>
    </row>
    <row r="836" spans="23:23" ht="12.75">
      <c r="W836" s="59"/>
    </row>
    <row r="837" spans="23:23" ht="12.75">
      <c r="W837" s="59"/>
    </row>
    <row r="838" spans="23:23" ht="12.75">
      <c r="W838" s="59"/>
    </row>
    <row r="839" spans="23:23" ht="12.75">
      <c r="W839" s="59"/>
    </row>
    <row r="840" spans="23:23" ht="12.75">
      <c r="W840" s="59"/>
    </row>
    <row r="841" spans="23:23" ht="12.75">
      <c r="W841" s="59"/>
    </row>
    <row r="842" spans="23:23" ht="12.75">
      <c r="W842" s="59"/>
    </row>
    <row r="843" spans="23:23" ht="12.75">
      <c r="W843" s="59"/>
    </row>
    <row r="844" spans="23:23" ht="12.75">
      <c r="W844" s="59"/>
    </row>
    <row r="845" spans="23:23" ht="12.75">
      <c r="W845" s="59"/>
    </row>
    <row r="846" spans="23:23" ht="12.75">
      <c r="W846" s="59"/>
    </row>
    <row r="847" spans="23:23" ht="12.75">
      <c r="W847" s="59"/>
    </row>
    <row r="848" spans="23:23" ht="12.75">
      <c r="W848" s="59"/>
    </row>
    <row r="849" spans="23:23" ht="12.75">
      <c r="W849" s="59"/>
    </row>
    <row r="850" spans="23:23" ht="12.75">
      <c r="W850" s="59"/>
    </row>
    <row r="851" spans="23:23" ht="12.75">
      <c r="W851" s="59"/>
    </row>
    <row r="852" spans="23:23" ht="12.75">
      <c r="W852" s="59"/>
    </row>
    <row r="853" spans="23:23" ht="12.75">
      <c r="W853" s="59"/>
    </row>
    <row r="854" spans="23:23" ht="12.75">
      <c r="W854" s="59"/>
    </row>
    <row r="855" spans="23:23" ht="12.75">
      <c r="W855" s="59"/>
    </row>
    <row r="856" spans="23:23" ht="12.75">
      <c r="W856" s="59"/>
    </row>
    <row r="857" spans="23:23" ht="12.75">
      <c r="W857" s="59"/>
    </row>
    <row r="858" spans="23:23" ht="12.75">
      <c r="W858" s="59"/>
    </row>
    <row r="859" spans="23:23" ht="12.75">
      <c r="W859" s="59"/>
    </row>
    <row r="860" spans="23:23" ht="12.75">
      <c r="W860" s="59"/>
    </row>
    <row r="861" spans="23:23" ht="12.75">
      <c r="W861" s="59"/>
    </row>
    <row r="862" spans="23:23" ht="12.75">
      <c r="W862" s="59"/>
    </row>
    <row r="863" spans="23:23" ht="12.75">
      <c r="W863" s="59"/>
    </row>
    <row r="864" spans="23:23" ht="12.75">
      <c r="W864" s="59"/>
    </row>
    <row r="865" spans="23:23" ht="12.75">
      <c r="W865" s="59"/>
    </row>
    <row r="866" spans="23:23" ht="12.75">
      <c r="W866" s="59"/>
    </row>
    <row r="867" spans="23:23" ht="12.75">
      <c r="W867" s="59"/>
    </row>
    <row r="868" spans="23:23" ht="12.75">
      <c r="W868" s="59"/>
    </row>
    <row r="869" spans="23:23" ht="12.75">
      <c r="W869" s="59"/>
    </row>
    <row r="870" spans="23:23" ht="12.75">
      <c r="W870" s="59"/>
    </row>
    <row r="871" spans="23:23" ht="12.75">
      <c r="W871" s="59"/>
    </row>
    <row r="872" spans="23:23" ht="12.75">
      <c r="W872" s="59"/>
    </row>
    <row r="873" spans="23:23" ht="12.75">
      <c r="W873" s="59"/>
    </row>
    <row r="874" spans="23:23" ht="12.75">
      <c r="W874" s="59"/>
    </row>
    <row r="875" spans="23:23" ht="12.75">
      <c r="W875" s="59"/>
    </row>
    <row r="876" spans="23:23" ht="12.75">
      <c r="W876" s="59"/>
    </row>
    <row r="877" spans="23:23" ht="12.75">
      <c r="W877" s="59"/>
    </row>
    <row r="878" spans="23:23" ht="12.75">
      <c r="W878" s="59"/>
    </row>
    <row r="879" spans="23:23" ht="12.75">
      <c r="W879" s="59"/>
    </row>
    <row r="880" spans="23:23" ht="12.75">
      <c r="W880" s="59"/>
    </row>
    <row r="881" spans="23:23" ht="12.75">
      <c r="W881" s="59"/>
    </row>
    <row r="882" spans="23:23" ht="12.75">
      <c r="W882" s="59"/>
    </row>
    <row r="883" spans="23:23" ht="12.75">
      <c r="W883" s="59"/>
    </row>
    <row r="884" spans="23:23" ht="12.75">
      <c r="W884" s="59"/>
    </row>
    <row r="885" spans="23:23" ht="12.75">
      <c r="W885" s="59"/>
    </row>
    <row r="886" spans="23:23" ht="12.75">
      <c r="W886" s="59"/>
    </row>
    <row r="887" spans="23:23" ht="12.75">
      <c r="W887" s="59"/>
    </row>
    <row r="888" spans="23:23" ht="12.75">
      <c r="W888" s="59"/>
    </row>
    <row r="889" spans="23:23" ht="12.75">
      <c r="W889" s="59"/>
    </row>
    <row r="890" spans="23:23" ht="12.75">
      <c r="W890" s="59"/>
    </row>
    <row r="891" spans="23:23" ht="12.75">
      <c r="W891" s="59"/>
    </row>
    <row r="892" spans="23:23" ht="12.75">
      <c r="W892" s="59"/>
    </row>
    <row r="893" spans="23:23" ht="12.75">
      <c r="W893" s="59"/>
    </row>
    <row r="894" spans="23:23" ht="12.75">
      <c r="W894" s="59"/>
    </row>
    <row r="895" spans="23:23" ht="12.75">
      <c r="W895" s="59"/>
    </row>
    <row r="896" spans="23:23" ht="12.75">
      <c r="W896" s="59"/>
    </row>
    <row r="897" spans="23:23" ht="12.75">
      <c r="W897" s="59"/>
    </row>
    <row r="898" spans="23:23" ht="12.75">
      <c r="W898" s="59"/>
    </row>
    <row r="899" spans="23:23" ht="12.75">
      <c r="W899" s="59"/>
    </row>
    <row r="900" spans="23:23" ht="12.75">
      <c r="W900" s="59"/>
    </row>
    <row r="901" spans="23:23" ht="12.75">
      <c r="W901" s="59"/>
    </row>
    <row r="902" spans="23:23" ht="12.75">
      <c r="W902" s="59"/>
    </row>
    <row r="903" spans="23:23" ht="12.75">
      <c r="W903" s="59"/>
    </row>
    <row r="904" spans="23:23" ht="12.75">
      <c r="W904" s="59"/>
    </row>
    <row r="905" spans="23:23" ht="12.75">
      <c r="W905" s="59"/>
    </row>
    <row r="906" spans="23:23" ht="12.75">
      <c r="W906" s="59"/>
    </row>
    <row r="907" spans="23:23" ht="12.75">
      <c r="W907" s="59"/>
    </row>
    <row r="908" spans="23:23" ht="12.75">
      <c r="W908" s="59"/>
    </row>
    <row r="909" spans="23:23" ht="12.75">
      <c r="W909" s="59"/>
    </row>
    <row r="910" spans="23:23" ht="12.75">
      <c r="W910" s="59"/>
    </row>
    <row r="911" spans="23:23" ht="12.75">
      <c r="W911" s="59"/>
    </row>
    <row r="912" spans="23:23" ht="12.75">
      <c r="W912" s="59"/>
    </row>
    <row r="913" spans="23:23" ht="12.75">
      <c r="W913" s="59"/>
    </row>
    <row r="914" spans="23:23" ht="12.75">
      <c r="W914" s="59"/>
    </row>
    <row r="915" spans="23:23" ht="12.75">
      <c r="W915" s="59"/>
    </row>
    <row r="916" spans="23:23" ht="12.75">
      <c r="W916" s="59"/>
    </row>
    <row r="917" spans="23:23" ht="12.75">
      <c r="W917" s="59"/>
    </row>
    <row r="918" spans="23:23" ht="12.75">
      <c r="W918" s="59"/>
    </row>
    <row r="919" spans="23:23" ht="12.75">
      <c r="W919" s="59"/>
    </row>
    <row r="920" spans="23:23" ht="12.75">
      <c r="W920" s="59"/>
    </row>
    <row r="921" spans="23:23" ht="12.75">
      <c r="W921" s="59"/>
    </row>
    <row r="922" spans="23:23" ht="12.75">
      <c r="W922" s="59"/>
    </row>
    <row r="923" spans="23:23" ht="12.75">
      <c r="W923" s="59"/>
    </row>
    <row r="924" spans="23:23" ht="12.75">
      <c r="W924" s="59"/>
    </row>
    <row r="925" spans="23:23" ht="12.75">
      <c r="W925" s="59"/>
    </row>
    <row r="926" spans="23:23" ht="12.75">
      <c r="W926" s="59"/>
    </row>
    <row r="927" spans="23:23" ht="12.75">
      <c r="W927" s="59"/>
    </row>
    <row r="928" spans="23:23" ht="12.75">
      <c r="W928" s="59"/>
    </row>
    <row r="929" spans="23:23" ht="12.75">
      <c r="W929" s="59"/>
    </row>
    <row r="930" spans="23:23" ht="12.75">
      <c r="W930" s="59"/>
    </row>
    <row r="931" spans="23:23" ht="12.75">
      <c r="W931" s="59"/>
    </row>
    <row r="932" spans="23:23" ht="12.75">
      <c r="W932" s="59"/>
    </row>
    <row r="933" spans="23:23" ht="12.75">
      <c r="W933" s="59"/>
    </row>
    <row r="934" spans="23:23" ht="12.75">
      <c r="W934" s="59"/>
    </row>
    <row r="935" spans="23:23" ht="12.75">
      <c r="W935" s="59"/>
    </row>
    <row r="936" spans="23:23" ht="12.75">
      <c r="W936" s="59"/>
    </row>
    <row r="937" spans="23:23" ht="12.75">
      <c r="W937" s="59"/>
    </row>
    <row r="938" spans="23:23" ht="12.75">
      <c r="W938" s="59"/>
    </row>
    <row r="939" spans="23:23" ht="12.75">
      <c r="W939" s="59"/>
    </row>
    <row r="940" spans="23:23" ht="12.75">
      <c r="W940" s="59"/>
    </row>
    <row r="941" spans="23:23" ht="12.75">
      <c r="W941" s="59"/>
    </row>
    <row r="942" spans="23:23" ht="12.75">
      <c r="W942" s="59"/>
    </row>
    <row r="943" spans="23:23" ht="12.75">
      <c r="W943" s="59"/>
    </row>
    <row r="944" spans="23:23" ht="12.75">
      <c r="W944" s="59"/>
    </row>
    <row r="945" spans="23:23" ht="12.75">
      <c r="W945" s="59"/>
    </row>
    <row r="946" spans="23:23" ht="12.75">
      <c r="W946" s="59"/>
    </row>
    <row r="947" spans="23:23" ht="12.75">
      <c r="W947" s="59"/>
    </row>
    <row r="948" spans="23:23" ht="12.75">
      <c r="W948" s="59"/>
    </row>
    <row r="949" spans="23:23" ht="12.75">
      <c r="W949" s="59"/>
    </row>
    <row r="950" spans="23:23" ht="12.75">
      <c r="W950" s="59"/>
    </row>
    <row r="951" spans="23:23" ht="12.75">
      <c r="W951" s="59"/>
    </row>
    <row r="952" spans="23:23" ht="12.75">
      <c r="W952" s="59"/>
    </row>
    <row r="953" spans="23:23" ht="12.75">
      <c r="W953" s="59"/>
    </row>
    <row r="954" spans="23:23" ht="12.75">
      <c r="W954" s="59"/>
    </row>
    <row r="955" spans="23:23" ht="12.75">
      <c r="W955" s="59"/>
    </row>
    <row r="956" spans="23:23" ht="12.75">
      <c r="W956" s="59"/>
    </row>
    <row r="957" spans="23:23" ht="12.75">
      <c r="W957" s="59"/>
    </row>
    <row r="958" spans="23:23" ht="12.75">
      <c r="W958" s="59"/>
    </row>
    <row r="959" spans="23:23" ht="12.75">
      <c r="W959" s="59"/>
    </row>
    <row r="960" spans="23:23" ht="12.75">
      <c r="W960" s="59"/>
    </row>
    <row r="961" spans="23:23" ht="12.75">
      <c r="W961" s="59"/>
    </row>
    <row r="962" spans="23:23" ht="12.75">
      <c r="W962" s="59"/>
    </row>
    <row r="963" spans="23:23" ht="12.75">
      <c r="W963" s="59"/>
    </row>
    <row r="964" spans="23:23" ht="12.75">
      <c r="W964" s="59"/>
    </row>
    <row r="965" spans="23:23" ht="12.75">
      <c r="W965" s="59"/>
    </row>
    <row r="966" spans="23:23" ht="12.75">
      <c r="W966" s="59"/>
    </row>
    <row r="967" spans="23:23" ht="12.75">
      <c r="W967" s="59"/>
    </row>
    <row r="968" spans="23:23" ht="12.75">
      <c r="W968" s="59"/>
    </row>
    <row r="969" spans="23:23" ht="12.75">
      <c r="W969" s="59"/>
    </row>
    <row r="970" spans="23:23" ht="12.75">
      <c r="W970" s="59"/>
    </row>
    <row r="971" spans="23:23" ht="12.75">
      <c r="W971" s="59"/>
    </row>
    <row r="972" spans="23:23" ht="12.75">
      <c r="W972" s="59"/>
    </row>
    <row r="973" spans="23:23" ht="12.75">
      <c r="W973" s="59"/>
    </row>
    <row r="974" spans="23:23" ht="12.75">
      <c r="W974" s="59"/>
    </row>
    <row r="975" spans="23:23" ht="12.75">
      <c r="W975" s="59"/>
    </row>
    <row r="976" spans="23:23" ht="12.75">
      <c r="W976" s="59"/>
    </row>
    <row r="977" spans="23:23" ht="12.75">
      <c r="W977" s="59"/>
    </row>
    <row r="978" spans="23:23" ht="12.75">
      <c r="W978" s="59"/>
    </row>
    <row r="979" spans="23:23" ht="12.75">
      <c r="W979" s="59"/>
    </row>
    <row r="980" spans="23:23" ht="12.75">
      <c r="W980" s="59"/>
    </row>
    <row r="981" spans="23:23" ht="12.75">
      <c r="W981" s="59"/>
    </row>
    <row r="982" spans="23:23" ht="12.75">
      <c r="W982" s="59"/>
    </row>
    <row r="983" spans="23:23" ht="12.75">
      <c r="W983" s="59"/>
    </row>
    <row r="984" spans="23:23" ht="12.75">
      <c r="W984" s="59"/>
    </row>
    <row r="985" spans="23:23" ht="12.75">
      <c r="W985" s="59"/>
    </row>
    <row r="986" spans="23:23" ht="12.75">
      <c r="W986" s="59"/>
    </row>
    <row r="987" spans="23:23" ht="12.75">
      <c r="W987" s="59"/>
    </row>
  </sheetData>
  <mergeCells count="10">
    <mergeCell ref="V5:Y5"/>
    <mergeCell ref="Z5:AD5"/>
    <mergeCell ref="AE5:AK5"/>
    <mergeCell ref="A1:AD2"/>
    <mergeCell ref="A3:AD4"/>
    <mergeCell ref="A5:B5"/>
    <mergeCell ref="D5:F5"/>
    <mergeCell ref="G5:M5"/>
    <mergeCell ref="N5:P5"/>
    <mergeCell ref="Q5:U5"/>
  </mergeCells>
  <phoneticPr fontId="40" type="noConversion"/>
  <conditionalFormatting sqref="A7:A23">
    <cfRule type="notContainsBlanks" dxfId="3" priority="1">
      <formula>LEN(TRIM(A7))&gt;0</formula>
    </cfRule>
  </conditionalFormatting>
  <dataValidations count="1">
    <dataValidation type="list" allowBlank="1" showErrorMessage="1" sqref="A7:A23" xr:uid="{00000000-0002-0000-0700-000000000000}">
      <formula1>$AE$7:$AE$23</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K987"/>
  <sheetViews>
    <sheetView workbookViewId="0"/>
  </sheetViews>
  <sheetFormatPr defaultColWidth="12.5703125" defaultRowHeight="15.75" customHeight="1"/>
  <cols>
    <col min="2" max="2" width="18.7109375" customWidth="1"/>
    <col min="31" max="31" width="33" customWidth="1"/>
  </cols>
  <sheetData>
    <row r="1" spans="1:37" ht="14.25">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3"/>
      <c r="AF1" s="3"/>
      <c r="AG1" s="4"/>
      <c r="AH1" s="4"/>
      <c r="AI1" s="4"/>
      <c r="AJ1" s="4"/>
      <c r="AK1" s="4"/>
    </row>
    <row r="2" spans="1:37" ht="14.25">
      <c r="A2" s="249"/>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3"/>
      <c r="AF2" s="3"/>
      <c r="AG2" s="4"/>
      <c r="AH2" s="4"/>
      <c r="AI2" s="4"/>
      <c r="AJ2" s="4"/>
      <c r="AK2" s="4"/>
    </row>
    <row r="3" spans="1:37" ht="14.25">
      <c r="A3" s="251" t="s">
        <v>1</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2"/>
      <c r="AE3" s="3" t="s">
        <v>2</v>
      </c>
      <c r="AF3" s="3" t="s">
        <v>3</v>
      </c>
      <c r="AG3" s="4"/>
      <c r="AH3" s="4"/>
      <c r="AI3" s="4"/>
      <c r="AJ3" s="4"/>
      <c r="AK3" s="4"/>
    </row>
    <row r="4" spans="1:37" ht="14.2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5"/>
      <c r="AE4" s="3">
        <v>192.41</v>
      </c>
      <c r="AF4" s="3">
        <v>1385</v>
      </c>
      <c r="AG4" s="4"/>
      <c r="AH4" s="4"/>
      <c r="AI4" s="4"/>
      <c r="AJ4" s="4"/>
      <c r="AK4" s="4"/>
    </row>
    <row r="5" spans="1:37" ht="15">
      <c r="A5" s="235" t="s">
        <v>4</v>
      </c>
      <c r="B5" s="236"/>
      <c r="C5" s="12" t="s">
        <v>4</v>
      </c>
      <c r="D5" s="240"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row>
    <row r="6" spans="1:37" ht="15">
      <c r="A6" s="60" t="s">
        <v>7</v>
      </c>
      <c r="B6" s="60" t="s">
        <v>8</v>
      </c>
      <c r="C6" s="61" t="s">
        <v>9</v>
      </c>
      <c r="D6" s="90" t="s">
        <v>10</v>
      </c>
      <c r="E6" s="90" t="s">
        <v>11</v>
      </c>
      <c r="F6" s="90" t="s">
        <v>12</v>
      </c>
      <c r="G6" s="61" t="s">
        <v>13</v>
      </c>
      <c r="H6" s="61" t="s">
        <v>14</v>
      </c>
      <c r="I6" s="61" t="s">
        <v>15</v>
      </c>
      <c r="J6" s="61" t="s">
        <v>16</v>
      </c>
      <c r="K6" s="61" t="s">
        <v>17</v>
      </c>
      <c r="L6" s="61" t="s">
        <v>18</v>
      </c>
      <c r="M6" s="61" t="s">
        <v>19</v>
      </c>
      <c r="N6" s="19" t="s">
        <v>20</v>
      </c>
      <c r="O6" s="64" t="s">
        <v>6</v>
      </c>
      <c r="P6" s="60" t="s">
        <v>21</v>
      </c>
      <c r="Q6" s="61" t="s">
        <v>22</v>
      </c>
      <c r="R6" s="61" t="s">
        <v>23</v>
      </c>
      <c r="S6" s="61" t="s">
        <v>24</v>
      </c>
      <c r="T6" s="61" t="s">
        <v>25</v>
      </c>
      <c r="U6" s="61" t="s">
        <v>26</v>
      </c>
      <c r="V6" s="60" t="s">
        <v>27</v>
      </c>
      <c r="W6" s="65" t="s">
        <v>28</v>
      </c>
      <c r="X6" s="60"/>
      <c r="Y6" s="60" t="s">
        <v>29</v>
      </c>
      <c r="Z6" s="66" t="s">
        <v>30</v>
      </c>
      <c r="AA6" s="66" t="s">
        <v>31</v>
      </c>
      <c r="AB6" s="66" t="s">
        <v>32</v>
      </c>
      <c r="AC6" s="66" t="s">
        <v>33</v>
      </c>
      <c r="AD6" s="67" t="s">
        <v>34</v>
      </c>
      <c r="AE6" s="3" t="s">
        <v>35</v>
      </c>
      <c r="AF6" s="4" t="s">
        <v>36</v>
      </c>
      <c r="AG6" s="3" t="s">
        <v>37</v>
      </c>
      <c r="AH6" s="3"/>
      <c r="AI6" s="3"/>
      <c r="AJ6" s="3"/>
      <c r="AK6" s="3"/>
    </row>
    <row r="7" spans="1:37" ht="37.5" customHeight="1">
      <c r="A7" s="25" t="s">
        <v>114</v>
      </c>
      <c r="B7" s="25" t="s">
        <v>38</v>
      </c>
      <c r="C7" s="26" t="s">
        <v>39</v>
      </c>
      <c r="D7" s="72">
        <v>23</v>
      </c>
      <c r="E7" s="72">
        <v>6</v>
      </c>
      <c r="F7" s="72">
        <v>6</v>
      </c>
      <c r="G7" s="72">
        <f>PRODUCT(D7*E7*F7)</f>
        <v>828</v>
      </c>
      <c r="H7" s="70">
        <f>G7/1000000</f>
        <v>8.2799999999999996E-4</v>
      </c>
      <c r="I7" s="29">
        <f>1/H7</f>
        <v>1207.7294685990339</v>
      </c>
      <c r="J7" s="30">
        <f>80/I7</f>
        <v>6.6239999999999993E-2</v>
      </c>
      <c r="K7" s="31">
        <f>27000/I7</f>
        <v>22.355999999999998</v>
      </c>
      <c r="L7" s="31">
        <f>(J7*$AF$4)+K7</f>
        <v>114.09839999999998</v>
      </c>
      <c r="M7" s="32">
        <f>T7/R7</f>
        <v>2.6581169162832961E-2</v>
      </c>
      <c r="N7" s="33">
        <v>176</v>
      </c>
      <c r="O7" s="32">
        <f ca="1">SUMIF($AE$6:$AG$23,$A7,$AG$6:$AG$23)</f>
        <v>0</v>
      </c>
      <c r="P7" s="34">
        <v>23.2</v>
      </c>
      <c r="Q7" s="34">
        <f>P7*1.15</f>
        <v>26.679999999999996</v>
      </c>
      <c r="R7" s="35">
        <f>Q7*$AE$4</f>
        <v>5133.4987999999994</v>
      </c>
      <c r="S7" s="35">
        <f ca="1">R7*O7</f>
        <v>0</v>
      </c>
      <c r="T7" s="35">
        <f>L7+K7</f>
        <v>136.45439999999999</v>
      </c>
      <c r="U7" s="35">
        <f ca="1">R7+S7+T7</f>
        <v>5269.953199999999</v>
      </c>
      <c r="V7" s="35">
        <v>19900</v>
      </c>
      <c r="W7" s="36">
        <v>8.1299999999999997E-2</v>
      </c>
      <c r="X7" s="71"/>
      <c r="Y7" s="35">
        <v>2827</v>
      </c>
      <c r="Z7" s="38">
        <f>W7+(Y7/V7)</f>
        <v>0.22336030150753766</v>
      </c>
      <c r="AA7" s="39">
        <f>V7*Z7</f>
        <v>4444.87</v>
      </c>
      <c r="AB7" s="39">
        <f ca="1">(V7)/1.1*10%-(R7+AA7+K7+S7+N7+X7)*10%</f>
        <v>831.41842909090894</v>
      </c>
      <c r="AC7" s="39">
        <f ca="1">V7-(U7+AA7+AB7+N7+X7)</f>
        <v>9177.7583709090923</v>
      </c>
      <c r="AD7" s="40" t="e">
        <f>AC8/V8</f>
        <v>#DIV/0!</v>
      </c>
      <c r="AE7" s="41" t="s">
        <v>40</v>
      </c>
      <c r="AF7" s="41"/>
      <c r="AG7" s="42">
        <v>0.08</v>
      </c>
      <c r="AH7" s="43"/>
      <c r="AI7" s="43"/>
      <c r="AJ7" s="44"/>
      <c r="AK7" s="44"/>
    </row>
    <row r="8" spans="1:37" ht="37.5" customHeight="1">
      <c r="A8" s="25"/>
      <c r="B8" s="25"/>
      <c r="C8" s="26"/>
      <c r="D8" s="72"/>
      <c r="E8" s="72"/>
      <c r="F8" s="72"/>
      <c r="G8" s="72"/>
      <c r="H8" s="70"/>
      <c r="I8" s="29"/>
      <c r="J8" s="30"/>
      <c r="K8" s="31"/>
      <c r="L8" s="31"/>
      <c r="M8" s="32"/>
      <c r="N8" s="33"/>
      <c r="O8" s="32"/>
      <c r="P8" s="34"/>
      <c r="Q8" s="34"/>
      <c r="R8" s="35"/>
      <c r="S8" s="25"/>
      <c r="T8" s="35"/>
      <c r="U8" s="35"/>
      <c r="V8" s="35"/>
      <c r="W8" s="36"/>
      <c r="X8" s="71"/>
      <c r="Y8" s="35"/>
      <c r="Z8" s="38"/>
      <c r="AA8" s="39"/>
      <c r="AB8" s="39"/>
      <c r="AC8" s="39"/>
      <c r="AD8" s="40"/>
      <c r="AE8" s="41"/>
      <c r="AF8" s="41"/>
      <c r="AG8" s="42"/>
      <c r="AH8" s="43"/>
      <c r="AI8" s="43"/>
      <c r="AJ8" s="44"/>
      <c r="AK8" s="44"/>
    </row>
    <row r="9" spans="1:37" ht="37.5" customHeight="1">
      <c r="A9" s="25"/>
      <c r="B9" s="25"/>
      <c r="C9" s="26"/>
      <c r="D9" s="72"/>
      <c r="E9" s="72"/>
      <c r="F9" s="72"/>
      <c r="G9" s="72"/>
      <c r="H9" s="70"/>
      <c r="I9" s="29"/>
      <c r="J9" s="30"/>
      <c r="K9" s="31"/>
      <c r="L9" s="31"/>
      <c r="M9" s="32"/>
      <c r="N9" s="33"/>
      <c r="O9" s="32"/>
      <c r="P9" s="34"/>
      <c r="Q9" s="34"/>
      <c r="R9" s="35"/>
      <c r="S9" s="25"/>
      <c r="T9" s="35"/>
      <c r="U9" s="35"/>
      <c r="V9" s="35"/>
      <c r="W9" s="36"/>
      <c r="X9" s="71"/>
      <c r="Y9" s="35"/>
      <c r="Z9" s="38"/>
      <c r="AA9" s="39"/>
      <c r="AB9" s="39"/>
      <c r="AC9" s="39"/>
      <c r="AD9" s="40"/>
      <c r="AE9" s="41"/>
      <c r="AF9" s="41"/>
      <c r="AG9" s="42"/>
      <c r="AH9" s="43"/>
      <c r="AI9" s="43"/>
      <c r="AJ9" s="44"/>
      <c r="AK9" s="44"/>
    </row>
    <row r="10" spans="1:37" ht="37.5" customHeight="1">
      <c r="A10" s="25"/>
      <c r="B10" s="25"/>
      <c r="C10" s="26"/>
      <c r="D10" s="72"/>
      <c r="E10" s="72"/>
      <c r="F10" s="72"/>
      <c r="G10" s="72"/>
      <c r="H10" s="70"/>
      <c r="I10" s="29"/>
      <c r="J10" s="30"/>
      <c r="K10" s="31"/>
      <c r="L10" s="31"/>
      <c r="M10" s="32"/>
      <c r="N10" s="33"/>
      <c r="O10" s="32"/>
      <c r="P10" s="34"/>
      <c r="Q10" s="34"/>
      <c r="R10" s="35"/>
      <c r="S10" s="25"/>
      <c r="T10" s="35"/>
      <c r="U10" s="35"/>
      <c r="V10" s="35"/>
      <c r="W10" s="36"/>
      <c r="X10" s="71"/>
      <c r="Y10" s="35"/>
      <c r="Z10" s="38"/>
      <c r="AA10" s="39"/>
      <c r="AB10" s="39"/>
      <c r="AC10" s="39"/>
      <c r="AD10" s="40"/>
      <c r="AE10" s="41"/>
      <c r="AF10" s="41"/>
      <c r="AG10" s="45"/>
      <c r="AH10" s="43"/>
      <c r="AI10" s="43"/>
      <c r="AJ10" s="44"/>
      <c r="AK10" s="44"/>
    </row>
    <row r="11" spans="1:37" ht="37.5" customHeight="1">
      <c r="A11" s="25"/>
      <c r="B11" s="25"/>
      <c r="C11" s="26"/>
      <c r="D11" s="72"/>
      <c r="E11" s="72"/>
      <c r="F11" s="72"/>
      <c r="G11" s="72"/>
      <c r="H11" s="70"/>
      <c r="I11" s="29"/>
      <c r="J11" s="30"/>
      <c r="K11" s="31"/>
      <c r="L11" s="31"/>
      <c r="M11" s="32"/>
      <c r="N11" s="33"/>
      <c r="O11" s="32"/>
      <c r="P11" s="34"/>
      <c r="Q11" s="34"/>
      <c r="R11" s="35"/>
      <c r="S11" s="25"/>
      <c r="T11" s="35"/>
      <c r="U11" s="35"/>
      <c r="V11" s="35"/>
      <c r="W11" s="36"/>
      <c r="X11" s="71"/>
      <c r="Y11" s="35"/>
      <c r="Z11" s="38"/>
      <c r="AA11" s="39"/>
      <c r="AB11" s="39"/>
      <c r="AC11" s="39"/>
      <c r="AD11" s="40"/>
      <c r="AE11" s="41"/>
      <c r="AF11" s="41"/>
      <c r="AG11" s="45"/>
      <c r="AH11" s="43"/>
      <c r="AI11" s="43"/>
      <c r="AJ11" s="44"/>
      <c r="AK11" s="44"/>
    </row>
    <row r="12" spans="1:37" ht="37.5" customHeight="1">
      <c r="A12" s="25"/>
      <c r="B12" s="25"/>
      <c r="C12" s="26"/>
      <c r="D12" s="72"/>
      <c r="E12" s="72"/>
      <c r="F12" s="72"/>
      <c r="G12" s="72"/>
      <c r="H12" s="70"/>
      <c r="I12" s="29"/>
      <c r="J12" s="30"/>
      <c r="K12" s="31"/>
      <c r="L12" s="31"/>
      <c r="M12" s="32"/>
      <c r="N12" s="33"/>
      <c r="O12" s="32"/>
      <c r="P12" s="34"/>
      <c r="Q12" s="34"/>
      <c r="R12" s="35"/>
      <c r="S12" s="25"/>
      <c r="T12" s="35"/>
      <c r="U12" s="35"/>
      <c r="V12" s="35"/>
      <c r="W12" s="36"/>
      <c r="X12" s="71"/>
      <c r="Y12" s="35"/>
      <c r="Z12" s="38"/>
      <c r="AA12" s="39"/>
      <c r="AB12" s="39"/>
      <c r="AC12" s="39"/>
      <c r="AD12" s="40"/>
      <c r="AE12" s="41"/>
      <c r="AF12" s="41"/>
      <c r="AG12" s="45"/>
      <c r="AH12" s="43"/>
      <c r="AI12" s="43"/>
      <c r="AJ12" s="44"/>
      <c r="AK12" s="44"/>
    </row>
    <row r="13" spans="1:37" ht="37.5" customHeight="1">
      <c r="A13" s="25"/>
      <c r="B13" s="25"/>
      <c r="C13" s="26"/>
      <c r="D13" s="72"/>
      <c r="E13" s="72"/>
      <c r="F13" s="72"/>
      <c r="G13" s="72"/>
      <c r="H13" s="70"/>
      <c r="I13" s="29"/>
      <c r="J13" s="30"/>
      <c r="K13" s="31"/>
      <c r="L13" s="31"/>
      <c r="M13" s="32"/>
      <c r="N13" s="33"/>
      <c r="O13" s="32"/>
      <c r="P13" s="34"/>
      <c r="Q13" s="34"/>
      <c r="R13" s="35"/>
      <c r="S13" s="25"/>
      <c r="T13" s="35"/>
      <c r="U13" s="35"/>
      <c r="V13" s="35"/>
      <c r="W13" s="36"/>
      <c r="X13" s="71"/>
      <c r="Y13" s="35"/>
      <c r="Z13" s="38"/>
      <c r="AA13" s="39"/>
      <c r="AB13" s="39"/>
      <c r="AC13" s="39"/>
      <c r="AD13" s="40"/>
      <c r="AE13" s="41"/>
      <c r="AF13" s="41"/>
      <c r="AG13" s="45"/>
      <c r="AH13" s="43"/>
      <c r="AI13" s="43"/>
      <c r="AJ13" s="44"/>
      <c r="AK13" s="44"/>
    </row>
    <row r="14" spans="1:37" ht="37.5" customHeight="1">
      <c r="A14" s="25"/>
      <c r="B14" s="25"/>
      <c r="C14" s="26"/>
      <c r="D14" s="72"/>
      <c r="E14" s="72"/>
      <c r="F14" s="72"/>
      <c r="G14" s="72"/>
      <c r="H14" s="70"/>
      <c r="I14" s="29"/>
      <c r="J14" s="30"/>
      <c r="K14" s="31"/>
      <c r="L14" s="31"/>
      <c r="M14" s="32"/>
      <c r="N14" s="33"/>
      <c r="O14" s="32"/>
      <c r="P14" s="34"/>
      <c r="Q14" s="34"/>
      <c r="R14" s="35"/>
      <c r="S14" s="25"/>
      <c r="T14" s="35"/>
      <c r="U14" s="35"/>
      <c r="V14" s="35"/>
      <c r="W14" s="36"/>
      <c r="X14" s="71"/>
      <c r="Y14" s="35"/>
      <c r="Z14" s="38"/>
      <c r="AA14" s="39"/>
      <c r="AB14" s="39"/>
      <c r="AC14" s="39"/>
      <c r="AD14" s="40"/>
      <c r="AE14" s="41"/>
      <c r="AF14" s="41"/>
      <c r="AG14" s="45"/>
      <c r="AH14" s="43"/>
      <c r="AI14" s="43"/>
      <c r="AJ14" s="44"/>
      <c r="AK14" s="44"/>
    </row>
    <row r="15" spans="1:37" ht="37.5" customHeight="1">
      <c r="A15" s="25"/>
      <c r="B15" s="25"/>
      <c r="C15" s="26"/>
      <c r="D15" s="72"/>
      <c r="E15" s="72"/>
      <c r="F15" s="72"/>
      <c r="G15" s="72"/>
      <c r="H15" s="70"/>
      <c r="I15" s="29"/>
      <c r="J15" s="30"/>
      <c r="K15" s="31"/>
      <c r="L15" s="31"/>
      <c r="M15" s="32"/>
      <c r="N15" s="33"/>
      <c r="O15" s="32"/>
      <c r="P15" s="34"/>
      <c r="Q15" s="34"/>
      <c r="R15" s="35"/>
      <c r="S15" s="25"/>
      <c r="T15" s="35"/>
      <c r="U15" s="35"/>
      <c r="V15" s="35"/>
      <c r="W15" s="36"/>
      <c r="X15" s="71"/>
      <c r="Y15" s="35"/>
      <c r="Z15" s="38"/>
      <c r="AA15" s="39"/>
      <c r="AB15" s="39"/>
      <c r="AC15" s="39"/>
      <c r="AD15" s="40"/>
      <c r="AE15" s="41"/>
      <c r="AF15" s="41"/>
      <c r="AG15" s="45"/>
      <c r="AH15" s="43"/>
      <c r="AI15" s="43"/>
      <c r="AJ15" s="44"/>
      <c r="AK15" s="44"/>
    </row>
    <row r="16" spans="1:37" ht="37.5" customHeight="1">
      <c r="A16" s="25"/>
      <c r="B16" s="25"/>
      <c r="C16" s="26"/>
      <c r="D16" s="72"/>
      <c r="E16" s="72"/>
      <c r="F16" s="72"/>
      <c r="G16" s="72"/>
      <c r="H16" s="70"/>
      <c r="I16" s="29"/>
      <c r="J16" s="30"/>
      <c r="K16" s="31"/>
      <c r="L16" s="31"/>
      <c r="M16" s="32"/>
      <c r="N16" s="33"/>
      <c r="O16" s="32"/>
      <c r="P16" s="34"/>
      <c r="Q16" s="34"/>
      <c r="R16" s="35"/>
      <c r="S16" s="25"/>
      <c r="T16" s="35"/>
      <c r="U16" s="35"/>
      <c r="V16" s="35"/>
      <c r="W16" s="36"/>
      <c r="X16" s="71"/>
      <c r="Y16" s="35"/>
      <c r="Z16" s="38"/>
      <c r="AA16" s="39"/>
      <c r="AB16" s="39"/>
      <c r="AC16" s="39"/>
      <c r="AD16" s="40"/>
      <c r="AE16" s="41"/>
      <c r="AF16" s="41"/>
      <c r="AG16" s="45"/>
      <c r="AH16" s="43"/>
      <c r="AI16" s="43"/>
      <c r="AJ16" s="44"/>
      <c r="AK16" s="44"/>
    </row>
    <row r="17" spans="1:37" ht="37.5" customHeight="1">
      <c r="A17" s="25"/>
      <c r="B17" s="25"/>
      <c r="C17" s="26"/>
      <c r="D17" s="72"/>
      <c r="E17" s="72"/>
      <c r="F17" s="72"/>
      <c r="G17" s="72"/>
      <c r="H17" s="70"/>
      <c r="I17" s="29"/>
      <c r="J17" s="30"/>
      <c r="K17" s="31"/>
      <c r="L17" s="31"/>
      <c r="M17" s="32"/>
      <c r="N17" s="33"/>
      <c r="O17" s="32"/>
      <c r="P17" s="34"/>
      <c r="Q17" s="34"/>
      <c r="R17" s="35"/>
      <c r="S17" s="25"/>
      <c r="T17" s="35"/>
      <c r="U17" s="35"/>
      <c r="V17" s="35"/>
      <c r="W17" s="36"/>
      <c r="X17" s="71"/>
      <c r="Y17" s="35"/>
      <c r="Z17" s="38"/>
      <c r="AA17" s="39"/>
      <c r="AB17" s="39"/>
      <c r="AC17" s="39"/>
      <c r="AD17" s="40"/>
      <c r="AE17" s="41"/>
      <c r="AF17" s="41"/>
      <c r="AG17" s="45"/>
      <c r="AH17" s="43"/>
      <c r="AI17" s="43"/>
      <c r="AJ17" s="44"/>
      <c r="AK17" s="44"/>
    </row>
    <row r="18" spans="1:37" ht="37.5" customHeight="1">
      <c r="A18" s="25"/>
      <c r="B18" s="25"/>
      <c r="C18" s="26"/>
      <c r="D18" s="72"/>
      <c r="E18" s="72"/>
      <c r="F18" s="72"/>
      <c r="G18" s="72"/>
      <c r="H18" s="70"/>
      <c r="I18" s="29"/>
      <c r="J18" s="30"/>
      <c r="K18" s="31"/>
      <c r="L18" s="31"/>
      <c r="M18" s="32"/>
      <c r="N18" s="34"/>
      <c r="O18" s="32"/>
      <c r="P18" s="34"/>
      <c r="Q18" s="34"/>
      <c r="R18" s="35"/>
      <c r="S18" s="25"/>
      <c r="T18" s="35"/>
      <c r="U18" s="35"/>
      <c r="V18" s="35"/>
      <c r="W18" s="36"/>
      <c r="X18" s="71"/>
      <c r="Y18" s="35"/>
      <c r="Z18" s="38"/>
      <c r="AA18" s="39"/>
      <c r="AB18" s="39"/>
      <c r="AC18" s="39"/>
      <c r="AD18" s="40"/>
      <c r="AE18" s="41"/>
      <c r="AF18" s="41"/>
      <c r="AG18" s="45"/>
      <c r="AH18" s="43"/>
      <c r="AI18" s="43"/>
      <c r="AJ18" s="44"/>
      <c r="AK18" s="44"/>
    </row>
    <row r="19" spans="1:37" ht="37.5" customHeight="1">
      <c r="A19" s="25"/>
      <c r="B19" s="25"/>
      <c r="C19" s="26"/>
      <c r="D19" s="72"/>
      <c r="E19" s="72"/>
      <c r="F19" s="72"/>
      <c r="G19" s="72"/>
      <c r="H19" s="70"/>
      <c r="I19" s="29"/>
      <c r="J19" s="30"/>
      <c r="K19" s="31"/>
      <c r="L19" s="31"/>
      <c r="M19" s="32"/>
      <c r="N19" s="34"/>
      <c r="O19" s="32"/>
      <c r="P19" s="34"/>
      <c r="Q19" s="34"/>
      <c r="R19" s="35"/>
      <c r="S19" s="25"/>
      <c r="T19" s="35"/>
      <c r="U19" s="35"/>
      <c r="V19" s="35"/>
      <c r="W19" s="36"/>
      <c r="X19" s="71"/>
      <c r="Y19" s="35"/>
      <c r="Z19" s="38"/>
      <c r="AA19" s="39"/>
      <c r="AB19" s="39"/>
      <c r="AC19" s="39"/>
      <c r="AD19" s="40"/>
      <c r="AE19" s="41"/>
      <c r="AF19" s="41"/>
      <c r="AG19" s="45"/>
      <c r="AH19" s="43"/>
      <c r="AI19" s="43"/>
      <c r="AJ19" s="44"/>
      <c r="AK19" s="44"/>
    </row>
    <row r="20" spans="1:37" ht="37.5" customHeight="1">
      <c r="A20" s="25"/>
      <c r="B20" s="25"/>
      <c r="C20" s="26"/>
      <c r="D20" s="72"/>
      <c r="E20" s="72"/>
      <c r="F20" s="72"/>
      <c r="G20" s="72"/>
      <c r="H20" s="70"/>
      <c r="I20" s="29"/>
      <c r="J20" s="30"/>
      <c r="K20" s="31"/>
      <c r="L20" s="31"/>
      <c r="M20" s="32"/>
      <c r="N20" s="34"/>
      <c r="O20" s="32"/>
      <c r="P20" s="34"/>
      <c r="Q20" s="34"/>
      <c r="R20" s="35"/>
      <c r="S20" s="25"/>
      <c r="T20" s="35"/>
      <c r="U20" s="35"/>
      <c r="V20" s="35"/>
      <c r="W20" s="36"/>
      <c r="X20" s="71"/>
      <c r="Y20" s="35"/>
      <c r="Z20" s="38"/>
      <c r="AA20" s="39"/>
      <c r="AB20" s="39"/>
      <c r="AC20" s="39"/>
      <c r="AD20" s="40"/>
      <c r="AE20" s="41"/>
      <c r="AF20" s="41"/>
      <c r="AG20" s="45"/>
      <c r="AH20" s="43"/>
      <c r="AI20" s="43"/>
      <c r="AJ20" s="44"/>
      <c r="AK20" s="44"/>
    </row>
    <row r="21" spans="1:37" ht="37.5" customHeight="1">
      <c r="A21" s="25"/>
      <c r="B21" s="25"/>
      <c r="C21" s="26"/>
      <c r="D21" s="72"/>
      <c r="E21" s="72"/>
      <c r="F21" s="72"/>
      <c r="G21" s="72"/>
      <c r="H21" s="70"/>
      <c r="I21" s="29"/>
      <c r="J21" s="30"/>
      <c r="K21" s="31"/>
      <c r="L21" s="31"/>
      <c r="M21" s="32"/>
      <c r="N21" s="34"/>
      <c r="O21" s="32"/>
      <c r="P21" s="34"/>
      <c r="Q21" s="34"/>
      <c r="R21" s="35"/>
      <c r="S21" s="25"/>
      <c r="T21" s="35"/>
      <c r="U21" s="35"/>
      <c r="V21" s="35"/>
      <c r="W21" s="36"/>
      <c r="X21" s="71"/>
      <c r="Y21" s="35"/>
      <c r="Z21" s="38"/>
      <c r="AA21" s="39"/>
      <c r="AB21" s="39"/>
      <c r="AC21" s="39"/>
      <c r="AD21" s="40"/>
      <c r="AE21" s="41"/>
      <c r="AF21" s="41"/>
      <c r="AG21" s="45"/>
      <c r="AH21" s="43"/>
      <c r="AI21" s="43"/>
      <c r="AJ21" s="44"/>
      <c r="AK21" s="44"/>
    </row>
    <row r="22" spans="1:37" ht="37.5" customHeight="1">
      <c r="A22" s="25"/>
      <c r="B22" s="25"/>
      <c r="C22" s="26"/>
      <c r="D22" s="72"/>
      <c r="E22" s="72"/>
      <c r="F22" s="72"/>
      <c r="G22" s="72"/>
      <c r="H22" s="70"/>
      <c r="I22" s="29"/>
      <c r="J22" s="30"/>
      <c r="K22" s="31"/>
      <c r="L22" s="31"/>
      <c r="M22" s="32"/>
      <c r="N22" s="34"/>
      <c r="O22" s="32"/>
      <c r="P22" s="34"/>
      <c r="Q22" s="34"/>
      <c r="R22" s="35"/>
      <c r="S22" s="25"/>
      <c r="T22" s="35"/>
      <c r="U22" s="35"/>
      <c r="V22" s="35"/>
      <c r="W22" s="36"/>
      <c r="X22" s="71"/>
      <c r="Y22" s="35"/>
      <c r="Z22" s="38"/>
      <c r="AA22" s="39"/>
      <c r="AB22" s="39"/>
      <c r="AC22" s="39"/>
      <c r="AD22" s="40"/>
      <c r="AE22" s="41"/>
      <c r="AF22" s="41"/>
      <c r="AG22" s="45"/>
      <c r="AH22" s="43"/>
      <c r="AI22" s="43"/>
      <c r="AJ22" s="44"/>
      <c r="AK22" s="44"/>
    </row>
    <row r="23" spans="1:37" ht="37.5" customHeight="1">
      <c r="A23" s="25"/>
      <c r="B23" s="25"/>
      <c r="C23" s="26"/>
      <c r="D23" s="72"/>
      <c r="E23" s="72"/>
      <c r="F23" s="72"/>
      <c r="G23" s="72"/>
      <c r="H23" s="70"/>
      <c r="I23" s="29"/>
      <c r="J23" s="30"/>
      <c r="K23" s="31"/>
      <c r="L23" s="31"/>
      <c r="M23" s="32"/>
      <c r="N23" s="34"/>
      <c r="O23" s="32"/>
      <c r="P23" s="34"/>
      <c r="Q23" s="34"/>
      <c r="R23" s="35"/>
      <c r="S23" s="25"/>
      <c r="T23" s="35"/>
      <c r="U23" s="35"/>
      <c r="V23" s="35"/>
      <c r="W23" s="36"/>
      <c r="X23" s="71"/>
      <c r="Y23" s="35"/>
      <c r="Z23" s="38"/>
      <c r="AA23" s="39"/>
      <c r="AB23" s="39"/>
      <c r="AC23" s="39"/>
      <c r="AD23" s="40"/>
      <c r="AE23" s="41"/>
      <c r="AF23" s="41"/>
      <c r="AG23" s="45"/>
      <c r="AH23" s="43"/>
      <c r="AI23" s="43"/>
      <c r="AJ23" s="44"/>
      <c r="AK23" s="44"/>
    </row>
    <row r="24" spans="1:37" ht="37.5" customHeight="1">
      <c r="A24" s="52"/>
      <c r="B24" s="52"/>
      <c r="C24" s="52"/>
      <c r="D24" s="52"/>
      <c r="E24" s="52"/>
      <c r="F24" s="52"/>
      <c r="G24" s="52"/>
      <c r="H24" s="52"/>
      <c r="I24" s="52"/>
      <c r="J24" s="52"/>
      <c r="K24" s="52"/>
      <c r="L24" s="52"/>
      <c r="M24" s="52"/>
      <c r="N24" s="52"/>
      <c r="O24" s="52"/>
      <c r="P24" s="52"/>
      <c r="Q24" s="52"/>
      <c r="R24" s="52"/>
      <c r="S24" s="52"/>
      <c r="T24" s="52"/>
      <c r="U24" s="52"/>
      <c r="V24" s="52"/>
      <c r="W24" s="56"/>
      <c r="X24" s="52"/>
      <c r="Y24" s="52"/>
      <c r="Z24" s="52"/>
      <c r="AA24" s="52"/>
      <c r="AB24" s="52"/>
      <c r="AC24" s="52"/>
      <c r="AD24" s="57"/>
      <c r="AE24" s="3"/>
      <c r="AF24" s="58"/>
      <c r="AG24" s="4"/>
      <c r="AH24" s="58"/>
      <c r="AI24" s="4"/>
      <c r="AJ24" s="4"/>
      <c r="AK24" s="4"/>
    </row>
    <row r="25" spans="1:37" ht="37.5" customHeight="1">
      <c r="A25" s="52"/>
      <c r="B25" s="52"/>
      <c r="C25" s="52"/>
      <c r="D25" s="52"/>
      <c r="E25" s="52"/>
      <c r="F25" s="52"/>
      <c r="G25" s="52"/>
      <c r="H25" s="52"/>
      <c r="I25" s="52"/>
      <c r="J25" s="52"/>
      <c r="K25" s="52"/>
      <c r="L25" s="52"/>
      <c r="M25" s="52"/>
      <c r="N25" s="52"/>
      <c r="O25" s="52"/>
      <c r="P25" s="52"/>
      <c r="Q25" s="52"/>
      <c r="R25" s="52"/>
      <c r="S25" s="52"/>
      <c r="T25" s="52"/>
      <c r="U25" s="52"/>
      <c r="V25" s="52"/>
      <c r="W25" s="56"/>
      <c r="X25" s="52"/>
      <c r="Y25" s="52"/>
      <c r="Z25" s="52"/>
      <c r="AA25" s="52"/>
      <c r="AB25" s="52"/>
      <c r="AC25" s="52"/>
      <c r="AD25" s="57"/>
      <c r="AE25" s="3"/>
      <c r="AF25" s="58"/>
      <c r="AG25" s="4"/>
      <c r="AH25" s="58"/>
      <c r="AI25" s="4"/>
      <c r="AJ25" s="4"/>
      <c r="AK25" s="4"/>
    </row>
    <row r="26" spans="1:37" ht="37.5" customHeight="1">
      <c r="A26" s="52"/>
      <c r="B26" s="52"/>
      <c r="C26" s="52"/>
      <c r="D26" s="52"/>
      <c r="E26" s="52"/>
      <c r="F26" s="52"/>
      <c r="G26" s="52"/>
      <c r="H26" s="52"/>
      <c r="I26" s="52"/>
      <c r="J26" s="52"/>
      <c r="K26" s="52"/>
      <c r="L26" s="52"/>
      <c r="M26" s="52"/>
      <c r="N26" s="52"/>
      <c r="O26" s="52"/>
      <c r="P26" s="52"/>
      <c r="Q26" s="52"/>
      <c r="R26" s="52"/>
      <c r="S26" s="52"/>
      <c r="T26" s="52"/>
      <c r="U26" s="52"/>
      <c r="V26" s="52"/>
      <c r="W26" s="56"/>
      <c r="X26" s="52"/>
      <c r="Y26" s="52"/>
      <c r="Z26" s="52"/>
      <c r="AA26" s="52"/>
      <c r="AB26" s="52"/>
      <c r="AC26" s="52"/>
      <c r="AD26" s="57"/>
      <c r="AE26" s="3"/>
      <c r="AF26" s="58"/>
      <c r="AG26" s="4"/>
      <c r="AH26" s="58"/>
      <c r="AI26" s="4"/>
      <c r="AJ26" s="4"/>
      <c r="AK26" s="4"/>
    </row>
    <row r="27" spans="1:37" ht="37.5" customHeight="1">
      <c r="A27" s="52"/>
      <c r="B27" s="52"/>
      <c r="C27" s="52"/>
      <c r="D27" s="52"/>
      <c r="E27" s="52"/>
      <c r="F27" s="52"/>
      <c r="G27" s="52"/>
      <c r="H27" s="52"/>
      <c r="I27" s="52"/>
      <c r="J27" s="52"/>
      <c r="K27" s="52"/>
      <c r="L27" s="52"/>
      <c r="M27" s="52"/>
      <c r="N27" s="52"/>
      <c r="O27" s="52"/>
      <c r="P27" s="52"/>
      <c r="Q27" s="52"/>
      <c r="R27" s="52"/>
      <c r="S27" s="52"/>
      <c r="T27" s="52"/>
      <c r="U27" s="52"/>
      <c r="V27" s="52"/>
      <c r="W27" s="56"/>
      <c r="X27" s="52"/>
      <c r="Y27" s="52"/>
      <c r="Z27" s="52"/>
      <c r="AA27" s="52"/>
      <c r="AB27" s="52"/>
      <c r="AC27" s="52"/>
      <c r="AD27" s="57"/>
      <c r="AE27" s="3"/>
      <c r="AF27" s="58"/>
      <c r="AG27" s="4"/>
      <c r="AH27" s="58"/>
      <c r="AI27" s="4"/>
      <c r="AJ27" s="4"/>
      <c r="AK27" s="4"/>
    </row>
    <row r="28" spans="1:37" ht="37.5" customHeight="1">
      <c r="A28" s="52"/>
      <c r="B28" s="52"/>
      <c r="C28" s="52"/>
      <c r="D28" s="52"/>
      <c r="E28" s="52"/>
      <c r="F28" s="52"/>
      <c r="G28" s="52"/>
      <c r="H28" s="52"/>
      <c r="I28" s="52"/>
      <c r="J28" s="52"/>
      <c r="K28" s="52"/>
      <c r="L28" s="52"/>
      <c r="M28" s="52"/>
      <c r="N28" s="52"/>
      <c r="O28" s="52"/>
      <c r="P28" s="52"/>
      <c r="Q28" s="52"/>
      <c r="R28" s="52"/>
      <c r="S28" s="52"/>
      <c r="T28" s="52"/>
      <c r="U28" s="52"/>
      <c r="V28" s="52"/>
      <c r="W28" s="56"/>
      <c r="X28" s="52"/>
      <c r="Y28" s="52"/>
      <c r="Z28" s="52"/>
      <c r="AA28" s="52"/>
      <c r="AB28" s="52"/>
      <c r="AC28" s="52"/>
      <c r="AD28" s="57"/>
      <c r="AE28" s="3"/>
      <c r="AF28" s="58"/>
      <c r="AG28" s="4"/>
      <c r="AH28" s="58"/>
      <c r="AI28" s="4"/>
      <c r="AJ28" s="4"/>
      <c r="AK28" s="4"/>
    </row>
    <row r="29" spans="1:37" ht="37.5" customHeight="1">
      <c r="A29" s="52"/>
      <c r="B29" s="52"/>
      <c r="C29" s="52"/>
      <c r="D29" s="52"/>
      <c r="E29" s="52"/>
      <c r="F29" s="52"/>
      <c r="G29" s="52"/>
      <c r="H29" s="52"/>
      <c r="I29" s="52"/>
      <c r="J29" s="52"/>
      <c r="K29" s="52"/>
      <c r="L29" s="52"/>
      <c r="M29" s="52"/>
      <c r="N29" s="52"/>
      <c r="O29" s="52"/>
      <c r="P29" s="52"/>
      <c r="Q29" s="52"/>
      <c r="R29" s="52"/>
      <c r="S29" s="52"/>
      <c r="T29" s="52"/>
      <c r="U29" s="52"/>
      <c r="V29" s="52"/>
      <c r="W29" s="56"/>
      <c r="X29" s="52"/>
      <c r="Y29" s="52"/>
      <c r="Z29" s="52"/>
      <c r="AA29" s="52"/>
      <c r="AB29" s="52"/>
      <c r="AC29" s="52"/>
      <c r="AD29" s="57"/>
      <c r="AE29" s="3"/>
      <c r="AF29" s="58"/>
      <c r="AG29" s="4"/>
      <c r="AH29" s="58"/>
      <c r="AI29" s="4"/>
      <c r="AJ29" s="4"/>
      <c r="AK29" s="4"/>
    </row>
    <row r="30" spans="1:37" ht="37.5" customHeight="1">
      <c r="A30" s="52"/>
      <c r="B30" s="52"/>
      <c r="C30" s="52"/>
      <c r="D30" s="52"/>
      <c r="E30" s="52"/>
      <c r="F30" s="52"/>
      <c r="G30" s="52"/>
      <c r="H30" s="52"/>
      <c r="I30" s="52"/>
      <c r="J30" s="52"/>
      <c r="K30" s="52"/>
      <c r="L30" s="52"/>
      <c r="M30" s="52"/>
      <c r="N30" s="52"/>
      <c r="O30" s="52"/>
      <c r="P30" s="52"/>
      <c r="Q30" s="52"/>
      <c r="R30" s="52"/>
      <c r="S30" s="52"/>
      <c r="T30" s="52"/>
      <c r="U30" s="52"/>
      <c r="V30" s="52"/>
      <c r="W30" s="56"/>
      <c r="X30" s="52"/>
      <c r="Y30" s="52"/>
      <c r="Z30" s="52"/>
      <c r="AA30" s="52"/>
      <c r="AB30" s="52"/>
      <c r="AC30" s="52"/>
      <c r="AD30" s="57"/>
      <c r="AE30" s="3"/>
      <c r="AF30" s="58"/>
      <c r="AG30" s="4"/>
      <c r="AH30" s="58"/>
      <c r="AI30" s="4"/>
      <c r="AJ30" s="4"/>
      <c r="AK30" s="4"/>
    </row>
    <row r="31" spans="1:37" ht="37.5" customHeight="1">
      <c r="A31" s="52"/>
      <c r="B31" s="52"/>
      <c r="C31" s="52"/>
      <c r="D31" s="52"/>
      <c r="E31" s="52"/>
      <c r="F31" s="52"/>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row>
    <row r="32" spans="1:37" ht="14.25">
      <c r="A32" s="52"/>
      <c r="B32" s="52"/>
      <c r="C32" s="52"/>
      <c r="D32" s="52"/>
      <c r="E32" s="52"/>
      <c r="F32" s="52"/>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row>
    <row r="33" spans="1:37" ht="14.25">
      <c r="A33" s="52"/>
      <c r="B33" s="52"/>
      <c r="C33" s="52"/>
      <c r="D33" s="52"/>
      <c r="E33" s="52"/>
      <c r="F33" s="52"/>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row>
    <row r="34" spans="1:37" ht="14.25">
      <c r="A34" s="52"/>
      <c r="B34" s="52"/>
      <c r="C34" s="52"/>
      <c r="D34" s="52"/>
      <c r="E34" s="52"/>
      <c r="F34" s="52"/>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row>
    <row r="35" spans="1:37" ht="14.25">
      <c r="A35" s="52"/>
      <c r="B35" s="52"/>
      <c r="C35" s="52"/>
      <c r="D35" s="52"/>
      <c r="E35" s="52"/>
      <c r="F35" s="52"/>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row>
    <row r="36" spans="1:37" ht="14.25">
      <c r="A36" s="52"/>
      <c r="B36" s="52"/>
      <c r="C36" s="52"/>
      <c r="D36" s="52"/>
      <c r="E36" s="52"/>
      <c r="F36" s="52"/>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3"/>
      <c r="AG36" s="4"/>
      <c r="AH36" s="4"/>
      <c r="AI36" s="4"/>
      <c r="AJ36" s="4"/>
      <c r="AK36" s="4"/>
    </row>
    <row r="37" spans="1:37" ht="14.25">
      <c r="A37" s="52"/>
      <c r="B37" s="52"/>
      <c r="C37" s="52"/>
      <c r="D37" s="52"/>
      <c r="E37" s="52"/>
      <c r="F37" s="52"/>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3"/>
      <c r="AG37" s="4"/>
      <c r="AH37" s="4"/>
      <c r="AI37" s="4"/>
      <c r="AJ37" s="4"/>
      <c r="AK37" s="4"/>
    </row>
    <row r="38" spans="1:37" ht="14.25">
      <c r="A38" s="52"/>
      <c r="B38" s="52"/>
      <c r="C38" s="52"/>
      <c r="D38" s="52"/>
      <c r="E38" s="52"/>
      <c r="F38" s="52"/>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3"/>
      <c r="AG38" s="4"/>
      <c r="AH38" s="4"/>
      <c r="AI38" s="4"/>
      <c r="AJ38" s="4"/>
      <c r="AK38" s="4"/>
    </row>
    <row r="39" spans="1:37" ht="14.25">
      <c r="A39" s="52"/>
      <c r="B39" s="52"/>
      <c r="C39" s="52"/>
      <c r="D39" s="52"/>
      <c r="E39" s="52"/>
      <c r="F39" s="52"/>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3"/>
      <c r="AG39" s="4"/>
      <c r="AH39" s="4"/>
      <c r="AI39" s="4"/>
      <c r="AJ39" s="4"/>
      <c r="AK39" s="4"/>
    </row>
    <row r="40" spans="1:37" ht="14.25">
      <c r="A40" s="52"/>
      <c r="B40" s="52"/>
      <c r="C40" s="52"/>
      <c r="D40" s="52"/>
      <c r="E40" s="52"/>
      <c r="F40" s="52"/>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3"/>
      <c r="AG40" s="4"/>
      <c r="AH40" s="4"/>
      <c r="AI40" s="4"/>
      <c r="AJ40" s="4"/>
      <c r="AK40" s="4"/>
    </row>
    <row r="41" spans="1:37" ht="14.25">
      <c r="A41" s="52"/>
      <c r="B41" s="52"/>
      <c r="C41" s="52"/>
      <c r="D41" s="52"/>
      <c r="E41" s="52"/>
      <c r="F41" s="52"/>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3"/>
      <c r="AG41" s="4"/>
      <c r="AH41" s="4"/>
      <c r="AI41" s="4"/>
      <c r="AJ41" s="4"/>
      <c r="AK41" s="4"/>
    </row>
    <row r="42" spans="1:37" ht="14.25">
      <c r="A42" s="52"/>
      <c r="B42" s="52"/>
      <c r="C42" s="52"/>
      <c r="D42" s="52"/>
      <c r="E42" s="52"/>
      <c r="F42" s="52"/>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3"/>
      <c r="AG42" s="4"/>
      <c r="AH42" s="4"/>
      <c r="AI42" s="4"/>
      <c r="AJ42" s="4"/>
      <c r="AK42" s="4"/>
    </row>
    <row r="43" spans="1:37" ht="14.25">
      <c r="A43" s="52"/>
      <c r="B43" s="52"/>
      <c r="C43" s="52"/>
      <c r="D43" s="52"/>
      <c r="E43" s="52"/>
      <c r="F43" s="52"/>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row>
    <row r="44" spans="1:37" ht="14.25">
      <c r="A44" s="52"/>
      <c r="B44" s="52"/>
      <c r="C44" s="52"/>
      <c r="D44" s="52"/>
      <c r="E44" s="52"/>
      <c r="F44" s="52"/>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row>
    <row r="45" spans="1:37" ht="14.25">
      <c r="A45" s="52"/>
      <c r="B45" s="52"/>
      <c r="C45" s="52"/>
      <c r="D45" s="52"/>
      <c r="E45" s="52"/>
      <c r="F45" s="52"/>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row>
    <row r="46" spans="1:37" ht="14.25">
      <c r="A46" s="52"/>
      <c r="B46" s="52"/>
      <c r="C46" s="52"/>
      <c r="D46" s="52"/>
      <c r="E46" s="52"/>
      <c r="F46" s="52"/>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row>
    <row r="47" spans="1:37" ht="14.25">
      <c r="A47" s="52"/>
      <c r="B47" s="52"/>
      <c r="C47" s="52"/>
      <c r="D47" s="52"/>
      <c r="E47" s="52"/>
      <c r="F47" s="52"/>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row>
    <row r="48" spans="1:37" ht="14.25">
      <c r="A48" s="52"/>
      <c r="B48" s="52"/>
      <c r="C48" s="52"/>
      <c r="D48" s="52"/>
      <c r="E48" s="52"/>
      <c r="F48" s="52"/>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row>
    <row r="49" spans="1:37" ht="14.25">
      <c r="A49" s="52"/>
      <c r="B49" s="52"/>
      <c r="C49" s="52"/>
      <c r="D49" s="52"/>
      <c r="E49" s="52"/>
      <c r="F49" s="52"/>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row>
    <row r="50" spans="1:37" ht="14.25">
      <c r="A50" s="52"/>
      <c r="B50" s="52"/>
      <c r="C50" s="52"/>
      <c r="D50" s="52"/>
      <c r="E50" s="52"/>
      <c r="F50" s="52"/>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row>
    <row r="51" spans="1:37" ht="14.25">
      <c r="A51" s="52"/>
      <c r="B51" s="52"/>
      <c r="C51" s="52"/>
      <c r="D51" s="52"/>
      <c r="E51" s="52"/>
      <c r="F51" s="52"/>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row>
    <row r="52" spans="1:37" ht="14.25">
      <c r="A52" s="52"/>
      <c r="B52" s="52"/>
      <c r="C52" s="52"/>
      <c r="D52" s="52"/>
      <c r="E52" s="52"/>
      <c r="F52" s="52"/>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row>
    <row r="53" spans="1:37" ht="14.25">
      <c r="A53" s="52"/>
      <c r="B53" s="52"/>
      <c r="C53" s="52"/>
      <c r="D53" s="52"/>
      <c r="E53" s="52"/>
      <c r="F53" s="52"/>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row>
    <row r="54" spans="1:37" ht="14.25">
      <c r="A54" s="52"/>
      <c r="B54" s="52"/>
      <c r="C54" s="52"/>
      <c r="D54" s="52"/>
      <c r="E54" s="52"/>
      <c r="F54" s="52"/>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row>
    <row r="55" spans="1:37" ht="14.25">
      <c r="A55" s="52"/>
      <c r="B55" s="52"/>
      <c r="C55" s="52"/>
      <c r="D55" s="52"/>
      <c r="E55" s="52"/>
      <c r="F55" s="52"/>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row>
    <row r="56" spans="1:37" ht="14.25">
      <c r="A56" s="52"/>
      <c r="B56" s="52"/>
      <c r="C56" s="52"/>
      <c r="D56" s="52"/>
      <c r="E56" s="52"/>
      <c r="F56" s="52"/>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row>
    <row r="57" spans="1:37" ht="14.25">
      <c r="A57" s="52"/>
      <c r="B57" s="52"/>
      <c r="C57" s="52"/>
      <c r="D57" s="52"/>
      <c r="E57" s="52"/>
      <c r="F57" s="52"/>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row>
    <row r="58" spans="1:37" ht="14.25">
      <c r="A58" s="52"/>
      <c r="B58" s="52"/>
      <c r="C58" s="52"/>
      <c r="D58" s="52"/>
      <c r="E58" s="52"/>
      <c r="F58" s="52"/>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row>
    <row r="59" spans="1:37" ht="14.25">
      <c r="A59" s="52"/>
      <c r="B59" s="52"/>
      <c r="C59" s="52"/>
      <c r="D59" s="52"/>
      <c r="E59" s="52"/>
      <c r="F59" s="52"/>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row>
    <row r="60" spans="1:37" ht="14.25">
      <c r="A60" s="52"/>
      <c r="B60" s="52"/>
      <c r="C60" s="52"/>
      <c r="D60" s="52"/>
      <c r="E60" s="52"/>
      <c r="F60" s="52"/>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row>
    <row r="61" spans="1:37" ht="14.25">
      <c r="A61" s="52"/>
      <c r="B61" s="52"/>
      <c r="C61" s="52"/>
      <c r="D61" s="52"/>
      <c r="E61" s="52"/>
      <c r="F61" s="52"/>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row>
    <row r="62" spans="1:37" ht="14.25">
      <c r="A62" s="52"/>
      <c r="B62" s="52"/>
      <c r="C62" s="52"/>
      <c r="D62" s="52"/>
      <c r="E62" s="52"/>
      <c r="F62" s="52"/>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row>
    <row r="63" spans="1:37" ht="14.25">
      <c r="A63" s="52"/>
      <c r="B63" s="52"/>
      <c r="C63" s="52"/>
      <c r="D63" s="52"/>
      <c r="E63" s="52"/>
      <c r="F63" s="52"/>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row>
    <row r="64" spans="1:37" ht="14.25">
      <c r="A64" s="52"/>
      <c r="B64" s="52"/>
      <c r="C64" s="52"/>
      <c r="D64" s="52"/>
      <c r="E64" s="52"/>
      <c r="F64" s="52"/>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row>
    <row r="65" spans="1:37" ht="14.25">
      <c r="A65" s="52"/>
      <c r="B65" s="52"/>
      <c r="C65" s="52"/>
      <c r="D65" s="52"/>
      <c r="E65" s="52"/>
      <c r="F65" s="52"/>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row>
    <row r="66" spans="1:37" ht="14.25">
      <c r="A66" s="52"/>
      <c r="B66" s="52"/>
      <c r="C66" s="52"/>
      <c r="D66" s="52"/>
      <c r="E66" s="52"/>
      <c r="F66" s="52"/>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row>
    <row r="67" spans="1:37" ht="14.25">
      <c r="A67" s="52"/>
      <c r="B67" s="52"/>
      <c r="C67" s="52"/>
      <c r="D67" s="52"/>
      <c r="E67" s="52"/>
      <c r="F67" s="52"/>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row>
    <row r="68" spans="1:37" ht="14.25">
      <c r="A68" s="52"/>
      <c r="B68" s="52"/>
      <c r="C68" s="52"/>
      <c r="D68" s="52"/>
      <c r="E68" s="52"/>
      <c r="F68" s="52"/>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row>
    <row r="69" spans="1:37" ht="14.25">
      <c r="A69" s="52"/>
      <c r="B69" s="52"/>
      <c r="C69" s="52"/>
      <c r="D69" s="52"/>
      <c r="E69" s="52"/>
      <c r="F69" s="52"/>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row>
    <row r="70" spans="1:37" ht="14.25">
      <c r="A70" s="52"/>
      <c r="B70" s="52"/>
      <c r="C70" s="52"/>
      <c r="D70" s="52"/>
      <c r="E70" s="52"/>
      <c r="F70" s="52"/>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row>
    <row r="71" spans="1:37" ht="14.25">
      <c r="A71" s="52"/>
      <c r="B71" s="52"/>
      <c r="C71" s="52"/>
      <c r="D71" s="52"/>
      <c r="E71" s="52"/>
      <c r="F71" s="52"/>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row>
    <row r="72" spans="1:37" ht="14.25">
      <c r="A72" s="52"/>
      <c r="B72" s="52"/>
      <c r="C72" s="52"/>
      <c r="D72" s="52"/>
      <c r="E72" s="52"/>
      <c r="F72" s="52"/>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row>
    <row r="73" spans="1:37" ht="14.25">
      <c r="A73" s="52"/>
      <c r="B73" s="52"/>
      <c r="C73" s="52"/>
      <c r="D73" s="52"/>
      <c r="E73" s="52"/>
      <c r="F73" s="52"/>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row>
    <row r="74" spans="1:37" ht="14.25">
      <c r="A74" s="52"/>
      <c r="B74" s="52"/>
      <c r="C74" s="52"/>
      <c r="D74" s="52"/>
      <c r="E74" s="52"/>
      <c r="F74" s="52"/>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row>
    <row r="75" spans="1:37" ht="14.25">
      <c r="A75" s="52"/>
      <c r="B75" s="52"/>
      <c r="C75" s="52"/>
      <c r="D75" s="52"/>
      <c r="E75" s="52"/>
      <c r="F75" s="52"/>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row>
    <row r="76" spans="1:37" ht="14.25">
      <c r="A76" s="52"/>
      <c r="B76" s="52"/>
      <c r="C76" s="52"/>
      <c r="D76" s="52"/>
      <c r="E76" s="52"/>
      <c r="F76" s="52"/>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row>
    <row r="77" spans="1:37" ht="14.25">
      <c r="A77" s="52"/>
      <c r="B77" s="52"/>
      <c r="C77" s="52"/>
      <c r="D77" s="52"/>
      <c r="E77" s="52"/>
      <c r="F77" s="52"/>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row>
    <row r="78" spans="1:37" ht="14.25">
      <c r="A78" s="52"/>
      <c r="B78" s="52"/>
      <c r="C78" s="52"/>
      <c r="D78" s="52"/>
      <c r="E78" s="52"/>
      <c r="F78" s="52"/>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row>
    <row r="79" spans="1:37" ht="14.25">
      <c r="A79" s="52"/>
      <c r="B79" s="52"/>
      <c r="C79" s="52"/>
      <c r="D79" s="52"/>
      <c r="E79" s="52"/>
      <c r="F79" s="52"/>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row>
    <row r="80" spans="1:37" ht="14.25">
      <c r="A80" s="52"/>
      <c r="B80" s="52"/>
      <c r="C80" s="52"/>
      <c r="D80" s="52"/>
      <c r="E80" s="52"/>
      <c r="F80" s="52"/>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row>
    <row r="81" spans="1:37" ht="14.25">
      <c r="A81" s="52"/>
      <c r="B81" s="52"/>
      <c r="C81" s="52"/>
      <c r="D81" s="52"/>
      <c r="E81" s="52"/>
      <c r="F81" s="52"/>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row>
    <row r="82" spans="1:37" ht="14.25">
      <c r="A82" s="52"/>
      <c r="B82" s="52"/>
      <c r="C82" s="52"/>
      <c r="D82" s="52"/>
      <c r="E82" s="52"/>
      <c r="F82" s="52"/>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row>
    <row r="83" spans="1:37" ht="14.25">
      <c r="A83" s="52"/>
      <c r="B83" s="52"/>
      <c r="C83" s="52"/>
      <c r="D83" s="52"/>
      <c r="E83" s="52"/>
      <c r="F83" s="52"/>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row>
    <row r="84" spans="1:37" ht="14.25">
      <c r="A84" s="52"/>
      <c r="B84" s="52"/>
      <c r="C84" s="52"/>
      <c r="D84" s="52"/>
      <c r="E84" s="52"/>
      <c r="F84" s="52"/>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row>
    <row r="85" spans="1:37" ht="14.25">
      <c r="A85" s="52"/>
      <c r="B85" s="52"/>
      <c r="C85" s="52"/>
      <c r="D85" s="52"/>
      <c r="E85" s="52"/>
      <c r="F85" s="52"/>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row>
    <row r="86" spans="1:37" ht="14.25">
      <c r="A86" s="52"/>
      <c r="B86" s="52"/>
      <c r="C86" s="52"/>
      <c r="D86" s="52"/>
      <c r="E86" s="52"/>
      <c r="F86" s="52"/>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row>
    <row r="87" spans="1:37" ht="14.25">
      <c r="A87" s="52"/>
      <c r="B87" s="52"/>
      <c r="C87" s="52"/>
      <c r="D87" s="52"/>
      <c r="E87" s="52"/>
      <c r="F87" s="52"/>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row>
    <row r="88" spans="1:37" ht="14.25">
      <c r="A88" s="52"/>
      <c r="B88" s="52"/>
      <c r="C88" s="52"/>
      <c r="D88" s="52"/>
      <c r="E88" s="52"/>
      <c r="F88" s="52"/>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row>
    <row r="89" spans="1:37" ht="14.25">
      <c r="A89" s="52"/>
      <c r="B89" s="52"/>
      <c r="C89" s="52"/>
      <c r="D89" s="52"/>
      <c r="E89" s="52"/>
      <c r="F89" s="52"/>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row>
    <row r="90" spans="1:37" ht="14.25">
      <c r="A90" s="52"/>
      <c r="B90" s="52"/>
      <c r="C90" s="52"/>
      <c r="D90" s="52"/>
      <c r="E90" s="52"/>
      <c r="F90" s="52"/>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row>
    <row r="91" spans="1:37" ht="14.25">
      <c r="A91" s="52"/>
      <c r="B91" s="52"/>
      <c r="C91" s="52"/>
      <c r="D91" s="52"/>
      <c r="E91" s="52"/>
      <c r="F91" s="52"/>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row>
    <row r="92" spans="1:37" ht="14.25">
      <c r="A92" s="52"/>
      <c r="B92" s="52"/>
      <c r="C92" s="52"/>
      <c r="D92" s="52"/>
      <c r="E92" s="52"/>
      <c r="F92" s="52"/>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row>
    <row r="93" spans="1:37" ht="14.25">
      <c r="A93" s="52"/>
      <c r="B93" s="52"/>
      <c r="C93" s="52"/>
      <c r="D93" s="52"/>
      <c r="E93" s="52"/>
      <c r="F93" s="52"/>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row>
    <row r="94" spans="1:37" ht="14.25">
      <c r="A94" s="52"/>
      <c r="B94" s="52"/>
      <c r="C94" s="52"/>
      <c r="D94" s="52"/>
      <c r="E94" s="52"/>
      <c r="F94" s="52"/>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row>
    <row r="95" spans="1:37" ht="14.25">
      <c r="A95" s="52"/>
      <c r="B95" s="52"/>
      <c r="C95" s="52"/>
      <c r="D95" s="52"/>
      <c r="E95" s="52"/>
      <c r="F95" s="52"/>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row>
    <row r="96" spans="1:37" ht="14.25">
      <c r="A96" s="52"/>
      <c r="B96" s="52"/>
      <c r="C96" s="52"/>
      <c r="D96" s="52"/>
      <c r="E96" s="52"/>
      <c r="F96" s="52"/>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row>
    <row r="97" spans="1:37" ht="14.25">
      <c r="A97" s="52"/>
      <c r="B97" s="52"/>
      <c r="C97" s="52"/>
      <c r="D97" s="52"/>
      <c r="E97" s="52"/>
      <c r="F97" s="52"/>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row>
    <row r="98" spans="1:37" ht="14.25">
      <c r="A98" s="52"/>
      <c r="B98" s="52"/>
      <c r="C98" s="52"/>
      <c r="D98" s="52"/>
      <c r="E98" s="52"/>
      <c r="F98" s="52"/>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row>
    <row r="99" spans="1:37" ht="14.25">
      <c r="A99" s="52"/>
      <c r="B99" s="52"/>
      <c r="C99" s="52"/>
      <c r="D99" s="52"/>
      <c r="E99" s="52"/>
      <c r="F99" s="52"/>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row>
    <row r="100" spans="1:37" ht="12.75">
      <c r="W100" s="59"/>
    </row>
    <row r="101" spans="1:37" ht="12.75">
      <c r="W101" s="59"/>
    </row>
    <row r="102" spans="1:37" ht="12.75">
      <c r="W102" s="59"/>
    </row>
    <row r="103" spans="1:37" ht="12.75">
      <c r="W103" s="59"/>
    </row>
    <row r="104" spans="1:37" ht="12.75">
      <c r="W104" s="59"/>
    </row>
    <row r="105" spans="1:37" ht="12.75">
      <c r="W105" s="59"/>
    </row>
    <row r="106" spans="1:37" ht="12.75">
      <c r="W106" s="59"/>
    </row>
    <row r="107" spans="1:37" ht="12.75">
      <c r="W107" s="59"/>
    </row>
    <row r="108" spans="1:37" ht="12.75">
      <c r="W108" s="59"/>
    </row>
    <row r="109" spans="1:37" ht="12.75">
      <c r="W109" s="59"/>
    </row>
    <row r="110" spans="1:37" ht="12.75">
      <c r="W110" s="59"/>
    </row>
    <row r="111" spans="1:37" ht="12.75">
      <c r="W111" s="59"/>
    </row>
    <row r="112" spans="1:37" ht="12.75">
      <c r="W112" s="59"/>
    </row>
    <row r="113" spans="23:23" ht="12.75">
      <c r="W113" s="59"/>
    </row>
    <row r="114" spans="23:23" ht="12.75">
      <c r="W114" s="59"/>
    </row>
    <row r="115" spans="23:23" ht="12.75">
      <c r="W115" s="59"/>
    </row>
    <row r="116" spans="23:23" ht="12.75">
      <c r="W116" s="59"/>
    </row>
    <row r="117" spans="23:23" ht="12.75">
      <c r="W117" s="59"/>
    </row>
    <row r="118" spans="23:23" ht="12.75">
      <c r="W118" s="59"/>
    </row>
    <row r="119" spans="23:23" ht="12.75">
      <c r="W119" s="59"/>
    </row>
    <row r="120" spans="23:23" ht="12.75">
      <c r="W120" s="59"/>
    </row>
    <row r="121" spans="23:23" ht="12.75">
      <c r="W121" s="59"/>
    </row>
    <row r="122" spans="23:23" ht="12.75">
      <c r="W122" s="59"/>
    </row>
    <row r="123" spans="23:23" ht="12.75">
      <c r="W123" s="59"/>
    </row>
    <row r="124" spans="23:23" ht="12.75">
      <c r="W124" s="59"/>
    </row>
    <row r="125" spans="23:23" ht="12.75">
      <c r="W125" s="59"/>
    </row>
    <row r="126" spans="23:23" ht="12.75">
      <c r="W126" s="59"/>
    </row>
    <row r="127" spans="23:23" ht="12.75">
      <c r="W127" s="59"/>
    </row>
    <row r="128" spans="23:23" ht="12.75">
      <c r="W128" s="59"/>
    </row>
    <row r="129" spans="23:23" ht="12.75">
      <c r="W129" s="59"/>
    </row>
    <row r="130" spans="23:23" ht="12.75">
      <c r="W130" s="59"/>
    </row>
    <row r="131" spans="23:23" ht="12.75">
      <c r="W131" s="59"/>
    </row>
    <row r="132" spans="23:23" ht="12.75">
      <c r="W132" s="59"/>
    </row>
    <row r="133" spans="23:23" ht="12.75">
      <c r="W133" s="59"/>
    </row>
    <row r="134" spans="23:23" ht="12.75">
      <c r="W134" s="59"/>
    </row>
    <row r="135" spans="23:23" ht="12.75">
      <c r="W135" s="59"/>
    </row>
    <row r="136" spans="23:23" ht="12.75">
      <c r="W136" s="59"/>
    </row>
    <row r="137" spans="23:23" ht="12.75">
      <c r="W137" s="59"/>
    </row>
    <row r="138" spans="23:23" ht="12.75">
      <c r="W138" s="59"/>
    </row>
    <row r="139" spans="23:23" ht="12.75">
      <c r="W139" s="59"/>
    </row>
    <row r="140" spans="23:23" ht="12.75">
      <c r="W140" s="59"/>
    </row>
    <row r="141" spans="23:23" ht="12.75">
      <c r="W141" s="59"/>
    </row>
    <row r="142" spans="23:23" ht="12.75">
      <c r="W142" s="59"/>
    </row>
    <row r="143" spans="23:23" ht="12.75">
      <c r="W143" s="59"/>
    </row>
    <row r="144" spans="23:23" ht="12.75">
      <c r="W144" s="59"/>
    </row>
    <row r="145" spans="23:23" ht="12.75">
      <c r="W145" s="59"/>
    </row>
    <row r="146" spans="23:23" ht="12.75">
      <c r="W146" s="59"/>
    </row>
    <row r="147" spans="23:23" ht="12.75">
      <c r="W147" s="59"/>
    </row>
    <row r="148" spans="23:23" ht="12.75">
      <c r="W148" s="59"/>
    </row>
    <row r="149" spans="23:23" ht="12.75">
      <c r="W149" s="59"/>
    </row>
    <row r="150" spans="23:23" ht="12.75">
      <c r="W150" s="59"/>
    </row>
    <row r="151" spans="23:23" ht="12.75">
      <c r="W151" s="59"/>
    </row>
    <row r="152" spans="23:23" ht="12.75">
      <c r="W152" s="59"/>
    </row>
    <row r="153" spans="23:23" ht="12.75">
      <c r="W153" s="59"/>
    </row>
    <row r="154" spans="23:23" ht="12.75">
      <c r="W154" s="59"/>
    </row>
    <row r="155" spans="23:23" ht="12.75">
      <c r="W155" s="59"/>
    </row>
    <row r="156" spans="23:23" ht="12.75">
      <c r="W156" s="59"/>
    </row>
    <row r="157" spans="23:23" ht="12.75">
      <c r="W157" s="59"/>
    </row>
    <row r="158" spans="23:23" ht="12.75">
      <c r="W158" s="59"/>
    </row>
    <row r="159" spans="23:23" ht="12.75">
      <c r="W159" s="59"/>
    </row>
    <row r="160" spans="23:23" ht="12.75">
      <c r="W160" s="59"/>
    </row>
    <row r="161" spans="23:23" ht="12.75">
      <c r="W161" s="59"/>
    </row>
    <row r="162" spans="23:23" ht="12.75">
      <c r="W162" s="59"/>
    </row>
    <row r="163" spans="23:23" ht="12.75">
      <c r="W163" s="59"/>
    </row>
    <row r="164" spans="23:23" ht="12.75">
      <c r="W164" s="59"/>
    </row>
    <row r="165" spans="23:23" ht="12.75">
      <c r="W165" s="59"/>
    </row>
    <row r="166" spans="23:23" ht="12.75">
      <c r="W166" s="59"/>
    </row>
    <row r="167" spans="23:23" ht="12.75">
      <c r="W167" s="59"/>
    </row>
    <row r="168" spans="23:23" ht="12.75">
      <c r="W168" s="59"/>
    </row>
    <row r="169" spans="23:23" ht="12.75">
      <c r="W169" s="59"/>
    </row>
    <row r="170" spans="23:23" ht="12.75">
      <c r="W170" s="59"/>
    </row>
    <row r="171" spans="23:23" ht="12.75">
      <c r="W171" s="59"/>
    </row>
    <row r="172" spans="23:23" ht="12.75">
      <c r="W172" s="59"/>
    </row>
    <row r="173" spans="23:23" ht="12.75">
      <c r="W173" s="59"/>
    </row>
    <row r="174" spans="23:23" ht="12.75">
      <c r="W174" s="59"/>
    </row>
    <row r="175" spans="23:23" ht="12.75">
      <c r="W175" s="59"/>
    </row>
    <row r="176" spans="23:23" ht="12.75">
      <c r="W176" s="59"/>
    </row>
    <row r="177" spans="23:23" ht="12.75">
      <c r="W177" s="59"/>
    </row>
    <row r="178" spans="23:23" ht="12.75">
      <c r="W178" s="59"/>
    </row>
    <row r="179" spans="23:23" ht="12.75">
      <c r="W179" s="59"/>
    </row>
    <row r="180" spans="23:23" ht="12.75">
      <c r="W180" s="59"/>
    </row>
    <row r="181" spans="23:23" ht="12.75">
      <c r="W181" s="59"/>
    </row>
    <row r="182" spans="23:23" ht="12.75">
      <c r="W182" s="59"/>
    </row>
    <row r="183" spans="23:23" ht="12.75">
      <c r="W183" s="59"/>
    </row>
    <row r="184" spans="23:23" ht="12.75">
      <c r="W184" s="59"/>
    </row>
    <row r="185" spans="23:23" ht="12.75">
      <c r="W185" s="59"/>
    </row>
    <row r="186" spans="23:23" ht="12.75">
      <c r="W186" s="59"/>
    </row>
    <row r="187" spans="23:23" ht="12.75">
      <c r="W187" s="59"/>
    </row>
    <row r="188" spans="23:23" ht="12.75">
      <c r="W188" s="59"/>
    </row>
    <row r="189" spans="23:23" ht="12.75">
      <c r="W189" s="59"/>
    </row>
    <row r="190" spans="23:23" ht="12.75">
      <c r="W190" s="59"/>
    </row>
    <row r="191" spans="23:23" ht="12.75">
      <c r="W191" s="59"/>
    </row>
    <row r="192" spans="23:23" ht="12.75">
      <c r="W192" s="59"/>
    </row>
    <row r="193" spans="23:23" ht="12.75">
      <c r="W193" s="59"/>
    </row>
    <row r="194" spans="23:23" ht="12.75">
      <c r="W194" s="59"/>
    </row>
    <row r="195" spans="23:23" ht="12.75">
      <c r="W195" s="59"/>
    </row>
    <row r="196" spans="23:23" ht="12.75">
      <c r="W196" s="59"/>
    </row>
    <row r="197" spans="23:23" ht="12.75">
      <c r="W197" s="59"/>
    </row>
    <row r="198" spans="23:23" ht="12.75">
      <c r="W198" s="59"/>
    </row>
    <row r="199" spans="23:23" ht="12.75">
      <c r="W199" s="59"/>
    </row>
    <row r="200" spans="23:23" ht="12.75">
      <c r="W200" s="59"/>
    </row>
    <row r="201" spans="23:23" ht="12.75">
      <c r="W201" s="59"/>
    </row>
    <row r="202" spans="23:23" ht="12.75">
      <c r="W202" s="59"/>
    </row>
    <row r="203" spans="23:23" ht="12.75">
      <c r="W203" s="59"/>
    </row>
    <row r="204" spans="23:23" ht="12.75">
      <c r="W204" s="59"/>
    </row>
    <row r="205" spans="23:23" ht="12.75">
      <c r="W205" s="59"/>
    </row>
    <row r="206" spans="23:23" ht="12.75">
      <c r="W206" s="59"/>
    </row>
    <row r="207" spans="23:23" ht="12.75">
      <c r="W207" s="59"/>
    </row>
    <row r="208" spans="23:23" ht="12.75">
      <c r="W208" s="59"/>
    </row>
    <row r="209" spans="23:23" ht="12.75">
      <c r="W209" s="59"/>
    </row>
    <row r="210" spans="23:23" ht="12.75">
      <c r="W210" s="59"/>
    </row>
    <row r="211" spans="23:23" ht="12.75">
      <c r="W211" s="59"/>
    </row>
    <row r="212" spans="23:23" ht="12.75">
      <c r="W212" s="59"/>
    </row>
    <row r="213" spans="23:23" ht="12.75">
      <c r="W213" s="59"/>
    </row>
    <row r="214" spans="23:23" ht="12.75">
      <c r="W214" s="59"/>
    </row>
    <row r="215" spans="23:23" ht="12.75">
      <c r="W215" s="59"/>
    </row>
    <row r="216" spans="23:23" ht="12.75">
      <c r="W216" s="59"/>
    </row>
    <row r="217" spans="23:23" ht="12.75">
      <c r="W217" s="59"/>
    </row>
    <row r="218" spans="23:23" ht="12.75">
      <c r="W218" s="59"/>
    </row>
    <row r="219" spans="23:23" ht="12.75">
      <c r="W219" s="59"/>
    </row>
    <row r="220" spans="23:23" ht="12.75">
      <c r="W220" s="59"/>
    </row>
    <row r="221" spans="23:23" ht="12.75">
      <c r="W221" s="59"/>
    </row>
    <row r="222" spans="23:23" ht="12.75">
      <c r="W222" s="59"/>
    </row>
    <row r="223" spans="23:23" ht="12.75">
      <c r="W223" s="59"/>
    </row>
    <row r="224" spans="23:23" ht="12.75">
      <c r="W224" s="59"/>
    </row>
    <row r="225" spans="23:23" ht="12.75">
      <c r="W225" s="59"/>
    </row>
    <row r="226" spans="23:23" ht="12.75">
      <c r="W226" s="59"/>
    </row>
    <row r="227" spans="23:23" ht="12.75">
      <c r="W227" s="59"/>
    </row>
    <row r="228" spans="23:23" ht="12.75">
      <c r="W228" s="59"/>
    </row>
    <row r="229" spans="23:23" ht="12.75">
      <c r="W229" s="59"/>
    </row>
    <row r="230" spans="23:23" ht="12.75">
      <c r="W230" s="59"/>
    </row>
    <row r="231" spans="23:23" ht="12.75">
      <c r="W231" s="59"/>
    </row>
    <row r="232" spans="23:23" ht="12.75">
      <c r="W232" s="59"/>
    </row>
    <row r="233" spans="23:23" ht="12.75">
      <c r="W233" s="59"/>
    </row>
    <row r="234" spans="23:23" ht="12.75">
      <c r="W234" s="59"/>
    </row>
    <row r="235" spans="23:23" ht="12.75">
      <c r="W235" s="59"/>
    </row>
    <row r="236" spans="23:23" ht="12.75">
      <c r="W236" s="59"/>
    </row>
    <row r="237" spans="23:23" ht="12.75">
      <c r="W237" s="59"/>
    </row>
    <row r="238" spans="23:23" ht="12.75">
      <c r="W238" s="59"/>
    </row>
    <row r="239" spans="23:23" ht="12.75">
      <c r="W239" s="59"/>
    </row>
    <row r="240" spans="23:23" ht="12.75">
      <c r="W240" s="59"/>
    </row>
    <row r="241" spans="23:23" ht="12.75">
      <c r="W241" s="59"/>
    </row>
    <row r="242" spans="23:23" ht="12.75">
      <c r="W242" s="59"/>
    </row>
    <row r="243" spans="23:23" ht="12.75">
      <c r="W243" s="59"/>
    </row>
    <row r="244" spans="23:23" ht="12.75">
      <c r="W244" s="59"/>
    </row>
    <row r="245" spans="23:23" ht="12.75">
      <c r="W245" s="59"/>
    </row>
    <row r="246" spans="23:23" ht="12.75">
      <c r="W246" s="59"/>
    </row>
    <row r="247" spans="23:23" ht="12.75">
      <c r="W247" s="59"/>
    </row>
    <row r="248" spans="23:23" ht="12.75">
      <c r="W248" s="59"/>
    </row>
    <row r="249" spans="23:23" ht="12.75">
      <c r="W249" s="59"/>
    </row>
    <row r="250" spans="23:23" ht="12.75">
      <c r="W250" s="59"/>
    </row>
    <row r="251" spans="23:23" ht="12.75">
      <c r="W251" s="59"/>
    </row>
    <row r="252" spans="23:23" ht="12.75">
      <c r="W252" s="59"/>
    </row>
    <row r="253" spans="23:23" ht="12.75">
      <c r="W253" s="59"/>
    </row>
    <row r="254" spans="23:23" ht="12.75">
      <c r="W254" s="59"/>
    </row>
    <row r="255" spans="23:23" ht="12.75">
      <c r="W255" s="59"/>
    </row>
    <row r="256" spans="23:23" ht="12.75">
      <c r="W256" s="59"/>
    </row>
    <row r="257" spans="23:23" ht="12.75">
      <c r="W257" s="59"/>
    </row>
    <row r="258" spans="23:23" ht="12.75">
      <c r="W258" s="59"/>
    </row>
    <row r="259" spans="23:23" ht="12.75">
      <c r="W259" s="59"/>
    </row>
    <row r="260" spans="23:23" ht="12.75">
      <c r="W260" s="59"/>
    </row>
    <row r="261" spans="23:23" ht="12.75">
      <c r="W261" s="59"/>
    </row>
    <row r="262" spans="23:23" ht="12.75">
      <c r="W262" s="59"/>
    </row>
    <row r="263" spans="23:23" ht="12.75">
      <c r="W263" s="59"/>
    </row>
    <row r="264" spans="23:23" ht="12.75">
      <c r="W264" s="59"/>
    </row>
    <row r="265" spans="23:23" ht="12.75">
      <c r="W265" s="59"/>
    </row>
    <row r="266" spans="23:23" ht="12.75">
      <c r="W266" s="59"/>
    </row>
    <row r="267" spans="23:23" ht="12.75">
      <c r="W267" s="59"/>
    </row>
    <row r="268" spans="23:23" ht="12.75">
      <c r="W268" s="59"/>
    </row>
    <row r="269" spans="23:23" ht="12.75">
      <c r="W269" s="59"/>
    </row>
    <row r="270" spans="23:23" ht="12.75">
      <c r="W270" s="59"/>
    </row>
    <row r="271" spans="23:23" ht="12.75">
      <c r="W271" s="59"/>
    </row>
    <row r="272" spans="23:23" ht="12.75">
      <c r="W272" s="59"/>
    </row>
    <row r="273" spans="23:23" ht="12.75">
      <c r="W273" s="59"/>
    </row>
    <row r="274" spans="23:23" ht="12.75">
      <c r="W274" s="59"/>
    </row>
    <row r="275" spans="23:23" ht="12.75">
      <c r="W275" s="59"/>
    </row>
    <row r="276" spans="23:23" ht="12.75">
      <c r="W276" s="59"/>
    </row>
    <row r="277" spans="23:23" ht="12.75">
      <c r="W277" s="59"/>
    </row>
    <row r="278" spans="23:23" ht="12.75">
      <c r="W278" s="59"/>
    </row>
    <row r="279" spans="23:23" ht="12.75">
      <c r="W279" s="59"/>
    </row>
    <row r="280" spans="23:23" ht="12.75">
      <c r="W280" s="59"/>
    </row>
    <row r="281" spans="23:23" ht="12.75">
      <c r="W281" s="59"/>
    </row>
    <row r="282" spans="23:23" ht="12.75">
      <c r="W282" s="59"/>
    </row>
    <row r="283" spans="23:23" ht="12.75">
      <c r="W283" s="59"/>
    </row>
    <row r="284" spans="23:23" ht="12.75">
      <c r="W284" s="59"/>
    </row>
    <row r="285" spans="23:23" ht="12.75">
      <c r="W285" s="59"/>
    </row>
    <row r="286" spans="23:23" ht="12.75">
      <c r="W286" s="59"/>
    </row>
    <row r="287" spans="23:23" ht="12.75">
      <c r="W287" s="59"/>
    </row>
    <row r="288" spans="23:23" ht="12.75">
      <c r="W288" s="59"/>
    </row>
    <row r="289" spans="23:23" ht="12.75">
      <c r="W289" s="59"/>
    </row>
    <row r="290" spans="23:23" ht="12.75">
      <c r="W290" s="59"/>
    </row>
    <row r="291" spans="23:23" ht="12.75">
      <c r="W291" s="59"/>
    </row>
    <row r="292" spans="23:23" ht="12.75">
      <c r="W292" s="59"/>
    </row>
    <row r="293" spans="23:23" ht="12.75">
      <c r="W293" s="59"/>
    </row>
    <row r="294" spans="23:23" ht="12.75">
      <c r="W294" s="59"/>
    </row>
    <row r="295" spans="23:23" ht="12.75">
      <c r="W295" s="59"/>
    </row>
    <row r="296" spans="23:23" ht="12.75">
      <c r="W296" s="59"/>
    </row>
    <row r="297" spans="23:23" ht="12.75">
      <c r="W297" s="59"/>
    </row>
    <row r="298" spans="23:23" ht="12.75">
      <c r="W298" s="59"/>
    </row>
    <row r="299" spans="23:23" ht="12.75">
      <c r="W299" s="59"/>
    </row>
    <row r="300" spans="23:23" ht="12.75">
      <c r="W300" s="59"/>
    </row>
    <row r="301" spans="23:23" ht="12.75">
      <c r="W301" s="59"/>
    </row>
    <row r="302" spans="23:23" ht="12.75">
      <c r="W302" s="59"/>
    </row>
    <row r="303" spans="23:23" ht="12.75">
      <c r="W303" s="59"/>
    </row>
    <row r="304" spans="23:23" ht="12.75">
      <c r="W304" s="59"/>
    </row>
    <row r="305" spans="23:23" ht="12.75">
      <c r="W305" s="59"/>
    </row>
    <row r="306" spans="23:23" ht="12.75">
      <c r="W306" s="59"/>
    </row>
    <row r="307" spans="23:23" ht="12.75">
      <c r="W307" s="59"/>
    </row>
    <row r="308" spans="23:23" ht="12.75">
      <c r="W308" s="59"/>
    </row>
    <row r="309" spans="23:23" ht="12.75">
      <c r="W309" s="59"/>
    </row>
    <row r="310" spans="23:23" ht="12.75">
      <c r="W310" s="59"/>
    </row>
    <row r="311" spans="23:23" ht="12.75">
      <c r="W311" s="59"/>
    </row>
    <row r="312" spans="23:23" ht="12.75">
      <c r="W312" s="59"/>
    </row>
    <row r="313" spans="23:23" ht="12.75">
      <c r="W313" s="59"/>
    </row>
    <row r="314" spans="23:23" ht="12.75">
      <c r="W314" s="59"/>
    </row>
    <row r="315" spans="23:23" ht="12.75">
      <c r="W315" s="59"/>
    </row>
    <row r="316" spans="23:23" ht="12.75">
      <c r="W316" s="59"/>
    </row>
    <row r="317" spans="23:23" ht="12.75">
      <c r="W317" s="59"/>
    </row>
    <row r="318" spans="23:23" ht="12.75">
      <c r="W318" s="59"/>
    </row>
    <row r="319" spans="23:23" ht="12.75">
      <c r="W319" s="59"/>
    </row>
    <row r="320" spans="23:23" ht="12.75">
      <c r="W320" s="59"/>
    </row>
    <row r="321" spans="23:23" ht="12.75">
      <c r="W321" s="59"/>
    </row>
    <row r="322" spans="23:23" ht="12.75">
      <c r="W322" s="59"/>
    </row>
    <row r="323" spans="23:23" ht="12.75">
      <c r="W323" s="59"/>
    </row>
    <row r="324" spans="23:23" ht="12.75">
      <c r="W324" s="59"/>
    </row>
    <row r="325" spans="23:23" ht="12.75">
      <c r="W325" s="59"/>
    </row>
    <row r="326" spans="23:23" ht="12.75">
      <c r="W326" s="59"/>
    </row>
    <row r="327" spans="23:23" ht="12.75">
      <c r="W327" s="59"/>
    </row>
    <row r="328" spans="23:23" ht="12.75">
      <c r="W328" s="59"/>
    </row>
    <row r="329" spans="23:23" ht="12.75">
      <c r="W329" s="59"/>
    </row>
    <row r="330" spans="23:23" ht="12.75">
      <c r="W330" s="59"/>
    </row>
    <row r="331" spans="23:23" ht="12.75">
      <c r="W331" s="59"/>
    </row>
    <row r="332" spans="23:23" ht="12.75">
      <c r="W332" s="59"/>
    </row>
    <row r="333" spans="23:23" ht="12.75">
      <c r="W333" s="59"/>
    </row>
    <row r="334" spans="23:23" ht="12.75">
      <c r="W334" s="59"/>
    </row>
    <row r="335" spans="23:23" ht="12.75">
      <c r="W335" s="59"/>
    </row>
    <row r="336" spans="23:23" ht="12.75">
      <c r="W336" s="59"/>
    </row>
    <row r="337" spans="23:23" ht="12.75">
      <c r="W337" s="59"/>
    </row>
    <row r="338" spans="23:23" ht="12.75">
      <c r="W338" s="59"/>
    </row>
    <row r="339" spans="23:23" ht="12.75">
      <c r="W339" s="59"/>
    </row>
    <row r="340" spans="23:23" ht="12.75">
      <c r="W340" s="59"/>
    </row>
    <row r="341" spans="23:23" ht="12.75">
      <c r="W341" s="59"/>
    </row>
    <row r="342" spans="23:23" ht="12.75">
      <c r="W342" s="59"/>
    </row>
    <row r="343" spans="23:23" ht="12.75">
      <c r="W343" s="59"/>
    </row>
    <row r="344" spans="23:23" ht="12.75">
      <c r="W344" s="59"/>
    </row>
    <row r="345" spans="23:23" ht="12.75">
      <c r="W345" s="59"/>
    </row>
    <row r="346" spans="23:23" ht="12.75">
      <c r="W346" s="59"/>
    </row>
    <row r="347" spans="23:23" ht="12.75">
      <c r="W347" s="59"/>
    </row>
    <row r="348" spans="23:23" ht="12.75">
      <c r="W348" s="59"/>
    </row>
    <row r="349" spans="23:23" ht="12.75">
      <c r="W349" s="59"/>
    </row>
    <row r="350" spans="23:23" ht="12.75">
      <c r="W350" s="59"/>
    </row>
    <row r="351" spans="23:23" ht="12.75">
      <c r="W351" s="59"/>
    </row>
    <row r="352" spans="23:23" ht="12.75">
      <c r="W352" s="59"/>
    </row>
    <row r="353" spans="23:23" ht="12.75">
      <c r="W353" s="59"/>
    </row>
    <row r="354" spans="23:23" ht="12.75">
      <c r="W354" s="59"/>
    </row>
    <row r="355" spans="23:23" ht="12.75">
      <c r="W355" s="59"/>
    </row>
    <row r="356" spans="23:23" ht="12.75">
      <c r="W356" s="59"/>
    </row>
    <row r="357" spans="23:23" ht="12.75">
      <c r="W357" s="59"/>
    </row>
    <row r="358" spans="23:23" ht="12.75">
      <c r="W358" s="59"/>
    </row>
    <row r="359" spans="23:23" ht="12.75">
      <c r="W359" s="59"/>
    </row>
    <row r="360" spans="23:23" ht="12.75">
      <c r="W360" s="59"/>
    </row>
    <row r="361" spans="23:23" ht="12.75">
      <c r="W361" s="59"/>
    </row>
    <row r="362" spans="23:23" ht="12.75">
      <c r="W362" s="59"/>
    </row>
    <row r="363" spans="23:23" ht="12.75">
      <c r="W363" s="59"/>
    </row>
    <row r="364" spans="23:23" ht="12.75">
      <c r="W364" s="59"/>
    </row>
    <row r="365" spans="23:23" ht="12.75">
      <c r="W365" s="59"/>
    </row>
    <row r="366" spans="23:23" ht="12.75">
      <c r="W366" s="59"/>
    </row>
    <row r="367" spans="23:23" ht="12.75">
      <c r="W367" s="59"/>
    </row>
    <row r="368" spans="23:23" ht="12.75">
      <c r="W368" s="59"/>
    </row>
    <row r="369" spans="23:23" ht="12.75">
      <c r="W369" s="59"/>
    </row>
    <row r="370" spans="23:23" ht="12.75">
      <c r="W370" s="59"/>
    </row>
    <row r="371" spans="23:23" ht="12.75">
      <c r="W371" s="59"/>
    </row>
    <row r="372" spans="23:23" ht="12.75">
      <c r="W372" s="59"/>
    </row>
    <row r="373" spans="23:23" ht="12.75">
      <c r="W373" s="59"/>
    </row>
    <row r="374" spans="23:23" ht="12.75">
      <c r="W374" s="59"/>
    </row>
    <row r="375" spans="23:23" ht="12.75">
      <c r="W375" s="59"/>
    </row>
    <row r="376" spans="23:23" ht="12.75">
      <c r="W376" s="59"/>
    </row>
    <row r="377" spans="23:23" ht="12.75">
      <c r="W377" s="59"/>
    </row>
    <row r="378" spans="23:23" ht="12.75">
      <c r="W378" s="59"/>
    </row>
    <row r="379" spans="23:23" ht="12.75">
      <c r="W379" s="59"/>
    </row>
    <row r="380" spans="23:23" ht="12.75">
      <c r="W380" s="59"/>
    </row>
    <row r="381" spans="23:23" ht="12.75">
      <c r="W381" s="59"/>
    </row>
    <row r="382" spans="23:23" ht="12.75">
      <c r="W382" s="59"/>
    </row>
    <row r="383" spans="23:23" ht="12.75">
      <c r="W383" s="59"/>
    </row>
    <row r="384" spans="23:23" ht="12.75">
      <c r="W384" s="59"/>
    </row>
    <row r="385" spans="23:23" ht="12.75">
      <c r="W385" s="59"/>
    </row>
    <row r="386" spans="23:23" ht="12.75">
      <c r="W386" s="59"/>
    </row>
    <row r="387" spans="23:23" ht="12.75">
      <c r="W387" s="59"/>
    </row>
    <row r="388" spans="23:23" ht="12.75">
      <c r="W388" s="59"/>
    </row>
    <row r="389" spans="23:23" ht="12.75">
      <c r="W389" s="59"/>
    </row>
    <row r="390" spans="23:23" ht="12.75">
      <c r="W390" s="59"/>
    </row>
    <row r="391" spans="23:23" ht="12.75">
      <c r="W391" s="59"/>
    </row>
    <row r="392" spans="23:23" ht="12.75">
      <c r="W392" s="59"/>
    </row>
    <row r="393" spans="23:23" ht="12.75">
      <c r="W393" s="59"/>
    </row>
    <row r="394" spans="23:23" ht="12.75">
      <c r="W394" s="59"/>
    </row>
    <row r="395" spans="23:23" ht="12.75">
      <c r="W395" s="59"/>
    </row>
    <row r="396" spans="23:23" ht="12.75">
      <c r="W396" s="59"/>
    </row>
    <row r="397" spans="23:23" ht="12.75">
      <c r="W397" s="59"/>
    </row>
    <row r="398" spans="23:23" ht="12.75">
      <c r="W398" s="59"/>
    </row>
    <row r="399" spans="23:23" ht="12.75">
      <c r="W399" s="59"/>
    </row>
    <row r="400" spans="23:23" ht="12.75">
      <c r="W400" s="59"/>
    </row>
    <row r="401" spans="23:23" ht="12.75">
      <c r="W401" s="59"/>
    </row>
    <row r="402" spans="23:23" ht="12.75">
      <c r="W402" s="59"/>
    </row>
    <row r="403" spans="23:23" ht="12.75">
      <c r="W403" s="59"/>
    </row>
    <row r="404" spans="23:23" ht="12.75">
      <c r="W404" s="59"/>
    </row>
    <row r="405" spans="23:23" ht="12.75">
      <c r="W405" s="59"/>
    </row>
    <row r="406" spans="23:23" ht="12.75">
      <c r="W406" s="59"/>
    </row>
    <row r="407" spans="23:23" ht="12.75">
      <c r="W407" s="59"/>
    </row>
    <row r="408" spans="23:23" ht="12.75">
      <c r="W408" s="59"/>
    </row>
    <row r="409" spans="23:23" ht="12.75">
      <c r="W409" s="59"/>
    </row>
    <row r="410" spans="23:23" ht="12.75">
      <c r="W410" s="59"/>
    </row>
    <row r="411" spans="23:23" ht="12.75">
      <c r="W411" s="59"/>
    </row>
    <row r="412" spans="23:23" ht="12.75">
      <c r="W412" s="59"/>
    </row>
    <row r="413" spans="23:23" ht="12.75">
      <c r="W413" s="59"/>
    </row>
    <row r="414" spans="23:23" ht="12.75">
      <c r="W414" s="59"/>
    </row>
    <row r="415" spans="23:23" ht="12.75">
      <c r="W415" s="59"/>
    </row>
    <row r="416" spans="23:23" ht="12.75">
      <c r="W416" s="59"/>
    </row>
    <row r="417" spans="23:23" ht="12.75">
      <c r="W417" s="59"/>
    </row>
    <row r="418" spans="23:23" ht="12.75">
      <c r="W418" s="59"/>
    </row>
    <row r="419" spans="23:23" ht="12.75">
      <c r="W419" s="59"/>
    </row>
    <row r="420" spans="23:23" ht="12.75">
      <c r="W420" s="59"/>
    </row>
    <row r="421" spans="23:23" ht="12.75">
      <c r="W421" s="59"/>
    </row>
    <row r="422" spans="23:23" ht="12.75">
      <c r="W422" s="59"/>
    </row>
    <row r="423" spans="23:23" ht="12.75">
      <c r="W423" s="59"/>
    </row>
    <row r="424" spans="23:23" ht="12.75">
      <c r="W424" s="59"/>
    </row>
    <row r="425" spans="23:23" ht="12.75">
      <c r="W425" s="59"/>
    </row>
    <row r="426" spans="23:23" ht="12.75">
      <c r="W426" s="59"/>
    </row>
    <row r="427" spans="23:23" ht="12.75">
      <c r="W427" s="59"/>
    </row>
    <row r="428" spans="23:23" ht="12.75">
      <c r="W428" s="59"/>
    </row>
    <row r="429" spans="23:23" ht="12.75">
      <c r="W429" s="59"/>
    </row>
    <row r="430" spans="23:23" ht="12.75">
      <c r="W430" s="59"/>
    </row>
    <row r="431" spans="23:23" ht="12.75">
      <c r="W431" s="59"/>
    </row>
    <row r="432" spans="23:23" ht="12.75">
      <c r="W432" s="59"/>
    </row>
    <row r="433" spans="23:23" ht="12.75">
      <c r="W433" s="59"/>
    </row>
    <row r="434" spans="23:23" ht="12.75">
      <c r="W434" s="59"/>
    </row>
    <row r="435" spans="23:23" ht="12.75">
      <c r="W435" s="59"/>
    </row>
    <row r="436" spans="23:23" ht="12.75">
      <c r="W436" s="59"/>
    </row>
    <row r="437" spans="23:23" ht="12.75">
      <c r="W437" s="59"/>
    </row>
    <row r="438" spans="23:23" ht="12.75">
      <c r="W438" s="59"/>
    </row>
    <row r="439" spans="23:23" ht="12.75">
      <c r="W439" s="59"/>
    </row>
    <row r="440" spans="23:23" ht="12.75">
      <c r="W440" s="59"/>
    </row>
    <row r="441" spans="23:23" ht="12.75">
      <c r="W441" s="59"/>
    </row>
    <row r="442" spans="23:23" ht="12.75">
      <c r="W442" s="59"/>
    </row>
    <row r="443" spans="23:23" ht="12.75">
      <c r="W443" s="59"/>
    </row>
    <row r="444" spans="23:23" ht="12.75">
      <c r="W444" s="59"/>
    </row>
    <row r="445" spans="23:23" ht="12.75">
      <c r="W445" s="59"/>
    </row>
    <row r="446" spans="23:23" ht="12.75">
      <c r="W446" s="59"/>
    </row>
    <row r="447" spans="23:23" ht="12.75">
      <c r="W447" s="59"/>
    </row>
    <row r="448" spans="23:23" ht="12.75">
      <c r="W448" s="59"/>
    </row>
    <row r="449" spans="23:23" ht="12.75">
      <c r="W449" s="59"/>
    </row>
    <row r="450" spans="23:23" ht="12.75">
      <c r="W450" s="59"/>
    </row>
    <row r="451" spans="23:23" ht="12.75">
      <c r="W451" s="59"/>
    </row>
    <row r="452" spans="23:23" ht="12.75">
      <c r="W452" s="59"/>
    </row>
    <row r="453" spans="23:23" ht="12.75">
      <c r="W453" s="59"/>
    </row>
    <row r="454" spans="23:23" ht="12.75">
      <c r="W454" s="59"/>
    </row>
    <row r="455" spans="23:23" ht="12.75">
      <c r="W455" s="59"/>
    </row>
    <row r="456" spans="23:23" ht="12.75">
      <c r="W456" s="59"/>
    </row>
    <row r="457" spans="23:23" ht="12.75">
      <c r="W457" s="59"/>
    </row>
    <row r="458" spans="23:23" ht="12.75">
      <c r="W458" s="59"/>
    </row>
    <row r="459" spans="23:23" ht="12.75">
      <c r="W459" s="59"/>
    </row>
    <row r="460" spans="23:23" ht="12.75">
      <c r="W460" s="59"/>
    </row>
    <row r="461" spans="23:23" ht="12.75">
      <c r="W461" s="59"/>
    </row>
    <row r="462" spans="23:23" ht="12.75">
      <c r="W462" s="59"/>
    </row>
    <row r="463" spans="23:23" ht="12.75">
      <c r="W463" s="59"/>
    </row>
    <row r="464" spans="23:23" ht="12.75">
      <c r="W464" s="59"/>
    </row>
    <row r="465" spans="23:23" ht="12.75">
      <c r="W465" s="59"/>
    </row>
    <row r="466" spans="23:23" ht="12.75">
      <c r="W466" s="59"/>
    </row>
    <row r="467" spans="23:23" ht="12.75">
      <c r="W467" s="59"/>
    </row>
    <row r="468" spans="23:23" ht="12.75">
      <c r="W468" s="59"/>
    </row>
    <row r="469" spans="23:23" ht="12.75">
      <c r="W469" s="59"/>
    </row>
    <row r="470" spans="23:23" ht="12.75">
      <c r="W470" s="59"/>
    </row>
    <row r="471" spans="23:23" ht="12.75">
      <c r="W471" s="59"/>
    </row>
    <row r="472" spans="23:23" ht="12.75">
      <c r="W472" s="59"/>
    </row>
    <row r="473" spans="23:23" ht="12.75">
      <c r="W473" s="59"/>
    </row>
    <row r="474" spans="23:23" ht="12.75">
      <c r="W474" s="59"/>
    </row>
    <row r="475" spans="23:23" ht="12.75">
      <c r="W475" s="59"/>
    </row>
    <row r="476" spans="23:23" ht="12.75">
      <c r="W476" s="59"/>
    </row>
    <row r="477" spans="23:23" ht="12.75">
      <c r="W477" s="59"/>
    </row>
    <row r="478" spans="23:23" ht="12.75">
      <c r="W478" s="59"/>
    </row>
    <row r="479" spans="23:23" ht="12.75">
      <c r="W479" s="59"/>
    </row>
    <row r="480" spans="23:23" ht="12.75">
      <c r="W480" s="59"/>
    </row>
    <row r="481" spans="23:23" ht="12.75">
      <c r="W481" s="59"/>
    </row>
    <row r="482" spans="23:23" ht="12.75">
      <c r="W482" s="59"/>
    </row>
    <row r="483" spans="23:23" ht="12.75">
      <c r="W483" s="59"/>
    </row>
    <row r="484" spans="23:23" ht="12.75">
      <c r="W484" s="59"/>
    </row>
    <row r="485" spans="23:23" ht="12.75">
      <c r="W485" s="59"/>
    </row>
    <row r="486" spans="23:23" ht="12.75">
      <c r="W486" s="59"/>
    </row>
    <row r="487" spans="23:23" ht="12.75">
      <c r="W487" s="59"/>
    </row>
    <row r="488" spans="23:23" ht="12.75">
      <c r="W488" s="59"/>
    </row>
    <row r="489" spans="23:23" ht="12.75">
      <c r="W489" s="59"/>
    </row>
    <row r="490" spans="23:23" ht="12.75">
      <c r="W490" s="59"/>
    </row>
    <row r="491" spans="23:23" ht="12.75">
      <c r="W491" s="59"/>
    </row>
    <row r="492" spans="23:23" ht="12.75">
      <c r="W492" s="59"/>
    </row>
    <row r="493" spans="23:23" ht="12.75">
      <c r="W493" s="59"/>
    </row>
    <row r="494" spans="23:23" ht="12.75">
      <c r="W494" s="59"/>
    </row>
    <row r="495" spans="23:23" ht="12.75">
      <c r="W495" s="59"/>
    </row>
    <row r="496" spans="23:23" ht="12.75">
      <c r="W496" s="59"/>
    </row>
    <row r="497" spans="23:23" ht="12.75">
      <c r="W497" s="59"/>
    </row>
    <row r="498" spans="23:23" ht="12.75">
      <c r="W498" s="59"/>
    </row>
    <row r="499" spans="23:23" ht="12.75">
      <c r="W499" s="59"/>
    </row>
    <row r="500" spans="23:23" ht="12.75">
      <c r="W500" s="59"/>
    </row>
    <row r="501" spans="23:23" ht="12.75">
      <c r="W501" s="59"/>
    </row>
    <row r="502" spans="23:23" ht="12.75">
      <c r="W502" s="59"/>
    </row>
    <row r="503" spans="23:23" ht="12.75">
      <c r="W503" s="59"/>
    </row>
    <row r="504" spans="23:23" ht="12.75">
      <c r="W504" s="59"/>
    </row>
    <row r="505" spans="23:23" ht="12.75">
      <c r="W505" s="59"/>
    </row>
    <row r="506" spans="23:23" ht="12.75">
      <c r="W506" s="59"/>
    </row>
    <row r="507" spans="23:23" ht="12.75">
      <c r="W507" s="59"/>
    </row>
    <row r="508" spans="23:23" ht="12.75">
      <c r="W508" s="59"/>
    </row>
    <row r="509" spans="23:23" ht="12.75">
      <c r="W509" s="59"/>
    </row>
    <row r="510" spans="23:23" ht="12.75">
      <c r="W510" s="59"/>
    </row>
    <row r="511" spans="23:23" ht="12.75">
      <c r="W511" s="59"/>
    </row>
    <row r="512" spans="23:23" ht="12.75">
      <c r="W512" s="59"/>
    </row>
    <row r="513" spans="23:23" ht="12.75">
      <c r="W513" s="59"/>
    </row>
    <row r="514" spans="23:23" ht="12.75">
      <c r="W514" s="59"/>
    </row>
    <row r="515" spans="23:23" ht="12.75">
      <c r="W515" s="59"/>
    </row>
    <row r="516" spans="23:23" ht="12.75">
      <c r="W516" s="59"/>
    </row>
    <row r="517" spans="23:23" ht="12.75">
      <c r="W517" s="59"/>
    </row>
    <row r="518" spans="23:23" ht="12.75">
      <c r="W518" s="59"/>
    </row>
    <row r="519" spans="23:23" ht="12.75">
      <c r="W519" s="59"/>
    </row>
    <row r="520" spans="23:23" ht="12.75">
      <c r="W520" s="59"/>
    </row>
    <row r="521" spans="23:23" ht="12.75">
      <c r="W521" s="59"/>
    </row>
    <row r="522" spans="23:23" ht="12.75">
      <c r="W522" s="59"/>
    </row>
    <row r="523" spans="23:23" ht="12.75">
      <c r="W523" s="59"/>
    </row>
    <row r="524" spans="23:23" ht="12.75">
      <c r="W524" s="59"/>
    </row>
    <row r="525" spans="23:23" ht="12.75">
      <c r="W525" s="59"/>
    </row>
    <row r="526" spans="23:23" ht="12.75">
      <c r="W526" s="59"/>
    </row>
    <row r="527" spans="23:23" ht="12.75">
      <c r="W527" s="59"/>
    </row>
    <row r="528" spans="23:23" ht="12.75">
      <c r="W528" s="59"/>
    </row>
    <row r="529" spans="23:23" ht="12.75">
      <c r="W529" s="59"/>
    </row>
    <row r="530" spans="23:23" ht="12.75">
      <c r="W530" s="59"/>
    </row>
    <row r="531" spans="23:23" ht="12.75">
      <c r="W531" s="59"/>
    </row>
    <row r="532" spans="23:23" ht="12.75">
      <c r="W532" s="59"/>
    </row>
    <row r="533" spans="23:23" ht="12.75">
      <c r="W533" s="59"/>
    </row>
    <row r="534" spans="23:23" ht="12.75">
      <c r="W534" s="59"/>
    </row>
    <row r="535" spans="23:23" ht="12.75">
      <c r="W535" s="59"/>
    </row>
    <row r="536" spans="23:23" ht="12.75">
      <c r="W536" s="59"/>
    </row>
    <row r="537" spans="23:23" ht="12.75">
      <c r="W537" s="59"/>
    </row>
    <row r="538" spans="23:23" ht="12.75">
      <c r="W538" s="59"/>
    </row>
    <row r="539" spans="23:23" ht="12.75">
      <c r="W539" s="59"/>
    </row>
    <row r="540" spans="23:23" ht="12.75">
      <c r="W540" s="59"/>
    </row>
    <row r="541" spans="23:23" ht="12.75">
      <c r="W541" s="59"/>
    </row>
    <row r="542" spans="23:23" ht="12.75">
      <c r="W542" s="59"/>
    </row>
    <row r="543" spans="23:23" ht="12.75">
      <c r="W543" s="59"/>
    </row>
    <row r="544" spans="23:23" ht="12.75">
      <c r="W544" s="59"/>
    </row>
    <row r="545" spans="23:23" ht="12.75">
      <c r="W545" s="59"/>
    </row>
    <row r="546" spans="23:23" ht="12.75">
      <c r="W546" s="59"/>
    </row>
    <row r="547" spans="23:23" ht="12.75">
      <c r="W547" s="59"/>
    </row>
    <row r="548" spans="23:23" ht="12.75">
      <c r="W548" s="59"/>
    </row>
    <row r="549" spans="23:23" ht="12.75">
      <c r="W549" s="59"/>
    </row>
    <row r="550" spans="23:23" ht="12.75">
      <c r="W550" s="59"/>
    </row>
    <row r="551" spans="23:23" ht="12.75">
      <c r="W551" s="59"/>
    </row>
    <row r="552" spans="23:23" ht="12.75">
      <c r="W552" s="59"/>
    </row>
    <row r="553" spans="23:23" ht="12.75">
      <c r="W553" s="59"/>
    </row>
    <row r="554" spans="23:23" ht="12.75">
      <c r="W554" s="59"/>
    </row>
    <row r="555" spans="23:23" ht="12.75">
      <c r="W555" s="59"/>
    </row>
    <row r="556" spans="23:23" ht="12.75">
      <c r="W556" s="59"/>
    </row>
    <row r="557" spans="23:23" ht="12.75">
      <c r="W557" s="59"/>
    </row>
    <row r="558" spans="23:23" ht="12.75">
      <c r="W558" s="59"/>
    </row>
    <row r="559" spans="23:23" ht="12.75">
      <c r="W559" s="59"/>
    </row>
    <row r="560" spans="23:23" ht="12.75">
      <c r="W560" s="59"/>
    </row>
    <row r="561" spans="23:23" ht="12.75">
      <c r="W561" s="59"/>
    </row>
    <row r="562" spans="23:23" ht="12.75">
      <c r="W562" s="59"/>
    </row>
    <row r="563" spans="23:23" ht="12.75">
      <c r="W563" s="59"/>
    </row>
    <row r="564" spans="23:23" ht="12.75">
      <c r="W564" s="59"/>
    </row>
    <row r="565" spans="23:23" ht="12.75">
      <c r="W565" s="59"/>
    </row>
    <row r="566" spans="23:23" ht="12.75">
      <c r="W566" s="59"/>
    </row>
    <row r="567" spans="23:23" ht="12.75">
      <c r="W567" s="59"/>
    </row>
    <row r="568" spans="23:23" ht="12.75">
      <c r="W568" s="59"/>
    </row>
    <row r="569" spans="23:23" ht="12.75">
      <c r="W569" s="59"/>
    </row>
    <row r="570" spans="23:23" ht="12.75">
      <c r="W570" s="59"/>
    </row>
    <row r="571" spans="23:23" ht="12.75">
      <c r="W571" s="59"/>
    </row>
    <row r="572" spans="23:23" ht="12.75">
      <c r="W572" s="59"/>
    </row>
    <row r="573" spans="23:23" ht="12.75">
      <c r="W573" s="59"/>
    </row>
    <row r="574" spans="23:23" ht="12.75">
      <c r="W574" s="59"/>
    </row>
    <row r="575" spans="23:23" ht="12.75">
      <c r="W575" s="59"/>
    </row>
    <row r="576" spans="23:23" ht="12.75">
      <c r="W576" s="59"/>
    </row>
    <row r="577" spans="23:23" ht="12.75">
      <c r="W577" s="59"/>
    </row>
    <row r="578" spans="23:23" ht="12.75">
      <c r="W578" s="59"/>
    </row>
    <row r="579" spans="23:23" ht="12.75">
      <c r="W579" s="59"/>
    </row>
    <row r="580" spans="23:23" ht="12.75">
      <c r="W580" s="59"/>
    </row>
    <row r="581" spans="23:23" ht="12.75">
      <c r="W581" s="59"/>
    </row>
    <row r="582" spans="23:23" ht="12.75">
      <c r="W582" s="59"/>
    </row>
    <row r="583" spans="23:23" ht="12.75">
      <c r="W583" s="59"/>
    </row>
    <row r="584" spans="23:23" ht="12.75">
      <c r="W584" s="59"/>
    </row>
    <row r="585" spans="23:23" ht="12.75">
      <c r="W585" s="59"/>
    </row>
    <row r="586" spans="23:23" ht="12.75">
      <c r="W586" s="59"/>
    </row>
    <row r="587" spans="23:23" ht="12.75">
      <c r="W587" s="59"/>
    </row>
    <row r="588" spans="23:23" ht="12.75">
      <c r="W588" s="59"/>
    </row>
    <row r="589" spans="23:23" ht="12.75">
      <c r="W589" s="59"/>
    </row>
    <row r="590" spans="23:23" ht="12.75">
      <c r="W590" s="59"/>
    </row>
    <row r="591" spans="23:23" ht="12.75">
      <c r="W591" s="59"/>
    </row>
    <row r="592" spans="23:23" ht="12.75">
      <c r="W592" s="59"/>
    </row>
    <row r="593" spans="23:23" ht="12.75">
      <c r="W593" s="59"/>
    </row>
    <row r="594" spans="23:23" ht="12.75">
      <c r="W594" s="59"/>
    </row>
    <row r="595" spans="23:23" ht="12.75">
      <c r="W595" s="59"/>
    </row>
    <row r="596" spans="23:23" ht="12.75">
      <c r="W596" s="59"/>
    </row>
    <row r="597" spans="23:23" ht="12.75">
      <c r="W597" s="59"/>
    </row>
    <row r="598" spans="23:23" ht="12.75">
      <c r="W598" s="59"/>
    </row>
    <row r="599" spans="23:23" ht="12.75">
      <c r="W599" s="59"/>
    </row>
    <row r="600" spans="23:23" ht="12.75">
      <c r="W600" s="59"/>
    </row>
    <row r="601" spans="23:23" ht="12.75">
      <c r="W601" s="59"/>
    </row>
    <row r="602" spans="23:23" ht="12.75">
      <c r="W602" s="59"/>
    </row>
    <row r="603" spans="23:23" ht="12.75">
      <c r="W603" s="59"/>
    </row>
    <row r="604" spans="23:23" ht="12.75">
      <c r="W604" s="59"/>
    </row>
    <row r="605" spans="23:23" ht="12.75">
      <c r="W605" s="59"/>
    </row>
    <row r="606" spans="23:23" ht="12.75">
      <c r="W606" s="59"/>
    </row>
    <row r="607" spans="23:23" ht="12.75">
      <c r="W607" s="59"/>
    </row>
    <row r="608" spans="23:23" ht="12.75">
      <c r="W608" s="59"/>
    </row>
    <row r="609" spans="23:23" ht="12.75">
      <c r="W609" s="59"/>
    </row>
    <row r="610" spans="23:23" ht="12.75">
      <c r="W610" s="59"/>
    </row>
    <row r="611" spans="23:23" ht="12.75">
      <c r="W611" s="59"/>
    </row>
    <row r="612" spans="23:23" ht="12.75">
      <c r="W612" s="59"/>
    </row>
    <row r="613" spans="23:23" ht="12.75">
      <c r="W613" s="59"/>
    </row>
    <row r="614" spans="23:23" ht="12.75">
      <c r="W614" s="59"/>
    </row>
    <row r="615" spans="23:23" ht="12.75">
      <c r="W615" s="59"/>
    </row>
    <row r="616" spans="23:23" ht="12.75">
      <c r="W616" s="59"/>
    </row>
    <row r="617" spans="23:23" ht="12.75">
      <c r="W617" s="59"/>
    </row>
    <row r="618" spans="23:23" ht="12.75">
      <c r="W618" s="59"/>
    </row>
    <row r="619" spans="23:23" ht="12.75">
      <c r="W619" s="59"/>
    </row>
    <row r="620" spans="23:23" ht="12.75">
      <c r="W620" s="59"/>
    </row>
    <row r="621" spans="23:23" ht="12.75">
      <c r="W621" s="59"/>
    </row>
    <row r="622" spans="23:23" ht="12.75">
      <c r="W622" s="59"/>
    </row>
    <row r="623" spans="23:23" ht="12.75">
      <c r="W623" s="59"/>
    </row>
    <row r="624" spans="23:23" ht="12.75">
      <c r="W624" s="59"/>
    </row>
    <row r="625" spans="23:23" ht="12.75">
      <c r="W625" s="59"/>
    </row>
    <row r="626" spans="23:23" ht="12.75">
      <c r="W626" s="59"/>
    </row>
    <row r="627" spans="23:23" ht="12.75">
      <c r="W627" s="59"/>
    </row>
    <row r="628" spans="23:23" ht="12.75">
      <c r="W628" s="59"/>
    </row>
    <row r="629" spans="23:23" ht="12.75">
      <c r="W629" s="59"/>
    </row>
    <row r="630" spans="23:23" ht="12.75">
      <c r="W630" s="59"/>
    </row>
    <row r="631" spans="23:23" ht="12.75">
      <c r="W631" s="59"/>
    </row>
    <row r="632" spans="23:23" ht="12.75">
      <c r="W632" s="59"/>
    </row>
    <row r="633" spans="23:23" ht="12.75">
      <c r="W633" s="59"/>
    </row>
    <row r="634" spans="23:23" ht="12.75">
      <c r="W634" s="59"/>
    </row>
    <row r="635" spans="23:23" ht="12.75">
      <c r="W635" s="59"/>
    </row>
    <row r="636" spans="23:23" ht="12.75">
      <c r="W636" s="59"/>
    </row>
    <row r="637" spans="23:23" ht="12.75">
      <c r="W637" s="59"/>
    </row>
    <row r="638" spans="23:23" ht="12.75">
      <c r="W638" s="59"/>
    </row>
    <row r="639" spans="23:23" ht="12.75">
      <c r="W639" s="59"/>
    </row>
    <row r="640" spans="23:23" ht="12.75">
      <c r="W640" s="59"/>
    </row>
    <row r="641" spans="23:23" ht="12.75">
      <c r="W641" s="59"/>
    </row>
    <row r="642" spans="23:23" ht="12.75">
      <c r="W642" s="59"/>
    </row>
    <row r="643" spans="23:23" ht="12.75">
      <c r="W643" s="59"/>
    </row>
    <row r="644" spans="23:23" ht="12.75">
      <c r="W644" s="59"/>
    </row>
    <row r="645" spans="23:23" ht="12.75">
      <c r="W645" s="59"/>
    </row>
    <row r="646" spans="23:23" ht="12.75">
      <c r="W646" s="59"/>
    </row>
    <row r="647" spans="23:23" ht="12.75">
      <c r="W647" s="59"/>
    </row>
    <row r="648" spans="23:23" ht="12.75">
      <c r="W648" s="59"/>
    </row>
    <row r="649" spans="23:23" ht="12.75">
      <c r="W649" s="59"/>
    </row>
    <row r="650" spans="23:23" ht="12.75">
      <c r="W650" s="59"/>
    </row>
    <row r="651" spans="23:23" ht="12.75">
      <c r="W651" s="59"/>
    </row>
    <row r="652" spans="23:23" ht="12.75">
      <c r="W652" s="59"/>
    </row>
    <row r="653" spans="23:23" ht="12.75">
      <c r="W653" s="59"/>
    </row>
    <row r="654" spans="23:23" ht="12.75">
      <c r="W654" s="59"/>
    </row>
    <row r="655" spans="23:23" ht="12.75">
      <c r="W655" s="59"/>
    </row>
    <row r="656" spans="23:23" ht="12.75">
      <c r="W656" s="59"/>
    </row>
    <row r="657" spans="23:23" ht="12.75">
      <c r="W657" s="59"/>
    </row>
    <row r="658" spans="23:23" ht="12.75">
      <c r="W658" s="59"/>
    </row>
    <row r="659" spans="23:23" ht="12.75">
      <c r="W659" s="59"/>
    </row>
    <row r="660" spans="23:23" ht="12.75">
      <c r="W660" s="59"/>
    </row>
    <row r="661" spans="23:23" ht="12.75">
      <c r="W661" s="59"/>
    </row>
    <row r="662" spans="23:23" ht="12.75">
      <c r="W662" s="59"/>
    </row>
    <row r="663" spans="23:23" ht="12.75">
      <c r="W663" s="59"/>
    </row>
    <row r="664" spans="23:23" ht="12.75">
      <c r="W664" s="59"/>
    </row>
    <row r="665" spans="23:23" ht="12.75">
      <c r="W665" s="59"/>
    </row>
    <row r="666" spans="23:23" ht="12.75">
      <c r="W666" s="59"/>
    </row>
    <row r="667" spans="23:23" ht="12.75">
      <c r="W667" s="59"/>
    </row>
    <row r="668" spans="23:23" ht="12.75">
      <c r="W668" s="59"/>
    </row>
    <row r="669" spans="23:23" ht="12.75">
      <c r="W669" s="59"/>
    </row>
    <row r="670" spans="23:23" ht="12.75">
      <c r="W670" s="59"/>
    </row>
    <row r="671" spans="23:23" ht="12.75">
      <c r="W671" s="59"/>
    </row>
    <row r="672" spans="23:23" ht="12.75">
      <c r="W672" s="59"/>
    </row>
    <row r="673" spans="23:23" ht="12.75">
      <c r="W673" s="59"/>
    </row>
    <row r="674" spans="23:23" ht="12.75">
      <c r="W674" s="59"/>
    </row>
    <row r="675" spans="23:23" ht="12.75">
      <c r="W675" s="59"/>
    </row>
    <row r="676" spans="23:23" ht="12.75">
      <c r="W676" s="59"/>
    </row>
    <row r="677" spans="23:23" ht="12.75">
      <c r="W677" s="59"/>
    </row>
    <row r="678" spans="23:23" ht="12.75">
      <c r="W678" s="59"/>
    </row>
    <row r="679" spans="23:23" ht="12.75">
      <c r="W679" s="59"/>
    </row>
    <row r="680" spans="23:23" ht="12.75">
      <c r="W680" s="59"/>
    </row>
    <row r="681" spans="23:23" ht="12.75">
      <c r="W681" s="59"/>
    </row>
    <row r="682" spans="23:23" ht="12.75">
      <c r="W682" s="59"/>
    </row>
    <row r="683" spans="23:23" ht="12.75">
      <c r="W683" s="59"/>
    </row>
    <row r="684" spans="23:23" ht="12.75">
      <c r="W684" s="59"/>
    </row>
    <row r="685" spans="23:23" ht="12.75">
      <c r="W685" s="59"/>
    </row>
    <row r="686" spans="23:23" ht="12.75">
      <c r="W686" s="59"/>
    </row>
    <row r="687" spans="23:23" ht="12.75">
      <c r="W687" s="59"/>
    </row>
    <row r="688" spans="23:23" ht="12.75">
      <c r="W688" s="59"/>
    </row>
    <row r="689" spans="23:23" ht="12.75">
      <c r="W689" s="59"/>
    </row>
    <row r="690" spans="23:23" ht="12.75">
      <c r="W690" s="59"/>
    </row>
    <row r="691" spans="23:23" ht="12.75">
      <c r="W691" s="59"/>
    </row>
    <row r="692" spans="23:23" ht="12.75">
      <c r="W692" s="59"/>
    </row>
    <row r="693" spans="23:23" ht="12.75">
      <c r="W693" s="59"/>
    </row>
    <row r="694" spans="23:23" ht="12.75">
      <c r="W694" s="59"/>
    </row>
    <row r="695" spans="23:23" ht="12.75">
      <c r="W695" s="59"/>
    </row>
    <row r="696" spans="23:23" ht="12.75">
      <c r="W696" s="59"/>
    </row>
    <row r="697" spans="23:23" ht="12.75">
      <c r="W697" s="59"/>
    </row>
    <row r="698" spans="23:23" ht="12.75">
      <c r="W698" s="59"/>
    </row>
    <row r="699" spans="23:23" ht="12.75">
      <c r="W699" s="59"/>
    </row>
    <row r="700" spans="23:23" ht="12.75">
      <c r="W700" s="59"/>
    </row>
    <row r="701" spans="23:23" ht="12.75">
      <c r="W701" s="59"/>
    </row>
    <row r="702" spans="23:23" ht="12.75">
      <c r="W702" s="59"/>
    </row>
    <row r="703" spans="23:23" ht="12.75">
      <c r="W703" s="59"/>
    </row>
    <row r="704" spans="23:23" ht="12.75">
      <c r="W704" s="59"/>
    </row>
    <row r="705" spans="23:23" ht="12.75">
      <c r="W705" s="59"/>
    </row>
    <row r="706" spans="23:23" ht="12.75">
      <c r="W706" s="59"/>
    </row>
    <row r="707" spans="23:23" ht="12.75">
      <c r="W707" s="59"/>
    </row>
    <row r="708" spans="23:23" ht="12.75">
      <c r="W708" s="59"/>
    </row>
    <row r="709" spans="23:23" ht="12.75">
      <c r="W709" s="59"/>
    </row>
    <row r="710" spans="23:23" ht="12.75">
      <c r="W710" s="59"/>
    </row>
    <row r="711" spans="23:23" ht="12.75">
      <c r="W711" s="59"/>
    </row>
    <row r="712" spans="23:23" ht="12.75">
      <c r="W712" s="59"/>
    </row>
    <row r="713" spans="23:23" ht="12.75">
      <c r="W713" s="59"/>
    </row>
    <row r="714" spans="23:23" ht="12.75">
      <c r="W714" s="59"/>
    </row>
    <row r="715" spans="23:23" ht="12.75">
      <c r="W715" s="59"/>
    </row>
    <row r="716" spans="23:23" ht="12.75">
      <c r="W716" s="59"/>
    </row>
    <row r="717" spans="23:23" ht="12.75">
      <c r="W717" s="59"/>
    </row>
    <row r="718" spans="23:23" ht="12.75">
      <c r="W718" s="59"/>
    </row>
    <row r="719" spans="23:23" ht="12.75">
      <c r="W719" s="59"/>
    </row>
    <row r="720" spans="23:23" ht="12.75">
      <c r="W720" s="59"/>
    </row>
    <row r="721" spans="23:23" ht="12.75">
      <c r="W721" s="59"/>
    </row>
    <row r="722" spans="23:23" ht="12.75">
      <c r="W722" s="59"/>
    </row>
    <row r="723" spans="23:23" ht="12.75">
      <c r="W723" s="59"/>
    </row>
    <row r="724" spans="23:23" ht="12.75">
      <c r="W724" s="59"/>
    </row>
    <row r="725" spans="23:23" ht="12.75">
      <c r="W725" s="59"/>
    </row>
    <row r="726" spans="23:23" ht="12.75">
      <c r="W726" s="59"/>
    </row>
    <row r="727" spans="23:23" ht="12.75">
      <c r="W727" s="59"/>
    </row>
    <row r="728" spans="23:23" ht="12.75">
      <c r="W728" s="59"/>
    </row>
    <row r="729" spans="23:23" ht="12.75">
      <c r="W729" s="59"/>
    </row>
    <row r="730" spans="23:23" ht="12.75">
      <c r="W730" s="59"/>
    </row>
    <row r="731" spans="23:23" ht="12.75">
      <c r="W731" s="59"/>
    </row>
    <row r="732" spans="23:23" ht="12.75">
      <c r="W732" s="59"/>
    </row>
    <row r="733" spans="23:23" ht="12.75">
      <c r="W733" s="59"/>
    </row>
    <row r="734" spans="23:23" ht="12.75">
      <c r="W734" s="59"/>
    </row>
    <row r="735" spans="23:23" ht="12.75">
      <c r="W735" s="59"/>
    </row>
    <row r="736" spans="23:23" ht="12.75">
      <c r="W736" s="59"/>
    </row>
    <row r="737" spans="23:23" ht="12.75">
      <c r="W737" s="59"/>
    </row>
    <row r="738" spans="23:23" ht="12.75">
      <c r="W738" s="59"/>
    </row>
    <row r="739" spans="23:23" ht="12.75">
      <c r="W739" s="59"/>
    </row>
    <row r="740" spans="23:23" ht="12.75">
      <c r="W740" s="59"/>
    </row>
    <row r="741" spans="23:23" ht="12.75">
      <c r="W741" s="59"/>
    </row>
    <row r="742" spans="23:23" ht="12.75">
      <c r="W742" s="59"/>
    </row>
    <row r="743" spans="23:23" ht="12.75">
      <c r="W743" s="59"/>
    </row>
    <row r="744" spans="23:23" ht="12.75">
      <c r="W744" s="59"/>
    </row>
    <row r="745" spans="23:23" ht="12.75">
      <c r="W745" s="59"/>
    </row>
    <row r="746" spans="23:23" ht="12.75">
      <c r="W746" s="59"/>
    </row>
    <row r="747" spans="23:23" ht="12.75">
      <c r="W747" s="59"/>
    </row>
    <row r="748" spans="23:23" ht="12.75">
      <c r="W748" s="59"/>
    </row>
    <row r="749" spans="23:23" ht="12.75">
      <c r="W749" s="59"/>
    </row>
    <row r="750" spans="23:23" ht="12.75">
      <c r="W750" s="59"/>
    </row>
    <row r="751" spans="23:23" ht="12.75">
      <c r="W751" s="59"/>
    </row>
    <row r="752" spans="23:23" ht="12.75">
      <c r="W752" s="59"/>
    </row>
    <row r="753" spans="23:23" ht="12.75">
      <c r="W753" s="59"/>
    </row>
    <row r="754" spans="23:23" ht="12.75">
      <c r="W754" s="59"/>
    </row>
    <row r="755" spans="23:23" ht="12.75">
      <c r="W755" s="59"/>
    </row>
    <row r="756" spans="23:23" ht="12.75">
      <c r="W756" s="59"/>
    </row>
    <row r="757" spans="23:23" ht="12.75">
      <c r="W757" s="59"/>
    </row>
    <row r="758" spans="23:23" ht="12.75">
      <c r="W758" s="59"/>
    </row>
    <row r="759" spans="23:23" ht="12.75">
      <c r="W759" s="59"/>
    </row>
    <row r="760" spans="23:23" ht="12.75">
      <c r="W760" s="59"/>
    </row>
    <row r="761" spans="23:23" ht="12.75">
      <c r="W761" s="59"/>
    </row>
    <row r="762" spans="23:23" ht="12.75">
      <c r="W762" s="59"/>
    </row>
    <row r="763" spans="23:23" ht="12.75">
      <c r="W763" s="59"/>
    </row>
    <row r="764" spans="23:23" ht="12.75">
      <c r="W764" s="59"/>
    </row>
    <row r="765" spans="23:23" ht="12.75">
      <c r="W765" s="59"/>
    </row>
    <row r="766" spans="23:23" ht="12.75">
      <c r="W766" s="59"/>
    </row>
    <row r="767" spans="23:23" ht="12.75">
      <c r="W767" s="59"/>
    </row>
    <row r="768" spans="23:23" ht="12.75">
      <c r="W768" s="59"/>
    </row>
    <row r="769" spans="23:23" ht="12.75">
      <c r="W769" s="59"/>
    </row>
    <row r="770" spans="23:23" ht="12.75">
      <c r="W770" s="59"/>
    </row>
    <row r="771" spans="23:23" ht="12.75">
      <c r="W771" s="59"/>
    </row>
    <row r="772" spans="23:23" ht="12.75">
      <c r="W772" s="59"/>
    </row>
    <row r="773" spans="23:23" ht="12.75">
      <c r="W773" s="59"/>
    </row>
    <row r="774" spans="23:23" ht="12.75">
      <c r="W774" s="59"/>
    </row>
    <row r="775" spans="23:23" ht="12.75">
      <c r="W775" s="59"/>
    </row>
    <row r="776" spans="23:23" ht="12.75">
      <c r="W776" s="59"/>
    </row>
    <row r="777" spans="23:23" ht="12.75">
      <c r="W777" s="59"/>
    </row>
    <row r="778" spans="23:23" ht="12.75">
      <c r="W778" s="59"/>
    </row>
    <row r="779" spans="23:23" ht="12.75">
      <c r="W779" s="59"/>
    </row>
    <row r="780" spans="23:23" ht="12.75">
      <c r="W780" s="59"/>
    </row>
    <row r="781" spans="23:23" ht="12.75">
      <c r="W781" s="59"/>
    </row>
    <row r="782" spans="23:23" ht="12.75">
      <c r="W782" s="59"/>
    </row>
    <row r="783" spans="23:23" ht="12.75">
      <c r="W783" s="59"/>
    </row>
    <row r="784" spans="23:23" ht="12.75">
      <c r="W784" s="59"/>
    </row>
    <row r="785" spans="23:23" ht="12.75">
      <c r="W785" s="59"/>
    </row>
    <row r="786" spans="23:23" ht="12.75">
      <c r="W786" s="59"/>
    </row>
    <row r="787" spans="23:23" ht="12.75">
      <c r="W787" s="59"/>
    </row>
    <row r="788" spans="23:23" ht="12.75">
      <c r="W788" s="59"/>
    </row>
    <row r="789" spans="23:23" ht="12.75">
      <c r="W789" s="59"/>
    </row>
    <row r="790" spans="23:23" ht="12.75">
      <c r="W790" s="59"/>
    </row>
    <row r="791" spans="23:23" ht="12.75">
      <c r="W791" s="59"/>
    </row>
    <row r="792" spans="23:23" ht="12.75">
      <c r="W792" s="59"/>
    </row>
    <row r="793" spans="23:23" ht="12.75">
      <c r="W793" s="59"/>
    </row>
    <row r="794" spans="23:23" ht="12.75">
      <c r="W794" s="59"/>
    </row>
    <row r="795" spans="23:23" ht="12.75">
      <c r="W795" s="59"/>
    </row>
    <row r="796" spans="23:23" ht="12.75">
      <c r="W796" s="59"/>
    </row>
    <row r="797" spans="23:23" ht="12.75">
      <c r="W797" s="59"/>
    </row>
    <row r="798" spans="23:23" ht="12.75">
      <c r="W798" s="59"/>
    </row>
    <row r="799" spans="23:23" ht="12.75">
      <c r="W799" s="59"/>
    </row>
    <row r="800" spans="23:23" ht="12.75">
      <c r="W800" s="59"/>
    </row>
    <row r="801" spans="23:23" ht="12.75">
      <c r="W801" s="59"/>
    </row>
    <row r="802" spans="23:23" ht="12.75">
      <c r="W802" s="59"/>
    </row>
    <row r="803" spans="23:23" ht="12.75">
      <c r="W803" s="59"/>
    </row>
    <row r="804" spans="23:23" ht="12.75">
      <c r="W804" s="59"/>
    </row>
    <row r="805" spans="23:23" ht="12.75">
      <c r="W805" s="59"/>
    </row>
    <row r="806" spans="23:23" ht="12.75">
      <c r="W806" s="59"/>
    </row>
    <row r="807" spans="23:23" ht="12.75">
      <c r="W807" s="59"/>
    </row>
    <row r="808" spans="23:23" ht="12.75">
      <c r="W808" s="59"/>
    </row>
    <row r="809" spans="23:23" ht="12.75">
      <c r="W809" s="59"/>
    </row>
    <row r="810" spans="23:23" ht="12.75">
      <c r="W810" s="59"/>
    </row>
    <row r="811" spans="23:23" ht="12.75">
      <c r="W811" s="59"/>
    </row>
    <row r="812" spans="23:23" ht="12.75">
      <c r="W812" s="59"/>
    </row>
    <row r="813" spans="23:23" ht="12.75">
      <c r="W813" s="59"/>
    </row>
    <row r="814" spans="23:23" ht="12.75">
      <c r="W814" s="59"/>
    </row>
    <row r="815" spans="23:23" ht="12.75">
      <c r="W815" s="59"/>
    </row>
    <row r="816" spans="23:23" ht="12.75">
      <c r="W816" s="59"/>
    </row>
    <row r="817" spans="23:23" ht="12.75">
      <c r="W817" s="59"/>
    </row>
    <row r="818" spans="23:23" ht="12.75">
      <c r="W818" s="59"/>
    </row>
    <row r="819" spans="23:23" ht="12.75">
      <c r="W819" s="59"/>
    </row>
    <row r="820" spans="23:23" ht="12.75">
      <c r="W820" s="59"/>
    </row>
    <row r="821" spans="23:23" ht="12.75">
      <c r="W821" s="59"/>
    </row>
    <row r="822" spans="23:23" ht="12.75">
      <c r="W822" s="59"/>
    </row>
    <row r="823" spans="23:23" ht="12.75">
      <c r="W823" s="59"/>
    </row>
    <row r="824" spans="23:23" ht="12.75">
      <c r="W824" s="59"/>
    </row>
    <row r="825" spans="23:23" ht="12.75">
      <c r="W825" s="59"/>
    </row>
    <row r="826" spans="23:23" ht="12.75">
      <c r="W826" s="59"/>
    </row>
    <row r="827" spans="23:23" ht="12.75">
      <c r="W827" s="59"/>
    </row>
    <row r="828" spans="23:23" ht="12.75">
      <c r="W828" s="59"/>
    </row>
    <row r="829" spans="23:23" ht="12.75">
      <c r="W829" s="59"/>
    </row>
    <row r="830" spans="23:23" ht="12.75">
      <c r="W830" s="59"/>
    </row>
    <row r="831" spans="23:23" ht="12.75">
      <c r="W831" s="59"/>
    </row>
    <row r="832" spans="23:23" ht="12.75">
      <c r="W832" s="59"/>
    </row>
    <row r="833" spans="23:23" ht="12.75">
      <c r="W833" s="59"/>
    </row>
    <row r="834" spans="23:23" ht="12.75">
      <c r="W834" s="59"/>
    </row>
    <row r="835" spans="23:23" ht="12.75">
      <c r="W835" s="59"/>
    </row>
    <row r="836" spans="23:23" ht="12.75">
      <c r="W836" s="59"/>
    </row>
    <row r="837" spans="23:23" ht="12.75">
      <c r="W837" s="59"/>
    </row>
    <row r="838" spans="23:23" ht="12.75">
      <c r="W838" s="59"/>
    </row>
    <row r="839" spans="23:23" ht="12.75">
      <c r="W839" s="59"/>
    </row>
    <row r="840" spans="23:23" ht="12.75">
      <c r="W840" s="59"/>
    </row>
    <row r="841" spans="23:23" ht="12.75">
      <c r="W841" s="59"/>
    </row>
    <row r="842" spans="23:23" ht="12.75">
      <c r="W842" s="59"/>
    </row>
    <row r="843" spans="23:23" ht="12.75">
      <c r="W843" s="59"/>
    </row>
    <row r="844" spans="23:23" ht="12.75">
      <c r="W844" s="59"/>
    </row>
    <row r="845" spans="23:23" ht="12.75">
      <c r="W845" s="59"/>
    </row>
    <row r="846" spans="23:23" ht="12.75">
      <c r="W846" s="59"/>
    </row>
    <row r="847" spans="23:23" ht="12.75">
      <c r="W847" s="59"/>
    </row>
    <row r="848" spans="23:23" ht="12.75">
      <c r="W848" s="59"/>
    </row>
    <row r="849" spans="23:23" ht="12.75">
      <c r="W849" s="59"/>
    </row>
    <row r="850" spans="23:23" ht="12.75">
      <c r="W850" s="59"/>
    </row>
    <row r="851" spans="23:23" ht="12.75">
      <c r="W851" s="59"/>
    </row>
    <row r="852" spans="23:23" ht="12.75">
      <c r="W852" s="59"/>
    </row>
    <row r="853" spans="23:23" ht="12.75">
      <c r="W853" s="59"/>
    </row>
    <row r="854" spans="23:23" ht="12.75">
      <c r="W854" s="59"/>
    </row>
    <row r="855" spans="23:23" ht="12.75">
      <c r="W855" s="59"/>
    </row>
    <row r="856" spans="23:23" ht="12.75">
      <c r="W856" s="59"/>
    </row>
    <row r="857" spans="23:23" ht="12.75">
      <c r="W857" s="59"/>
    </row>
    <row r="858" spans="23:23" ht="12.75">
      <c r="W858" s="59"/>
    </row>
    <row r="859" spans="23:23" ht="12.75">
      <c r="W859" s="59"/>
    </row>
    <row r="860" spans="23:23" ht="12.75">
      <c r="W860" s="59"/>
    </row>
    <row r="861" spans="23:23" ht="12.75">
      <c r="W861" s="59"/>
    </row>
    <row r="862" spans="23:23" ht="12.75">
      <c r="W862" s="59"/>
    </row>
    <row r="863" spans="23:23" ht="12.75">
      <c r="W863" s="59"/>
    </row>
    <row r="864" spans="23:23" ht="12.75">
      <c r="W864" s="59"/>
    </row>
    <row r="865" spans="23:23" ht="12.75">
      <c r="W865" s="59"/>
    </row>
    <row r="866" spans="23:23" ht="12.75">
      <c r="W866" s="59"/>
    </row>
    <row r="867" spans="23:23" ht="12.75">
      <c r="W867" s="59"/>
    </row>
    <row r="868" spans="23:23" ht="12.75">
      <c r="W868" s="59"/>
    </row>
    <row r="869" spans="23:23" ht="12.75">
      <c r="W869" s="59"/>
    </row>
    <row r="870" spans="23:23" ht="12.75">
      <c r="W870" s="59"/>
    </row>
    <row r="871" spans="23:23" ht="12.75">
      <c r="W871" s="59"/>
    </row>
    <row r="872" spans="23:23" ht="12.75">
      <c r="W872" s="59"/>
    </row>
    <row r="873" spans="23:23" ht="12.75">
      <c r="W873" s="59"/>
    </row>
    <row r="874" spans="23:23" ht="12.75">
      <c r="W874" s="59"/>
    </row>
    <row r="875" spans="23:23" ht="12.75">
      <c r="W875" s="59"/>
    </row>
    <row r="876" spans="23:23" ht="12.75">
      <c r="W876" s="59"/>
    </row>
    <row r="877" spans="23:23" ht="12.75">
      <c r="W877" s="59"/>
    </row>
    <row r="878" spans="23:23" ht="12.75">
      <c r="W878" s="59"/>
    </row>
    <row r="879" spans="23:23" ht="12.75">
      <c r="W879" s="59"/>
    </row>
    <row r="880" spans="23:23" ht="12.75">
      <c r="W880" s="59"/>
    </row>
    <row r="881" spans="23:23" ht="12.75">
      <c r="W881" s="59"/>
    </row>
    <row r="882" spans="23:23" ht="12.75">
      <c r="W882" s="59"/>
    </row>
    <row r="883" spans="23:23" ht="12.75">
      <c r="W883" s="59"/>
    </row>
    <row r="884" spans="23:23" ht="12.75">
      <c r="W884" s="59"/>
    </row>
    <row r="885" spans="23:23" ht="12.75">
      <c r="W885" s="59"/>
    </row>
    <row r="886" spans="23:23" ht="12.75">
      <c r="W886" s="59"/>
    </row>
    <row r="887" spans="23:23" ht="12.75">
      <c r="W887" s="59"/>
    </row>
    <row r="888" spans="23:23" ht="12.75">
      <c r="W888" s="59"/>
    </row>
    <row r="889" spans="23:23" ht="12.75">
      <c r="W889" s="59"/>
    </row>
    <row r="890" spans="23:23" ht="12.75">
      <c r="W890" s="59"/>
    </row>
    <row r="891" spans="23:23" ht="12.75">
      <c r="W891" s="59"/>
    </row>
    <row r="892" spans="23:23" ht="12.75">
      <c r="W892" s="59"/>
    </row>
    <row r="893" spans="23:23" ht="12.75">
      <c r="W893" s="59"/>
    </row>
    <row r="894" spans="23:23" ht="12.75">
      <c r="W894" s="59"/>
    </row>
    <row r="895" spans="23:23" ht="12.75">
      <c r="W895" s="59"/>
    </row>
    <row r="896" spans="23:23" ht="12.75">
      <c r="W896" s="59"/>
    </row>
    <row r="897" spans="23:23" ht="12.75">
      <c r="W897" s="59"/>
    </row>
    <row r="898" spans="23:23" ht="12.75">
      <c r="W898" s="59"/>
    </row>
    <row r="899" spans="23:23" ht="12.75">
      <c r="W899" s="59"/>
    </row>
    <row r="900" spans="23:23" ht="12.75">
      <c r="W900" s="59"/>
    </row>
    <row r="901" spans="23:23" ht="12.75">
      <c r="W901" s="59"/>
    </row>
    <row r="902" spans="23:23" ht="12.75">
      <c r="W902" s="59"/>
    </row>
    <row r="903" spans="23:23" ht="12.75">
      <c r="W903" s="59"/>
    </row>
    <row r="904" spans="23:23" ht="12.75">
      <c r="W904" s="59"/>
    </row>
    <row r="905" spans="23:23" ht="12.75">
      <c r="W905" s="59"/>
    </row>
    <row r="906" spans="23:23" ht="12.75">
      <c r="W906" s="59"/>
    </row>
    <row r="907" spans="23:23" ht="12.75">
      <c r="W907" s="59"/>
    </row>
    <row r="908" spans="23:23" ht="12.75">
      <c r="W908" s="59"/>
    </row>
    <row r="909" spans="23:23" ht="12.75">
      <c r="W909" s="59"/>
    </row>
    <row r="910" spans="23:23" ht="12.75">
      <c r="W910" s="59"/>
    </row>
    <row r="911" spans="23:23" ht="12.75">
      <c r="W911" s="59"/>
    </row>
    <row r="912" spans="23:23" ht="12.75">
      <c r="W912" s="59"/>
    </row>
    <row r="913" spans="23:23" ht="12.75">
      <c r="W913" s="59"/>
    </row>
    <row r="914" spans="23:23" ht="12.75">
      <c r="W914" s="59"/>
    </row>
    <row r="915" spans="23:23" ht="12.75">
      <c r="W915" s="59"/>
    </row>
    <row r="916" spans="23:23" ht="12.75">
      <c r="W916" s="59"/>
    </row>
    <row r="917" spans="23:23" ht="12.75">
      <c r="W917" s="59"/>
    </row>
    <row r="918" spans="23:23" ht="12.75">
      <c r="W918" s="59"/>
    </row>
    <row r="919" spans="23:23" ht="12.75">
      <c r="W919" s="59"/>
    </row>
    <row r="920" spans="23:23" ht="12.75">
      <c r="W920" s="59"/>
    </row>
    <row r="921" spans="23:23" ht="12.75">
      <c r="W921" s="59"/>
    </row>
    <row r="922" spans="23:23" ht="12.75">
      <c r="W922" s="59"/>
    </row>
    <row r="923" spans="23:23" ht="12.75">
      <c r="W923" s="59"/>
    </row>
    <row r="924" spans="23:23" ht="12.75">
      <c r="W924" s="59"/>
    </row>
    <row r="925" spans="23:23" ht="12.75">
      <c r="W925" s="59"/>
    </row>
    <row r="926" spans="23:23" ht="12.75">
      <c r="W926" s="59"/>
    </row>
    <row r="927" spans="23:23" ht="12.75">
      <c r="W927" s="59"/>
    </row>
    <row r="928" spans="23:23" ht="12.75">
      <c r="W928" s="59"/>
    </row>
    <row r="929" spans="23:23" ht="12.75">
      <c r="W929" s="59"/>
    </row>
    <row r="930" spans="23:23" ht="12.75">
      <c r="W930" s="59"/>
    </row>
    <row r="931" spans="23:23" ht="12.75">
      <c r="W931" s="59"/>
    </row>
    <row r="932" spans="23:23" ht="12.75">
      <c r="W932" s="59"/>
    </row>
    <row r="933" spans="23:23" ht="12.75">
      <c r="W933" s="59"/>
    </row>
    <row r="934" spans="23:23" ht="12.75">
      <c r="W934" s="59"/>
    </row>
    <row r="935" spans="23:23" ht="12.75">
      <c r="W935" s="59"/>
    </row>
    <row r="936" spans="23:23" ht="12.75">
      <c r="W936" s="59"/>
    </row>
    <row r="937" spans="23:23" ht="12.75">
      <c r="W937" s="59"/>
    </row>
    <row r="938" spans="23:23" ht="12.75">
      <c r="W938" s="59"/>
    </row>
    <row r="939" spans="23:23" ht="12.75">
      <c r="W939" s="59"/>
    </row>
    <row r="940" spans="23:23" ht="12.75">
      <c r="W940" s="59"/>
    </row>
    <row r="941" spans="23:23" ht="12.75">
      <c r="W941" s="59"/>
    </row>
    <row r="942" spans="23:23" ht="12.75">
      <c r="W942" s="59"/>
    </row>
    <row r="943" spans="23:23" ht="12.75">
      <c r="W943" s="59"/>
    </row>
    <row r="944" spans="23:23" ht="12.75">
      <c r="W944" s="59"/>
    </row>
    <row r="945" spans="23:23" ht="12.75">
      <c r="W945" s="59"/>
    </row>
    <row r="946" spans="23:23" ht="12.75">
      <c r="W946" s="59"/>
    </row>
    <row r="947" spans="23:23" ht="12.75">
      <c r="W947" s="59"/>
    </row>
    <row r="948" spans="23:23" ht="12.75">
      <c r="W948" s="59"/>
    </row>
    <row r="949" spans="23:23" ht="12.75">
      <c r="W949" s="59"/>
    </row>
    <row r="950" spans="23:23" ht="12.75">
      <c r="W950" s="59"/>
    </row>
    <row r="951" spans="23:23" ht="12.75">
      <c r="W951" s="59"/>
    </row>
    <row r="952" spans="23:23" ht="12.75">
      <c r="W952" s="59"/>
    </row>
    <row r="953" spans="23:23" ht="12.75">
      <c r="W953" s="59"/>
    </row>
    <row r="954" spans="23:23" ht="12.75">
      <c r="W954" s="59"/>
    </row>
    <row r="955" spans="23:23" ht="12.75">
      <c r="W955" s="59"/>
    </row>
    <row r="956" spans="23:23" ht="12.75">
      <c r="W956" s="59"/>
    </row>
    <row r="957" spans="23:23" ht="12.75">
      <c r="W957" s="59"/>
    </row>
    <row r="958" spans="23:23" ht="12.75">
      <c r="W958" s="59"/>
    </row>
    <row r="959" spans="23:23" ht="12.75">
      <c r="W959" s="59"/>
    </row>
    <row r="960" spans="23:23" ht="12.75">
      <c r="W960" s="59"/>
    </row>
    <row r="961" spans="23:23" ht="12.75">
      <c r="W961" s="59"/>
    </row>
    <row r="962" spans="23:23" ht="12.75">
      <c r="W962" s="59"/>
    </row>
    <row r="963" spans="23:23" ht="12.75">
      <c r="W963" s="59"/>
    </row>
    <row r="964" spans="23:23" ht="12.75">
      <c r="W964" s="59"/>
    </row>
    <row r="965" spans="23:23" ht="12.75">
      <c r="W965" s="59"/>
    </row>
    <row r="966" spans="23:23" ht="12.75">
      <c r="W966" s="59"/>
    </row>
    <row r="967" spans="23:23" ht="12.75">
      <c r="W967" s="59"/>
    </row>
    <row r="968" spans="23:23" ht="12.75">
      <c r="W968" s="59"/>
    </row>
    <row r="969" spans="23:23" ht="12.75">
      <c r="W969" s="59"/>
    </row>
    <row r="970" spans="23:23" ht="12.75">
      <c r="W970" s="59"/>
    </row>
    <row r="971" spans="23:23" ht="12.75">
      <c r="W971" s="59"/>
    </row>
    <row r="972" spans="23:23" ht="12.75">
      <c r="W972" s="59"/>
    </row>
    <row r="973" spans="23:23" ht="12.75">
      <c r="W973" s="59"/>
    </row>
    <row r="974" spans="23:23" ht="12.75">
      <c r="W974" s="59"/>
    </row>
    <row r="975" spans="23:23" ht="12.75">
      <c r="W975" s="59"/>
    </row>
    <row r="976" spans="23:23" ht="12.75">
      <c r="W976" s="59"/>
    </row>
    <row r="977" spans="23:23" ht="12.75">
      <c r="W977" s="59"/>
    </row>
    <row r="978" spans="23:23" ht="12.75">
      <c r="W978" s="59"/>
    </row>
    <row r="979" spans="23:23" ht="12.75">
      <c r="W979" s="59"/>
    </row>
    <row r="980" spans="23:23" ht="12.75">
      <c r="W980" s="59"/>
    </row>
    <row r="981" spans="23:23" ht="12.75">
      <c r="W981" s="59"/>
    </row>
    <row r="982" spans="23:23" ht="12.75">
      <c r="W982" s="59"/>
    </row>
    <row r="983" spans="23:23" ht="12.75">
      <c r="W983" s="59"/>
    </row>
    <row r="984" spans="23:23" ht="12.75">
      <c r="W984" s="59"/>
    </row>
    <row r="985" spans="23:23" ht="12.75">
      <c r="W985" s="59"/>
    </row>
    <row r="986" spans="23:23" ht="12.75">
      <c r="W986" s="59"/>
    </row>
    <row r="987" spans="23:23" ht="12.75">
      <c r="W987" s="59"/>
    </row>
  </sheetData>
  <mergeCells count="10">
    <mergeCell ref="V5:Y5"/>
    <mergeCell ref="Z5:AD5"/>
    <mergeCell ref="AE5:AK5"/>
    <mergeCell ref="A1:AD2"/>
    <mergeCell ref="A3:AD4"/>
    <mergeCell ref="A5:B5"/>
    <mergeCell ref="D5:F5"/>
    <mergeCell ref="G5:M5"/>
    <mergeCell ref="N5:P5"/>
    <mergeCell ref="Q5:U5"/>
  </mergeCells>
  <phoneticPr fontId="40" type="noConversion"/>
  <conditionalFormatting sqref="A7:A23">
    <cfRule type="notContainsBlanks" dxfId="2" priority="1">
      <formula>LEN(TRIM(A7))&gt;0</formula>
    </cfRule>
  </conditionalFormatting>
  <dataValidations count="1">
    <dataValidation type="list" allowBlank="1" showErrorMessage="1" sqref="A7:A23" xr:uid="{00000000-0002-0000-0800-000000000000}">
      <formula1>$AE$7:$AE$23</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R987"/>
  <sheetViews>
    <sheetView workbookViewId="0"/>
  </sheetViews>
  <sheetFormatPr defaultColWidth="12.5703125" defaultRowHeight="15.75" customHeight="1"/>
  <cols>
    <col min="2" max="2" width="18.7109375" customWidth="1"/>
    <col min="31" max="31" width="33" customWidth="1"/>
  </cols>
  <sheetData>
    <row r="1" spans="1:44" ht="14.25">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3"/>
      <c r="AF1" s="3"/>
      <c r="AG1" s="4"/>
      <c r="AH1" s="4"/>
      <c r="AI1" s="4"/>
      <c r="AJ1" s="4"/>
      <c r="AK1" s="4"/>
      <c r="AL1" s="93"/>
      <c r="AM1" s="93"/>
      <c r="AN1" s="93"/>
      <c r="AO1" s="93"/>
      <c r="AP1" s="93"/>
      <c r="AQ1" s="93"/>
      <c r="AR1" s="93"/>
    </row>
    <row r="2" spans="1:44" ht="14.25">
      <c r="A2" s="249"/>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3"/>
      <c r="AF2" s="3"/>
      <c r="AG2" s="4"/>
      <c r="AH2" s="4"/>
      <c r="AI2" s="4"/>
      <c r="AJ2" s="4"/>
      <c r="AK2" s="4"/>
      <c r="AL2" s="93"/>
      <c r="AM2" s="93"/>
      <c r="AN2" s="93"/>
      <c r="AO2" s="93"/>
      <c r="AP2" s="93"/>
      <c r="AQ2" s="93"/>
      <c r="AR2" s="93"/>
    </row>
    <row r="3" spans="1:44" ht="14.25">
      <c r="A3" s="251" t="s">
        <v>1</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2"/>
      <c r="AE3" s="3" t="s">
        <v>2</v>
      </c>
      <c r="AF3" s="3" t="s">
        <v>3</v>
      </c>
      <c r="AG3" s="4"/>
      <c r="AH3" s="4"/>
      <c r="AI3" s="4"/>
      <c r="AJ3" s="4"/>
      <c r="AK3" s="4"/>
      <c r="AL3" s="93"/>
      <c r="AM3" s="93"/>
      <c r="AN3" s="93"/>
      <c r="AO3" s="93"/>
      <c r="AP3" s="93"/>
      <c r="AQ3" s="93"/>
      <c r="AR3" s="93"/>
    </row>
    <row r="4" spans="1:44" ht="14.2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5"/>
      <c r="AE4" s="3">
        <v>192.41</v>
      </c>
      <c r="AF4" s="3">
        <v>1385</v>
      </c>
      <c r="AG4" s="4"/>
      <c r="AH4" s="4"/>
      <c r="AI4" s="4"/>
      <c r="AJ4" s="4"/>
      <c r="AK4" s="4"/>
      <c r="AL4" s="93"/>
      <c r="AM4" s="93"/>
      <c r="AN4" s="93"/>
      <c r="AO4" s="93"/>
      <c r="AP4" s="93"/>
      <c r="AQ4" s="93"/>
      <c r="AR4" s="93"/>
    </row>
    <row r="5" spans="1:44" ht="15">
      <c r="A5" s="235" t="s">
        <v>4</v>
      </c>
      <c r="B5" s="236"/>
      <c r="C5" s="12" t="s">
        <v>4</v>
      </c>
      <c r="D5" s="240" t="s">
        <v>5</v>
      </c>
      <c r="E5" s="238"/>
      <c r="F5" s="236"/>
      <c r="G5" s="241" t="s">
        <v>4</v>
      </c>
      <c r="H5" s="238"/>
      <c r="I5" s="238"/>
      <c r="J5" s="238"/>
      <c r="K5" s="238"/>
      <c r="L5" s="238"/>
      <c r="M5" s="236"/>
      <c r="N5" s="240" t="s">
        <v>5</v>
      </c>
      <c r="O5" s="238"/>
      <c r="P5" s="236"/>
      <c r="Q5" s="241" t="s">
        <v>4</v>
      </c>
      <c r="R5" s="238"/>
      <c r="S5" s="238"/>
      <c r="T5" s="238"/>
      <c r="U5" s="236"/>
      <c r="V5" s="240" t="s">
        <v>5</v>
      </c>
      <c r="W5" s="238"/>
      <c r="X5" s="238"/>
      <c r="Y5" s="236"/>
      <c r="Z5" s="242" t="s">
        <v>4</v>
      </c>
      <c r="AA5" s="238"/>
      <c r="AB5" s="238"/>
      <c r="AC5" s="238"/>
      <c r="AD5" s="236"/>
      <c r="AE5" s="243" t="s">
        <v>6</v>
      </c>
      <c r="AF5" s="244"/>
      <c r="AG5" s="244"/>
      <c r="AH5" s="244"/>
      <c r="AI5" s="244"/>
      <c r="AJ5" s="244"/>
      <c r="AK5" s="245"/>
      <c r="AL5" s="52"/>
      <c r="AM5" s="52"/>
      <c r="AN5" s="52"/>
      <c r="AO5" s="52"/>
      <c r="AP5" s="52"/>
      <c r="AQ5" s="52"/>
      <c r="AR5" s="52"/>
    </row>
    <row r="6" spans="1:44" ht="15">
      <c r="A6" s="60" t="s">
        <v>7</v>
      </c>
      <c r="B6" s="60" t="s">
        <v>8</v>
      </c>
      <c r="C6" s="61" t="s">
        <v>9</v>
      </c>
      <c r="D6" s="90" t="s">
        <v>10</v>
      </c>
      <c r="E6" s="90" t="s">
        <v>11</v>
      </c>
      <c r="F6" s="90" t="s">
        <v>12</v>
      </c>
      <c r="G6" s="61" t="s">
        <v>13</v>
      </c>
      <c r="H6" s="61" t="s">
        <v>14</v>
      </c>
      <c r="I6" s="61" t="s">
        <v>15</v>
      </c>
      <c r="J6" s="61" t="s">
        <v>16</v>
      </c>
      <c r="K6" s="61" t="s">
        <v>17</v>
      </c>
      <c r="L6" s="61" t="s">
        <v>18</v>
      </c>
      <c r="M6" s="61" t="s">
        <v>19</v>
      </c>
      <c r="N6" s="19" t="s">
        <v>20</v>
      </c>
      <c r="O6" s="64" t="s">
        <v>6</v>
      </c>
      <c r="P6" s="60" t="s">
        <v>21</v>
      </c>
      <c r="Q6" s="61" t="s">
        <v>22</v>
      </c>
      <c r="R6" s="61" t="s">
        <v>23</v>
      </c>
      <c r="S6" s="61" t="s">
        <v>24</v>
      </c>
      <c r="T6" s="61" t="s">
        <v>25</v>
      </c>
      <c r="U6" s="61" t="s">
        <v>26</v>
      </c>
      <c r="V6" s="60" t="s">
        <v>27</v>
      </c>
      <c r="W6" s="65" t="s">
        <v>28</v>
      </c>
      <c r="X6" s="60"/>
      <c r="Y6" s="60" t="s">
        <v>29</v>
      </c>
      <c r="Z6" s="66" t="s">
        <v>30</v>
      </c>
      <c r="AA6" s="66" t="s">
        <v>31</v>
      </c>
      <c r="AB6" s="66" t="s">
        <v>32</v>
      </c>
      <c r="AC6" s="66" t="s">
        <v>33</v>
      </c>
      <c r="AD6" s="67" t="s">
        <v>34</v>
      </c>
      <c r="AE6" s="3" t="s">
        <v>35</v>
      </c>
      <c r="AF6" s="4" t="s">
        <v>36</v>
      </c>
      <c r="AG6" s="3" t="s">
        <v>37</v>
      </c>
      <c r="AH6" s="3"/>
      <c r="AI6" s="3"/>
      <c r="AJ6" s="3"/>
      <c r="AK6" s="3"/>
      <c r="AL6" s="52"/>
      <c r="AM6" s="52"/>
      <c r="AN6" s="52"/>
      <c r="AO6" s="52"/>
      <c r="AP6" s="52"/>
      <c r="AQ6" s="52"/>
      <c r="AR6" s="52"/>
    </row>
    <row r="7" spans="1:44" ht="37.5" customHeight="1">
      <c r="A7" s="94"/>
      <c r="B7" s="95" t="s">
        <v>118</v>
      </c>
      <c r="C7" s="96" t="s">
        <v>39</v>
      </c>
      <c r="D7" s="97" t="s">
        <v>39</v>
      </c>
      <c r="E7" s="98">
        <v>30</v>
      </c>
      <c r="F7" s="98">
        <v>9</v>
      </c>
      <c r="G7" s="98">
        <v>9</v>
      </c>
      <c r="H7" s="98">
        <f>PRODUCT(E7*F7*G7)</f>
        <v>2430</v>
      </c>
      <c r="I7" s="99">
        <f>H7/1000000</f>
        <v>2.4299999999999999E-3</v>
      </c>
      <c r="J7" s="30"/>
      <c r="K7" s="100"/>
      <c r="L7" s="101"/>
      <c r="M7" s="101"/>
      <c r="N7" s="102"/>
      <c r="O7" s="103"/>
      <c r="P7" s="104"/>
      <c r="Q7" s="105"/>
      <c r="R7" s="106"/>
      <c r="S7" s="106"/>
      <c r="T7" s="106"/>
      <c r="U7" s="106"/>
      <c r="V7" s="107">
        <v>28900</v>
      </c>
      <c r="W7" s="108">
        <v>6.6299999999999998E-2</v>
      </c>
      <c r="X7" s="109"/>
      <c r="Y7" s="110"/>
      <c r="Z7" s="111">
        <v>3050</v>
      </c>
      <c r="AA7" s="112">
        <f>X7+(Z7/W7)</f>
        <v>46003.016591251886</v>
      </c>
      <c r="AB7" s="113">
        <f>W7*AA7</f>
        <v>3050</v>
      </c>
      <c r="AC7" s="113">
        <f>(W7)/1.1*10%-(R7+AB7+K7+S7+N7+Y7)*10%</f>
        <v>-304.99397272727271</v>
      </c>
      <c r="AD7" s="113">
        <f>W7-(V7+Y7+AB7+AC7+N7)</f>
        <v>-31644.939727272729</v>
      </c>
      <c r="AE7" s="114">
        <f t="shared" ref="AE7:AF7" si="0">AD7/W7</f>
        <v>-477299.24173865357</v>
      </c>
      <c r="AF7" s="115" t="e">
        <f t="shared" si="0"/>
        <v>#DIV/0!</v>
      </c>
      <c r="AG7" s="116" t="s">
        <v>119</v>
      </c>
      <c r="AH7" s="117"/>
      <c r="AI7" s="118">
        <v>0.08</v>
      </c>
      <c r="AJ7" s="119"/>
      <c r="AK7" s="119"/>
      <c r="AL7" s="120"/>
      <c r="AM7" s="120"/>
      <c r="AN7" s="121"/>
      <c r="AO7" s="121"/>
      <c r="AP7" s="121"/>
      <c r="AQ7" s="121"/>
      <c r="AR7" s="121"/>
    </row>
    <row r="8" spans="1:44" ht="37.5" customHeight="1">
      <c r="A8" s="25"/>
      <c r="B8" s="25"/>
      <c r="C8" s="26"/>
      <c r="D8" s="72"/>
      <c r="E8" s="72"/>
      <c r="F8" s="72"/>
      <c r="G8" s="72"/>
      <c r="H8" s="70"/>
      <c r="I8" s="29"/>
      <c r="J8" s="30"/>
      <c r="K8" s="31"/>
      <c r="L8" s="31"/>
      <c r="M8" s="32"/>
      <c r="N8" s="33"/>
      <c r="O8" s="32"/>
      <c r="P8" s="34"/>
      <c r="Q8" s="34"/>
      <c r="R8" s="35"/>
      <c r="S8" s="25"/>
      <c r="T8" s="35"/>
      <c r="U8" s="35"/>
      <c r="V8" s="35"/>
      <c r="W8" s="36"/>
      <c r="X8" s="71"/>
      <c r="Y8" s="35"/>
      <c r="Z8" s="38"/>
      <c r="AA8" s="39"/>
      <c r="AB8" s="39"/>
      <c r="AC8" s="39"/>
      <c r="AD8" s="40"/>
      <c r="AE8" s="41"/>
      <c r="AF8" s="41"/>
      <c r="AG8" s="42"/>
      <c r="AH8" s="43"/>
      <c r="AI8" s="43"/>
      <c r="AJ8" s="44"/>
      <c r="AK8" s="44"/>
      <c r="AL8" s="122"/>
      <c r="AM8" s="122"/>
      <c r="AN8" s="122"/>
      <c r="AO8" s="122"/>
      <c r="AP8" s="122"/>
      <c r="AQ8" s="122"/>
      <c r="AR8" s="122"/>
    </row>
    <row r="9" spans="1:44" ht="37.5" customHeight="1">
      <c r="A9" s="25"/>
      <c r="B9" s="25"/>
      <c r="C9" s="26"/>
      <c r="D9" s="72"/>
      <c r="E9" s="72"/>
      <c r="F9" s="72"/>
      <c r="G9" s="72"/>
      <c r="H9" s="70"/>
      <c r="I9" s="29"/>
      <c r="J9" s="30"/>
      <c r="K9" s="31"/>
      <c r="L9" s="31"/>
      <c r="M9" s="32"/>
      <c r="N9" s="33"/>
      <c r="O9" s="32"/>
      <c r="P9" s="34"/>
      <c r="Q9" s="34"/>
      <c r="R9" s="35"/>
      <c r="S9" s="25"/>
      <c r="T9" s="35"/>
      <c r="U9" s="35"/>
      <c r="V9" s="35"/>
      <c r="W9" s="36"/>
      <c r="X9" s="71"/>
      <c r="Y9" s="35"/>
      <c r="Z9" s="38"/>
      <c r="AA9" s="39"/>
      <c r="AB9" s="39"/>
      <c r="AC9" s="39"/>
      <c r="AD9" s="40"/>
      <c r="AE9" s="41"/>
      <c r="AF9" s="41"/>
      <c r="AG9" s="42"/>
      <c r="AH9" s="43"/>
      <c r="AI9" s="43"/>
      <c r="AJ9" s="44"/>
      <c r="AK9" s="44"/>
      <c r="AL9" s="122"/>
      <c r="AM9" s="122"/>
      <c r="AN9" s="122"/>
      <c r="AO9" s="122"/>
      <c r="AP9" s="122"/>
      <c r="AQ9" s="122"/>
      <c r="AR9" s="122"/>
    </row>
    <row r="10" spans="1:44" ht="37.5" customHeight="1">
      <c r="A10" s="25"/>
      <c r="B10" s="25"/>
      <c r="C10" s="26"/>
      <c r="D10" s="72"/>
      <c r="E10" s="72"/>
      <c r="F10" s="72"/>
      <c r="G10" s="72"/>
      <c r="H10" s="70"/>
      <c r="I10" s="29"/>
      <c r="J10" s="30"/>
      <c r="K10" s="31"/>
      <c r="L10" s="31"/>
      <c r="M10" s="32"/>
      <c r="N10" s="33"/>
      <c r="O10" s="32"/>
      <c r="P10" s="34"/>
      <c r="Q10" s="34"/>
      <c r="R10" s="35"/>
      <c r="S10" s="25"/>
      <c r="T10" s="35"/>
      <c r="U10" s="35"/>
      <c r="V10" s="35"/>
      <c r="W10" s="36"/>
      <c r="X10" s="71"/>
      <c r="Y10" s="35"/>
      <c r="Z10" s="38"/>
      <c r="AA10" s="39"/>
      <c r="AB10" s="39"/>
      <c r="AC10" s="39"/>
      <c r="AD10" s="40"/>
      <c r="AE10" s="41"/>
      <c r="AF10" s="41"/>
      <c r="AG10" s="45"/>
      <c r="AH10" s="43"/>
      <c r="AI10" s="43"/>
      <c r="AJ10" s="44"/>
      <c r="AK10" s="44"/>
      <c r="AL10" s="122"/>
      <c r="AM10" s="122"/>
      <c r="AN10" s="122"/>
      <c r="AO10" s="122"/>
      <c r="AP10" s="122"/>
      <c r="AQ10" s="122"/>
      <c r="AR10" s="122"/>
    </row>
    <row r="11" spans="1:44" ht="37.5" customHeight="1">
      <c r="A11" s="25"/>
      <c r="B11" s="25"/>
      <c r="C11" s="26"/>
      <c r="D11" s="72"/>
      <c r="E11" s="72"/>
      <c r="F11" s="72"/>
      <c r="G11" s="72"/>
      <c r="H11" s="70"/>
      <c r="I11" s="29"/>
      <c r="J11" s="30"/>
      <c r="K11" s="31"/>
      <c r="L11" s="31"/>
      <c r="M11" s="32"/>
      <c r="N11" s="33"/>
      <c r="O11" s="32"/>
      <c r="P11" s="34"/>
      <c r="Q11" s="34"/>
      <c r="R11" s="35"/>
      <c r="S11" s="25"/>
      <c r="T11" s="35"/>
      <c r="U11" s="35"/>
      <c r="V11" s="35"/>
      <c r="W11" s="36"/>
      <c r="X11" s="71"/>
      <c r="Y11" s="35"/>
      <c r="Z11" s="38"/>
      <c r="AA11" s="39"/>
      <c r="AB11" s="39"/>
      <c r="AC11" s="39"/>
      <c r="AD11" s="40"/>
      <c r="AE11" s="41"/>
      <c r="AF11" s="41"/>
      <c r="AG11" s="45"/>
      <c r="AH11" s="43"/>
      <c r="AI11" s="43"/>
      <c r="AJ11" s="44"/>
      <c r="AK11" s="44"/>
      <c r="AL11" s="122"/>
      <c r="AM11" s="122"/>
      <c r="AN11" s="122"/>
      <c r="AO11" s="122"/>
      <c r="AP11" s="122"/>
      <c r="AQ11" s="122"/>
      <c r="AR11" s="122"/>
    </row>
    <row r="12" spans="1:44" ht="37.5" customHeight="1">
      <c r="A12" s="25"/>
      <c r="B12" s="25"/>
      <c r="C12" s="26"/>
      <c r="D12" s="72"/>
      <c r="E12" s="72"/>
      <c r="F12" s="72"/>
      <c r="G12" s="72"/>
      <c r="H12" s="70"/>
      <c r="I12" s="29"/>
      <c r="J12" s="30"/>
      <c r="K12" s="31"/>
      <c r="L12" s="31"/>
      <c r="M12" s="32"/>
      <c r="N12" s="33"/>
      <c r="O12" s="32"/>
      <c r="P12" s="34"/>
      <c r="Q12" s="34"/>
      <c r="R12" s="35"/>
      <c r="S12" s="25"/>
      <c r="T12" s="35"/>
      <c r="U12" s="35"/>
      <c r="V12" s="35"/>
      <c r="W12" s="36"/>
      <c r="X12" s="71"/>
      <c r="Y12" s="35"/>
      <c r="Z12" s="38"/>
      <c r="AA12" s="39"/>
      <c r="AB12" s="39"/>
      <c r="AC12" s="39"/>
      <c r="AD12" s="40"/>
      <c r="AE12" s="41"/>
      <c r="AF12" s="41"/>
      <c r="AG12" s="45"/>
      <c r="AH12" s="43"/>
      <c r="AI12" s="43"/>
      <c r="AJ12" s="44"/>
      <c r="AK12" s="44"/>
      <c r="AL12" s="122"/>
      <c r="AM12" s="122"/>
      <c r="AN12" s="122"/>
      <c r="AO12" s="122"/>
      <c r="AP12" s="122"/>
      <c r="AQ12" s="122"/>
      <c r="AR12" s="122"/>
    </row>
    <row r="13" spans="1:44" ht="37.5" customHeight="1">
      <c r="A13" s="25"/>
      <c r="B13" s="25"/>
      <c r="C13" s="26"/>
      <c r="D13" s="72"/>
      <c r="E13" s="72"/>
      <c r="F13" s="72"/>
      <c r="G13" s="72"/>
      <c r="H13" s="70"/>
      <c r="I13" s="29"/>
      <c r="J13" s="30"/>
      <c r="K13" s="31"/>
      <c r="L13" s="31"/>
      <c r="M13" s="32"/>
      <c r="N13" s="33"/>
      <c r="O13" s="32"/>
      <c r="P13" s="34"/>
      <c r="Q13" s="34"/>
      <c r="R13" s="35"/>
      <c r="S13" s="25"/>
      <c r="T13" s="35"/>
      <c r="U13" s="35"/>
      <c r="V13" s="35"/>
      <c r="W13" s="36"/>
      <c r="X13" s="71"/>
      <c r="Y13" s="35"/>
      <c r="Z13" s="38"/>
      <c r="AA13" s="39"/>
      <c r="AB13" s="39"/>
      <c r="AC13" s="39"/>
      <c r="AD13" s="40"/>
      <c r="AE13" s="41"/>
      <c r="AF13" s="41"/>
      <c r="AG13" s="45"/>
      <c r="AH13" s="43"/>
      <c r="AI13" s="43"/>
      <c r="AJ13" s="44"/>
      <c r="AK13" s="44"/>
      <c r="AL13" s="122"/>
      <c r="AM13" s="122"/>
      <c r="AN13" s="122"/>
      <c r="AO13" s="122"/>
      <c r="AP13" s="122"/>
      <c r="AQ13" s="122"/>
      <c r="AR13" s="122"/>
    </row>
    <row r="14" spans="1:44" ht="37.5" customHeight="1">
      <c r="A14" s="25"/>
      <c r="B14" s="25"/>
      <c r="C14" s="26"/>
      <c r="D14" s="72"/>
      <c r="E14" s="72"/>
      <c r="F14" s="72"/>
      <c r="G14" s="72"/>
      <c r="H14" s="70"/>
      <c r="I14" s="29"/>
      <c r="J14" s="30"/>
      <c r="K14" s="31"/>
      <c r="L14" s="31"/>
      <c r="M14" s="32"/>
      <c r="N14" s="33"/>
      <c r="O14" s="32"/>
      <c r="P14" s="34"/>
      <c r="Q14" s="34"/>
      <c r="R14" s="35"/>
      <c r="S14" s="25"/>
      <c r="T14" s="35"/>
      <c r="U14" s="35"/>
      <c r="V14" s="35"/>
      <c r="W14" s="36"/>
      <c r="X14" s="71"/>
      <c r="Y14" s="35"/>
      <c r="Z14" s="38"/>
      <c r="AA14" s="39"/>
      <c r="AB14" s="39"/>
      <c r="AC14" s="39"/>
      <c r="AD14" s="40"/>
      <c r="AE14" s="41"/>
      <c r="AF14" s="41"/>
      <c r="AG14" s="45"/>
      <c r="AH14" s="43"/>
      <c r="AI14" s="43"/>
      <c r="AJ14" s="44"/>
      <c r="AK14" s="44"/>
      <c r="AL14" s="122"/>
      <c r="AM14" s="122"/>
      <c r="AN14" s="122"/>
      <c r="AO14" s="122"/>
      <c r="AP14" s="122"/>
      <c r="AQ14" s="122"/>
      <c r="AR14" s="122"/>
    </row>
    <row r="15" spans="1:44" ht="37.5" customHeight="1">
      <c r="A15" s="25"/>
      <c r="B15" s="25"/>
      <c r="C15" s="26"/>
      <c r="D15" s="72"/>
      <c r="E15" s="72"/>
      <c r="F15" s="72"/>
      <c r="G15" s="72"/>
      <c r="H15" s="70"/>
      <c r="I15" s="29"/>
      <c r="J15" s="30"/>
      <c r="K15" s="31"/>
      <c r="L15" s="31"/>
      <c r="M15" s="32"/>
      <c r="N15" s="33"/>
      <c r="O15" s="32"/>
      <c r="P15" s="34"/>
      <c r="Q15" s="34"/>
      <c r="R15" s="35"/>
      <c r="S15" s="25"/>
      <c r="T15" s="35"/>
      <c r="U15" s="35"/>
      <c r="V15" s="35"/>
      <c r="W15" s="36"/>
      <c r="X15" s="71"/>
      <c r="Y15" s="35"/>
      <c r="Z15" s="38"/>
      <c r="AA15" s="39"/>
      <c r="AB15" s="39"/>
      <c r="AC15" s="39"/>
      <c r="AD15" s="40"/>
      <c r="AE15" s="41"/>
      <c r="AF15" s="41"/>
      <c r="AG15" s="45"/>
      <c r="AH15" s="43"/>
      <c r="AI15" s="43"/>
      <c r="AJ15" s="44"/>
      <c r="AK15" s="44"/>
      <c r="AL15" s="122"/>
      <c r="AM15" s="122"/>
      <c r="AN15" s="122"/>
      <c r="AO15" s="122"/>
      <c r="AP15" s="122"/>
      <c r="AQ15" s="122"/>
      <c r="AR15" s="122"/>
    </row>
    <row r="16" spans="1:44" ht="37.5" customHeight="1">
      <c r="A16" s="25"/>
      <c r="B16" s="25"/>
      <c r="C16" s="26"/>
      <c r="D16" s="72"/>
      <c r="E16" s="72"/>
      <c r="F16" s="72"/>
      <c r="G16" s="72"/>
      <c r="H16" s="70"/>
      <c r="I16" s="29"/>
      <c r="J16" s="30"/>
      <c r="K16" s="31"/>
      <c r="L16" s="31"/>
      <c r="M16" s="32"/>
      <c r="N16" s="33"/>
      <c r="O16" s="32"/>
      <c r="P16" s="34"/>
      <c r="Q16" s="34"/>
      <c r="R16" s="35"/>
      <c r="S16" s="25"/>
      <c r="T16" s="35"/>
      <c r="U16" s="35"/>
      <c r="V16" s="35"/>
      <c r="W16" s="36"/>
      <c r="X16" s="71"/>
      <c r="Y16" s="35"/>
      <c r="Z16" s="38"/>
      <c r="AA16" s="39"/>
      <c r="AB16" s="39"/>
      <c r="AC16" s="39"/>
      <c r="AD16" s="40"/>
      <c r="AE16" s="41"/>
      <c r="AF16" s="41"/>
      <c r="AG16" s="45"/>
      <c r="AH16" s="43"/>
      <c r="AI16" s="43"/>
      <c r="AJ16" s="44"/>
      <c r="AK16" s="44"/>
      <c r="AL16" s="122"/>
      <c r="AM16" s="122"/>
      <c r="AN16" s="122"/>
      <c r="AO16" s="122"/>
      <c r="AP16" s="122"/>
      <c r="AQ16" s="122"/>
      <c r="AR16" s="122"/>
    </row>
    <row r="17" spans="1:44" ht="37.5" customHeight="1">
      <c r="A17" s="25"/>
      <c r="B17" s="25"/>
      <c r="C17" s="26"/>
      <c r="D17" s="72"/>
      <c r="E17" s="72"/>
      <c r="F17" s="72"/>
      <c r="G17" s="72"/>
      <c r="H17" s="70"/>
      <c r="I17" s="29"/>
      <c r="J17" s="30"/>
      <c r="K17" s="31"/>
      <c r="L17" s="31"/>
      <c r="M17" s="32"/>
      <c r="N17" s="33"/>
      <c r="O17" s="32"/>
      <c r="P17" s="34"/>
      <c r="Q17" s="34"/>
      <c r="R17" s="35"/>
      <c r="S17" s="25"/>
      <c r="T17" s="35"/>
      <c r="U17" s="35"/>
      <c r="V17" s="35"/>
      <c r="W17" s="36"/>
      <c r="X17" s="71"/>
      <c r="Y17" s="35"/>
      <c r="Z17" s="38"/>
      <c r="AA17" s="39"/>
      <c r="AB17" s="39"/>
      <c r="AC17" s="39"/>
      <c r="AD17" s="40"/>
      <c r="AE17" s="41"/>
      <c r="AF17" s="41"/>
      <c r="AG17" s="45"/>
      <c r="AH17" s="43"/>
      <c r="AI17" s="43"/>
      <c r="AJ17" s="44"/>
      <c r="AK17" s="44"/>
      <c r="AL17" s="122"/>
      <c r="AM17" s="122"/>
      <c r="AN17" s="122"/>
      <c r="AO17" s="122"/>
      <c r="AP17" s="122"/>
      <c r="AQ17" s="122"/>
      <c r="AR17" s="122"/>
    </row>
    <row r="18" spans="1:44" ht="37.5" customHeight="1">
      <c r="A18" s="25"/>
      <c r="B18" s="25"/>
      <c r="C18" s="26"/>
      <c r="D18" s="72"/>
      <c r="E18" s="72"/>
      <c r="F18" s="72"/>
      <c r="G18" s="72"/>
      <c r="H18" s="70"/>
      <c r="I18" s="29"/>
      <c r="J18" s="30"/>
      <c r="K18" s="31"/>
      <c r="L18" s="31"/>
      <c r="M18" s="32"/>
      <c r="N18" s="34"/>
      <c r="O18" s="32"/>
      <c r="P18" s="34"/>
      <c r="Q18" s="34"/>
      <c r="R18" s="35"/>
      <c r="S18" s="25"/>
      <c r="T18" s="35"/>
      <c r="U18" s="35"/>
      <c r="V18" s="35"/>
      <c r="W18" s="36"/>
      <c r="X18" s="71"/>
      <c r="Y18" s="35"/>
      <c r="Z18" s="38"/>
      <c r="AA18" s="39"/>
      <c r="AB18" s="39"/>
      <c r="AC18" s="39"/>
      <c r="AD18" s="40"/>
      <c r="AE18" s="41"/>
      <c r="AF18" s="41"/>
      <c r="AG18" s="45"/>
      <c r="AH18" s="43"/>
      <c r="AI18" s="43"/>
      <c r="AJ18" s="44"/>
      <c r="AK18" s="44"/>
      <c r="AL18" s="122"/>
      <c r="AM18" s="122"/>
      <c r="AN18" s="122"/>
      <c r="AO18" s="122"/>
      <c r="AP18" s="122"/>
      <c r="AQ18" s="122"/>
      <c r="AR18" s="122"/>
    </row>
    <row r="19" spans="1:44" ht="37.5" customHeight="1">
      <c r="A19" s="25"/>
      <c r="B19" s="25"/>
      <c r="C19" s="26"/>
      <c r="D19" s="72"/>
      <c r="E19" s="72"/>
      <c r="F19" s="72"/>
      <c r="G19" s="72"/>
      <c r="H19" s="70"/>
      <c r="I19" s="29"/>
      <c r="J19" s="30"/>
      <c r="K19" s="31"/>
      <c r="L19" s="31"/>
      <c r="M19" s="32"/>
      <c r="N19" s="34"/>
      <c r="O19" s="32"/>
      <c r="P19" s="34"/>
      <c r="Q19" s="34"/>
      <c r="R19" s="35"/>
      <c r="S19" s="25"/>
      <c r="T19" s="35"/>
      <c r="U19" s="35"/>
      <c r="V19" s="35"/>
      <c r="W19" s="36"/>
      <c r="X19" s="71"/>
      <c r="Y19" s="35"/>
      <c r="Z19" s="38"/>
      <c r="AA19" s="39"/>
      <c r="AB19" s="39"/>
      <c r="AC19" s="39"/>
      <c r="AD19" s="40"/>
      <c r="AE19" s="41"/>
      <c r="AF19" s="41"/>
      <c r="AG19" s="45"/>
      <c r="AH19" s="43"/>
      <c r="AI19" s="43"/>
      <c r="AJ19" s="44"/>
      <c r="AK19" s="44"/>
      <c r="AL19" s="122"/>
      <c r="AM19" s="122"/>
      <c r="AN19" s="122"/>
      <c r="AO19" s="122"/>
      <c r="AP19" s="122"/>
      <c r="AQ19" s="122"/>
      <c r="AR19" s="122"/>
    </row>
    <row r="20" spans="1:44" ht="37.5" customHeight="1">
      <c r="A20" s="25"/>
      <c r="B20" s="25"/>
      <c r="C20" s="26"/>
      <c r="D20" s="72"/>
      <c r="E20" s="72"/>
      <c r="F20" s="72"/>
      <c r="G20" s="72"/>
      <c r="H20" s="70"/>
      <c r="I20" s="29"/>
      <c r="J20" s="30"/>
      <c r="K20" s="31"/>
      <c r="L20" s="31"/>
      <c r="M20" s="32"/>
      <c r="N20" s="34"/>
      <c r="O20" s="32"/>
      <c r="P20" s="34"/>
      <c r="Q20" s="34"/>
      <c r="R20" s="35"/>
      <c r="S20" s="25"/>
      <c r="T20" s="35"/>
      <c r="U20" s="35"/>
      <c r="V20" s="35"/>
      <c r="W20" s="36"/>
      <c r="X20" s="71"/>
      <c r="Y20" s="35"/>
      <c r="Z20" s="38"/>
      <c r="AA20" s="39"/>
      <c r="AB20" s="39"/>
      <c r="AC20" s="39"/>
      <c r="AD20" s="40"/>
      <c r="AE20" s="41"/>
      <c r="AF20" s="41"/>
      <c r="AG20" s="45"/>
      <c r="AH20" s="43"/>
      <c r="AI20" s="43"/>
      <c r="AJ20" s="44"/>
      <c r="AK20" s="44"/>
      <c r="AL20" s="122"/>
      <c r="AM20" s="122"/>
      <c r="AN20" s="122"/>
      <c r="AO20" s="122"/>
      <c r="AP20" s="122"/>
      <c r="AQ20" s="122"/>
      <c r="AR20" s="122"/>
    </row>
    <row r="21" spans="1:44" ht="37.5" customHeight="1">
      <c r="A21" s="25"/>
      <c r="B21" s="25"/>
      <c r="C21" s="26"/>
      <c r="D21" s="72"/>
      <c r="E21" s="72"/>
      <c r="F21" s="72"/>
      <c r="G21" s="72"/>
      <c r="H21" s="70"/>
      <c r="I21" s="29"/>
      <c r="J21" s="30"/>
      <c r="K21" s="31"/>
      <c r="L21" s="31"/>
      <c r="M21" s="32"/>
      <c r="N21" s="34"/>
      <c r="O21" s="32"/>
      <c r="P21" s="34"/>
      <c r="Q21" s="34"/>
      <c r="R21" s="35"/>
      <c r="S21" s="25"/>
      <c r="T21" s="35"/>
      <c r="U21" s="35"/>
      <c r="V21" s="35"/>
      <c r="W21" s="36"/>
      <c r="X21" s="71"/>
      <c r="Y21" s="35"/>
      <c r="Z21" s="38"/>
      <c r="AA21" s="39"/>
      <c r="AB21" s="39"/>
      <c r="AC21" s="39"/>
      <c r="AD21" s="40"/>
      <c r="AE21" s="41"/>
      <c r="AF21" s="41"/>
      <c r="AG21" s="45"/>
      <c r="AH21" s="43"/>
      <c r="AI21" s="43"/>
      <c r="AJ21" s="44"/>
      <c r="AK21" s="44"/>
      <c r="AL21" s="122"/>
      <c r="AM21" s="122"/>
      <c r="AN21" s="122"/>
      <c r="AO21" s="122"/>
      <c r="AP21" s="122"/>
      <c r="AQ21" s="122"/>
      <c r="AR21" s="122"/>
    </row>
    <row r="22" spans="1:44" ht="37.5" customHeight="1">
      <c r="A22" s="25"/>
      <c r="B22" s="25"/>
      <c r="C22" s="26"/>
      <c r="D22" s="72"/>
      <c r="E22" s="72"/>
      <c r="F22" s="72"/>
      <c r="G22" s="72"/>
      <c r="H22" s="70"/>
      <c r="I22" s="29"/>
      <c r="J22" s="30"/>
      <c r="K22" s="31"/>
      <c r="L22" s="31"/>
      <c r="M22" s="32"/>
      <c r="N22" s="34"/>
      <c r="O22" s="32"/>
      <c r="P22" s="34"/>
      <c r="Q22" s="34"/>
      <c r="R22" s="35"/>
      <c r="S22" s="25"/>
      <c r="T22" s="35"/>
      <c r="U22" s="35"/>
      <c r="V22" s="35"/>
      <c r="W22" s="36"/>
      <c r="X22" s="71"/>
      <c r="Y22" s="35"/>
      <c r="Z22" s="38"/>
      <c r="AA22" s="39"/>
      <c r="AB22" s="39"/>
      <c r="AC22" s="39"/>
      <c r="AD22" s="40"/>
      <c r="AE22" s="41"/>
      <c r="AF22" s="41"/>
      <c r="AG22" s="45"/>
      <c r="AH22" s="43"/>
      <c r="AI22" s="43"/>
      <c r="AJ22" s="44"/>
      <c r="AK22" s="44"/>
      <c r="AL22" s="122"/>
      <c r="AM22" s="122"/>
      <c r="AN22" s="122"/>
      <c r="AO22" s="122"/>
      <c r="AP22" s="122"/>
      <c r="AQ22" s="122"/>
      <c r="AR22" s="122"/>
    </row>
    <row r="23" spans="1:44" ht="37.5" customHeight="1">
      <c r="A23" s="25"/>
      <c r="B23" s="25"/>
      <c r="C23" s="26"/>
      <c r="D23" s="72"/>
      <c r="E23" s="72"/>
      <c r="F23" s="72"/>
      <c r="G23" s="72"/>
      <c r="H23" s="70"/>
      <c r="I23" s="29"/>
      <c r="J23" s="30"/>
      <c r="K23" s="31"/>
      <c r="L23" s="31"/>
      <c r="M23" s="32"/>
      <c r="N23" s="34"/>
      <c r="O23" s="32"/>
      <c r="P23" s="34"/>
      <c r="Q23" s="34"/>
      <c r="R23" s="35"/>
      <c r="S23" s="25"/>
      <c r="T23" s="35"/>
      <c r="U23" s="35"/>
      <c r="V23" s="35"/>
      <c r="W23" s="36"/>
      <c r="X23" s="71"/>
      <c r="Y23" s="35"/>
      <c r="Z23" s="38"/>
      <c r="AA23" s="39"/>
      <c r="AB23" s="39"/>
      <c r="AC23" s="39"/>
      <c r="AD23" s="40"/>
      <c r="AE23" s="41"/>
      <c r="AF23" s="41"/>
      <c r="AG23" s="45"/>
      <c r="AH23" s="43"/>
      <c r="AI23" s="43"/>
      <c r="AJ23" s="44"/>
      <c r="AK23" s="44"/>
      <c r="AL23" s="122"/>
      <c r="AM23" s="122"/>
      <c r="AN23" s="122"/>
      <c r="AO23" s="122"/>
      <c r="AP23" s="122"/>
      <c r="AQ23" s="122"/>
      <c r="AR23" s="122"/>
    </row>
    <row r="24" spans="1:44" ht="37.5" customHeight="1">
      <c r="A24" s="52"/>
      <c r="B24" s="52"/>
      <c r="C24" s="52"/>
      <c r="D24" s="52"/>
      <c r="E24" s="52"/>
      <c r="F24" s="52"/>
      <c r="G24" s="52"/>
      <c r="H24" s="52"/>
      <c r="I24" s="52"/>
      <c r="J24" s="52"/>
      <c r="K24" s="52"/>
      <c r="L24" s="52"/>
      <c r="M24" s="52"/>
      <c r="N24" s="52"/>
      <c r="O24" s="52"/>
      <c r="P24" s="52"/>
      <c r="Q24" s="52"/>
      <c r="R24" s="52"/>
      <c r="S24" s="52"/>
      <c r="T24" s="52"/>
      <c r="U24" s="52"/>
      <c r="V24" s="52"/>
      <c r="W24" s="56"/>
      <c r="X24" s="52"/>
      <c r="Y24" s="52"/>
      <c r="Z24" s="52"/>
      <c r="AA24" s="52"/>
      <c r="AB24" s="52"/>
      <c r="AC24" s="52"/>
      <c r="AD24" s="57"/>
      <c r="AE24" s="3"/>
      <c r="AF24" s="58"/>
      <c r="AG24" s="4"/>
      <c r="AH24" s="58"/>
      <c r="AI24" s="4"/>
      <c r="AJ24" s="4"/>
      <c r="AK24" s="4"/>
      <c r="AL24" s="93"/>
      <c r="AM24" s="93"/>
      <c r="AN24" s="93"/>
      <c r="AO24" s="93"/>
      <c r="AP24" s="93"/>
      <c r="AQ24" s="93"/>
      <c r="AR24" s="93"/>
    </row>
    <row r="25" spans="1:44" ht="37.5" customHeight="1">
      <c r="A25" s="52"/>
      <c r="B25" s="52"/>
      <c r="C25" s="52"/>
      <c r="D25" s="52"/>
      <c r="E25" s="52"/>
      <c r="F25" s="52"/>
      <c r="G25" s="52"/>
      <c r="H25" s="52"/>
      <c r="I25" s="52"/>
      <c r="J25" s="52"/>
      <c r="K25" s="52"/>
      <c r="L25" s="52"/>
      <c r="M25" s="52"/>
      <c r="N25" s="52"/>
      <c r="O25" s="52"/>
      <c r="P25" s="52"/>
      <c r="Q25" s="52"/>
      <c r="R25" s="52"/>
      <c r="S25" s="52"/>
      <c r="T25" s="52"/>
      <c r="U25" s="52"/>
      <c r="V25" s="52"/>
      <c r="W25" s="56"/>
      <c r="X25" s="52"/>
      <c r="Y25" s="52"/>
      <c r="Z25" s="52"/>
      <c r="AA25" s="52"/>
      <c r="AB25" s="52"/>
      <c r="AC25" s="52"/>
      <c r="AD25" s="57"/>
      <c r="AE25" s="3"/>
      <c r="AF25" s="58"/>
      <c r="AG25" s="4"/>
      <c r="AH25" s="58"/>
      <c r="AI25" s="4"/>
      <c r="AJ25" s="4"/>
      <c r="AK25" s="4"/>
      <c r="AL25" s="93"/>
      <c r="AM25" s="93"/>
      <c r="AN25" s="93"/>
      <c r="AO25" s="93"/>
      <c r="AP25" s="93"/>
      <c r="AQ25" s="93"/>
      <c r="AR25" s="93"/>
    </row>
    <row r="26" spans="1:44" ht="37.5" customHeight="1">
      <c r="A26" s="52"/>
      <c r="B26" s="52"/>
      <c r="C26" s="52"/>
      <c r="D26" s="52"/>
      <c r="E26" s="52"/>
      <c r="F26" s="52"/>
      <c r="G26" s="52"/>
      <c r="H26" s="52"/>
      <c r="I26" s="52"/>
      <c r="J26" s="52"/>
      <c r="K26" s="52"/>
      <c r="L26" s="52"/>
      <c r="M26" s="52"/>
      <c r="N26" s="52"/>
      <c r="O26" s="52"/>
      <c r="P26" s="52"/>
      <c r="Q26" s="52"/>
      <c r="R26" s="52"/>
      <c r="S26" s="52"/>
      <c r="T26" s="52"/>
      <c r="U26" s="52"/>
      <c r="V26" s="52"/>
      <c r="W26" s="56"/>
      <c r="X26" s="52"/>
      <c r="Y26" s="52"/>
      <c r="Z26" s="52"/>
      <c r="AA26" s="52"/>
      <c r="AB26" s="52"/>
      <c r="AC26" s="52"/>
      <c r="AD26" s="57"/>
      <c r="AE26" s="3"/>
      <c r="AF26" s="58"/>
      <c r="AG26" s="4"/>
      <c r="AH26" s="58"/>
      <c r="AI26" s="4"/>
      <c r="AJ26" s="4"/>
      <c r="AK26" s="4"/>
      <c r="AL26" s="93"/>
      <c r="AM26" s="93"/>
      <c r="AN26" s="93"/>
      <c r="AO26" s="93"/>
      <c r="AP26" s="93"/>
      <c r="AQ26" s="93"/>
      <c r="AR26" s="93"/>
    </row>
    <row r="27" spans="1:44" ht="37.5" customHeight="1">
      <c r="A27" s="52"/>
      <c r="B27" s="52"/>
      <c r="C27" s="52"/>
      <c r="D27" s="52"/>
      <c r="E27" s="52"/>
      <c r="F27" s="52"/>
      <c r="G27" s="52"/>
      <c r="H27" s="52"/>
      <c r="I27" s="52"/>
      <c r="J27" s="52"/>
      <c r="K27" s="52"/>
      <c r="L27" s="52"/>
      <c r="M27" s="52"/>
      <c r="N27" s="52"/>
      <c r="O27" s="52"/>
      <c r="P27" s="52"/>
      <c r="Q27" s="52"/>
      <c r="R27" s="52"/>
      <c r="S27" s="52"/>
      <c r="T27" s="52"/>
      <c r="U27" s="52"/>
      <c r="V27" s="52"/>
      <c r="W27" s="56"/>
      <c r="X27" s="52"/>
      <c r="Y27" s="52"/>
      <c r="Z27" s="52"/>
      <c r="AA27" s="52"/>
      <c r="AB27" s="52"/>
      <c r="AC27" s="52"/>
      <c r="AD27" s="57"/>
      <c r="AE27" s="3"/>
      <c r="AF27" s="58"/>
      <c r="AG27" s="4"/>
      <c r="AH27" s="58"/>
      <c r="AI27" s="4"/>
      <c r="AJ27" s="4"/>
      <c r="AK27" s="4"/>
      <c r="AL27" s="93"/>
      <c r="AM27" s="93"/>
      <c r="AN27" s="93"/>
      <c r="AO27" s="93"/>
      <c r="AP27" s="93"/>
      <c r="AQ27" s="93"/>
      <c r="AR27" s="93"/>
    </row>
    <row r="28" spans="1:44" ht="37.5" customHeight="1">
      <c r="A28" s="52"/>
      <c r="B28" s="52"/>
      <c r="C28" s="52"/>
      <c r="D28" s="52"/>
      <c r="E28" s="52"/>
      <c r="F28" s="52"/>
      <c r="G28" s="52"/>
      <c r="H28" s="52"/>
      <c r="I28" s="52"/>
      <c r="J28" s="52"/>
      <c r="K28" s="52"/>
      <c r="L28" s="52"/>
      <c r="M28" s="52"/>
      <c r="N28" s="52"/>
      <c r="O28" s="52"/>
      <c r="P28" s="52"/>
      <c r="Q28" s="52"/>
      <c r="R28" s="52"/>
      <c r="S28" s="52"/>
      <c r="T28" s="52"/>
      <c r="U28" s="52"/>
      <c r="V28" s="52"/>
      <c r="W28" s="56"/>
      <c r="X28" s="52"/>
      <c r="Y28" s="52"/>
      <c r="Z28" s="52"/>
      <c r="AA28" s="52"/>
      <c r="AB28" s="52"/>
      <c r="AC28" s="52"/>
      <c r="AD28" s="57"/>
      <c r="AE28" s="3"/>
      <c r="AF28" s="58"/>
      <c r="AG28" s="4"/>
      <c r="AH28" s="58"/>
      <c r="AI28" s="4"/>
      <c r="AJ28" s="4"/>
      <c r="AK28" s="4"/>
      <c r="AL28" s="93"/>
      <c r="AM28" s="93"/>
      <c r="AN28" s="93"/>
      <c r="AO28" s="93"/>
      <c r="AP28" s="93"/>
      <c r="AQ28" s="93"/>
      <c r="AR28" s="93"/>
    </row>
    <row r="29" spans="1:44" ht="37.5" customHeight="1">
      <c r="A29" s="52"/>
      <c r="B29" s="52"/>
      <c r="C29" s="52"/>
      <c r="D29" s="52"/>
      <c r="E29" s="52"/>
      <c r="F29" s="52"/>
      <c r="G29" s="52"/>
      <c r="H29" s="52"/>
      <c r="I29" s="52"/>
      <c r="J29" s="52"/>
      <c r="K29" s="52"/>
      <c r="L29" s="52"/>
      <c r="M29" s="52"/>
      <c r="N29" s="52"/>
      <c r="O29" s="52"/>
      <c r="P29" s="52"/>
      <c r="Q29" s="52"/>
      <c r="R29" s="52"/>
      <c r="S29" s="52"/>
      <c r="T29" s="52"/>
      <c r="U29" s="52"/>
      <c r="V29" s="52"/>
      <c r="W29" s="56"/>
      <c r="X29" s="52"/>
      <c r="Y29" s="52"/>
      <c r="Z29" s="52"/>
      <c r="AA29" s="52"/>
      <c r="AB29" s="52"/>
      <c r="AC29" s="52"/>
      <c r="AD29" s="57"/>
      <c r="AE29" s="3"/>
      <c r="AF29" s="58"/>
      <c r="AG29" s="4"/>
      <c r="AH29" s="58"/>
      <c r="AI29" s="4"/>
      <c r="AJ29" s="4"/>
      <c r="AK29" s="4"/>
      <c r="AL29" s="93"/>
      <c r="AM29" s="93"/>
      <c r="AN29" s="93"/>
      <c r="AO29" s="93"/>
      <c r="AP29" s="93"/>
      <c r="AQ29" s="93"/>
      <c r="AR29" s="93"/>
    </row>
    <row r="30" spans="1:44" ht="37.5" customHeight="1">
      <c r="A30" s="52"/>
      <c r="B30" s="52"/>
      <c r="C30" s="52"/>
      <c r="D30" s="52"/>
      <c r="E30" s="52"/>
      <c r="F30" s="52"/>
      <c r="G30" s="52"/>
      <c r="H30" s="52"/>
      <c r="I30" s="52"/>
      <c r="J30" s="52"/>
      <c r="K30" s="52"/>
      <c r="L30" s="52"/>
      <c r="M30" s="52"/>
      <c r="N30" s="52"/>
      <c r="O30" s="52"/>
      <c r="P30" s="52"/>
      <c r="Q30" s="52"/>
      <c r="R30" s="52"/>
      <c r="S30" s="52"/>
      <c r="T30" s="52"/>
      <c r="U30" s="52"/>
      <c r="V30" s="52"/>
      <c r="W30" s="56"/>
      <c r="X30" s="52"/>
      <c r="Y30" s="52"/>
      <c r="Z30" s="52"/>
      <c r="AA30" s="52"/>
      <c r="AB30" s="52"/>
      <c r="AC30" s="52"/>
      <c r="AD30" s="57"/>
      <c r="AE30" s="3"/>
      <c r="AF30" s="58"/>
      <c r="AG30" s="4"/>
      <c r="AH30" s="58"/>
      <c r="AI30" s="4"/>
      <c r="AJ30" s="4"/>
      <c r="AK30" s="4"/>
      <c r="AL30" s="93"/>
      <c r="AM30" s="93"/>
      <c r="AN30" s="93"/>
      <c r="AO30" s="93"/>
      <c r="AP30" s="93"/>
      <c r="AQ30" s="93"/>
      <c r="AR30" s="93"/>
    </row>
    <row r="31" spans="1:44" ht="37.5" customHeight="1">
      <c r="A31" s="52"/>
      <c r="B31" s="52"/>
      <c r="C31" s="52"/>
      <c r="D31" s="52"/>
      <c r="E31" s="52"/>
      <c r="F31" s="52"/>
      <c r="G31" s="52"/>
      <c r="H31" s="52"/>
      <c r="I31" s="52"/>
      <c r="J31" s="52"/>
      <c r="K31" s="52"/>
      <c r="L31" s="52"/>
      <c r="M31" s="52"/>
      <c r="N31" s="52"/>
      <c r="O31" s="52"/>
      <c r="P31" s="52"/>
      <c r="Q31" s="52"/>
      <c r="R31" s="52"/>
      <c r="S31" s="52"/>
      <c r="T31" s="52"/>
      <c r="U31" s="52"/>
      <c r="V31" s="52"/>
      <c r="W31" s="56"/>
      <c r="X31" s="52"/>
      <c r="Y31" s="52"/>
      <c r="Z31" s="52"/>
      <c r="AA31" s="52"/>
      <c r="AB31" s="52"/>
      <c r="AC31" s="52"/>
      <c r="AD31" s="57"/>
      <c r="AE31" s="3"/>
      <c r="AF31" s="58"/>
      <c r="AG31" s="4"/>
      <c r="AH31" s="58"/>
      <c r="AI31" s="4"/>
      <c r="AJ31" s="4"/>
      <c r="AK31" s="4"/>
      <c r="AL31" s="93"/>
      <c r="AM31" s="93"/>
      <c r="AN31" s="93"/>
      <c r="AO31" s="93"/>
      <c r="AP31" s="93"/>
      <c r="AQ31" s="93"/>
      <c r="AR31" s="93"/>
    </row>
    <row r="32" spans="1:44" ht="14.25">
      <c r="A32" s="52"/>
      <c r="B32" s="52"/>
      <c r="C32" s="52"/>
      <c r="D32" s="52"/>
      <c r="E32" s="52"/>
      <c r="F32" s="52"/>
      <c r="G32" s="52"/>
      <c r="H32" s="52"/>
      <c r="I32" s="52"/>
      <c r="J32" s="52"/>
      <c r="K32" s="52"/>
      <c r="L32" s="52"/>
      <c r="M32" s="52"/>
      <c r="N32" s="52"/>
      <c r="O32" s="52"/>
      <c r="P32" s="52"/>
      <c r="Q32" s="52"/>
      <c r="R32" s="52"/>
      <c r="S32" s="52"/>
      <c r="T32" s="52"/>
      <c r="U32" s="52"/>
      <c r="V32" s="52"/>
      <c r="W32" s="56"/>
      <c r="X32" s="52"/>
      <c r="Y32" s="52"/>
      <c r="Z32" s="52"/>
      <c r="AA32" s="52"/>
      <c r="AB32" s="52"/>
      <c r="AC32" s="52"/>
      <c r="AD32" s="57"/>
      <c r="AE32" s="3"/>
      <c r="AF32" s="58"/>
      <c r="AG32" s="4"/>
      <c r="AH32" s="58"/>
      <c r="AI32" s="4"/>
      <c r="AJ32" s="4"/>
      <c r="AK32" s="4"/>
      <c r="AL32" s="93"/>
      <c r="AM32" s="93"/>
      <c r="AN32" s="93"/>
      <c r="AO32" s="93"/>
      <c r="AP32" s="93"/>
      <c r="AQ32" s="93"/>
      <c r="AR32" s="93"/>
    </row>
    <row r="33" spans="1:44" ht="14.25">
      <c r="A33" s="52"/>
      <c r="B33" s="52"/>
      <c r="C33" s="52"/>
      <c r="D33" s="52"/>
      <c r="E33" s="52"/>
      <c r="F33" s="52"/>
      <c r="G33" s="52"/>
      <c r="H33" s="52"/>
      <c r="I33" s="52"/>
      <c r="J33" s="52"/>
      <c r="K33" s="52"/>
      <c r="L33" s="52"/>
      <c r="M33" s="52"/>
      <c r="N33" s="52"/>
      <c r="O33" s="52"/>
      <c r="P33" s="52"/>
      <c r="Q33" s="52"/>
      <c r="R33" s="52"/>
      <c r="S33" s="52"/>
      <c r="T33" s="52"/>
      <c r="U33" s="52"/>
      <c r="V33" s="52"/>
      <c r="W33" s="56"/>
      <c r="X33" s="52"/>
      <c r="Y33" s="52"/>
      <c r="Z33" s="52"/>
      <c r="AA33" s="52"/>
      <c r="AB33" s="52"/>
      <c r="AC33" s="52"/>
      <c r="AD33" s="57"/>
      <c r="AE33" s="3"/>
      <c r="AF33" s="58"/>
      <c r="AG33" s="4"/>
      <c r="AH33" s="58"/>
      <c r="AI33" s="4"/>
      <c r="AJ33" s="4"/>
      <c r="AK33" s="4"/>
      <c r="AL33" s="93"/>
      <c r="AM33" s="93"/>
      <c r="AN33" s="93"/>
      <c r="AO33" s="93"/>
      <c r="AP33" s="93"/>
      <c r="AQ33" s="93"/>
      <c r="AR33" s="93"/>
    </row>
    <row r="34" spans="1:44" ht="14.25">
      <c r="A34" s="52"/>
      <c r="B34" s="52"/>
      <c r="C34" s="52"/>
      <c r="D34" s="52"/>
      <c r="E34" s="52"/>
      <c r="F34" s="52"/>
      <c r="G34" s="52"/>
      <c r="H34" s="52"/>
      <c r="I34" s="52"/>
      <c r="J34" s="52"/>
      <c r="K34" s="52"/>
      <c r="L34" s="52"/>
      <c r="M34" s="52"/>
      <c r="N34" s="52"/>
      <c r="O34" s="52"/>
      <c r="P34" s="52"/>
      <c r="Q34" s="52"/>
      <c r="R34" s="52"/>
      <c r="S34" s="52"/>
      <c r="T34" s="52"/>
      <c r="U34" s="52"/>
      <c r="V34" s="52"/>
      <c r="W34" s="56"/>
      <c r="X34" s="52"/>
      <c r="Y34" s="52"/>
      <c r="Z34" s="52"/>
      <c r="AA34" s="52"/>
      <c r="AB34" s="52"/>
      <c r="AC34" s="52"/>
      <c r="AD34" s="57"/>
      <c r="AE34" s="3"/>
      <c r="AF34" s="58"/>
      <c r="AG34" s="4"/>
      <c r="AH34" s="58"/>
      <c r="AI34" s="4"/>
      <c r="AJ34" s="4"/>
      <c r="AK34" s="4"/>
      <c r="AL34" s="93"/>
      <c r="AM34" s="93"/>
      <c r="AN34" s="93"/>
      <c r="AO34" s="93"/>
      <c r="AP34" s="93"/>
      <c r="AQ34" s="93"/>
      <c r="AR34" s="93"/>
    </row>
    <row r="35" spans="1:44" ht="14.25">
      <c r="A35" s="52"/>
      <c r="B35" s="52"/>
      <c r="C35" s="52"/>
      <c r="D35" s="52"/>
      <c r="E35" s="52"/>
      <c r="F35" s="52"/>
      <c r="G35" s="52"/>
      <c r="H35" s="52"/>
      <c r="I35" s="52"/>
      <c r="J35" s="52"/>
      <c r="K35" s="52"/>
      <c r="L35" s="52"/>
      <c r="M35" s="52"/>
      <c r="N35" s="52"/>
      <c r="O35" s="52"/>
      <c r="P35" s="52"/>
      <c r="Q35" s="52"/>
      <c r="R35" s="52"/>
      <c r="S35" s="52"/>
      <c r="T35" s="52"/>
      <c r="U35" s="52"/>
      <c r="V35" s="52"/>
      <c r="W35" s="56"/>
      <c r="X35" s="52"/>
      <c r="Y35" s="52"/>
      <c r="Z35" s="52"/>
      <c r="AA35" s="52"/>
      <c r="AB35" s="52"/>
      <c r="AC35" s="52"/>
      <c r="AD35" s="57"/>
      <c r="AE35" s="3"/>
      <c r="AF35" s="58"/>
      <c r="AG35" s="4"/>
      <c r="AH35" s="58"/>
      <c r="AI35" s="4"/>
      <c r="AJ35" s="4"/>
      <c r="AK35" s="4"/>
      <c r="AL35" s="93"/>
      <c r="AM35" s="93"/>
      <c r="AN35" s="93"/>
      <c r="AO35" s="93"/>
      <c r="AP35" s="93"/>
      <c r="AQ35" s="93"/>
      <c r="AR35" s="93"/>
    </row>
    <row r="36" spans="1:44" ht="14.25">
      <c r="A36" s="52"/>
      <c r="B36" s="52"/>
      <c r="C36" s="52"/>
      <c r="D36" s="52"/>
      <c r="E36" s="52"/>
      <c r="F36" s="52"/>
      <c r="G36" s="52"/>
      <c r="H36" s="52"/>
      <c r="I36" s="52"/>
      <c r="J36" s="52"/>
      <c r="K36" s="52"/>
      <c r="L36" s="52"/>
      <c r="M36" s="52"/>
      <c r="N36" s="52"/>
      <c r="O36" s="52"/>
      <c r="P36" s="52"/>
      <c r="Q36" s="52"/>
      <c r="R36" s="52"/>
      <c r="S36" s="52"/>
      <c r="T36" s="52"/>
      <c r="U36" s="52"/>
      <c r="V36" s="52"/>
      <c r="W36" s="56"/>
      <c r="X36" s="52"/>
      <c r="Y36" s="52"/>
      <c r="Z36" s="52"/>
      <c r="AA36" s="52"/>
      <c r="AB36" s="52"/>
      <c r="AC36" s="52"/>
      <c r="AD36" s="57"/>
      <c r="AE36" s="3"/>
      <c r="AF36" s="3"/>
      <c r="AG36" s="4"/>
      <c r="AH36" s="4"/>
      <c r="AI36" s="4"/>
      <c r="AJ36" s="4"/>
      <c r="AK36" s="4"/>
      <c r="AL36" s="93"/>
      <c r="AM36" s="93"/>
      <c r="AN36" s="93"/>
      <c r="AO36" s="93"/>
      <c r="AP36" s="93"/>
      <c r="AQ36" s="93"/>
      <c r="AR36" s="93"/>
    </row>
    <row r="37" spans="1:44" ht="14.25">
      <c r="A37" s="52"/>
      <c r="B37" s="52"/>
      <c r="C37" s="52"/>
      <c r="D37" s="52"/>
      <c r="E37" s="52"/>
      <c r="F37" s="52"/>
      <c r="G37" s="52"/>
      <c r="H37" s="52"/>
      <c r="I37" s="52"/>
      <c r="J37" s="52"/>
      <c r="K37" s="52"/>
      <c r="L37" s="52"/>
      <c r="M37" s="52"/>
      <c r="N37" s="52"/>
      <c r="O37" s="52"/>
      <c r="P37" s="52"/>
      <c r="Q37" s="52"/>
      <c r="R37" s="52"/>
      <c r="S37" s="52"/>
      <c r="T37" s="52"/>
      <c r="U37" s="52"/>
      <c r="V37" s="52"/>
      <c r="W37" s="56"/>
      <c r="X37" s="52"/>
      <c r="Y37" s="52"/>
      <c r="Z37" s="52"/>
      <c r="AA37" s="52"/>
      <c r="AB37" s="52"/>
      <c r="AC37" s="52"/>
      <c r="AD37" s="57"/>
      <c r="AE37" s="3"/>
      <c r="AF37" s="3"/>
      <c r="AG37" s="4"/>
      <c r="AH37" s="4"/>
      <c r="AI37" s="4"/>
      <c r="AJ37" s="4"/>
      <c r="AK37" s="4"/>
      <c r="AL37" s="93"/>
      <c r="AM37" s="93"/>
      <c r="AN37" s="93"/>
      <c r="AO37" s="93"/>
      <c r="AP37" s="93"/>
      <c r="AQ37" s="93"/>
      <c r="AR37" s="93"/>
    </row>
    <row r="38" spans="1:44" ht="14.25">
      <c r="A38" s="52"/>
      <c r="B38" s="52"/>
      <c r="C38" s="52"/>
      <c r="D38" s="52"/>
      <c r="E38" s="52"/>
      <c r="F38" s="52"/>
      <c r="G38" s="52"/>
      <c r="H38" s="52"/>
      <c r="I38" s="52"/>
      <c r="J38" s="52"/>
      <c r="K38" s="52"/>
      <c r="L38" s="52"/>
      <c r="M38" s="52"/>
      <c r="N38" s="52"/>
      <c r="O38" s="52"/>
      <c r="P38" s="52"/>
      <c r="Q38" s="52"/>
      <c r="R38" s="52"/>
      <c r="S38" s="52"/>
      <c r="T38" s="52"/>
      <c r="U38" s="52"/>
      <c r="V38" s="52"/>
      <c r="W38" s="56"/>
      <c r="X38" s="52"/>
      <c r="Y38" s="52"/>
      <c r="Z38" s="52"/>
      <c r="AA38" s="52"/>
      <c r="AB38" s="52"/>
      <c r="AC38" s="52"/>
      <c r="AD38" s="57"/>
      <c r="AE38" s="3"/>
      <c r="AF38" s="3"/>
      <c r="AG38" s="4"/>
      <c r="AH38" s="4"/>
      <c r="AI38" s="4"/>
      <c r="AJ38" s="4"/>
      <c r="AK38" s="4"/>
      <c r="AL38" s="93"/>
      <c r="AM38" s="93"/>
      <c r="AN38" s="93"/>
      <c r="AO38" s="93"/>
      <c r="AP38" s="93"/>
      <c r="AQ38" s="93"/>
      <c r="AR38" s="93"/>
    </row>
    <row r="39" spans="1:44" ht="14.25">
      <c r="A39" s="52"/>
      <c r="B39" s="52"/>
      <c r="C39" s="52"/>
      <c r="D39" s="52"/>
      <c r="E39" s="52"/>
      <c r="F39" s="52"/>
      <c r="G39" s="52"/>
      <c r="H39" s="52"/>
      <c r="I39" s="52"/>
      <c r="J39" s="52"/>
      <c r="K39" s="52"/>
      <c r="L39" s="52"/>
      <c r="M39" s="52"/>
      <c r="N39" s="52"/>
      <c r="O39" s="52"/>
      <c r="P39" s="52"/>
      <c r="Q39" s="52"/>
      <c r="R39" s="52"/>
      <c r="S39" s="52"/>
      <c r="T39" s="52"/>
      <c r="U39" s="52"/>
      <c r="V39" s="52"/>
      <c r="W39" s="56"/>
      <c r="X39" s="52"/>
      <c r="Y39" s="52"/>
      <c r="Z39" s="52"/>
      <c r="AA39" s="52"/>
      <c r="AB39" s="52"/>
      <c r="AC39" s="52"/>
      <c r="AD39" s="57"/>
      <c r="AE39" s="3"/>
      <c r="AF39" s="3"/>
      <c r="AG39" s="4"/>
      <c r="AH39" s="4"/>
      <c r="AI39" s="4"/>
      <c r="AJ39" s="4"/>
      <c r="AK39" s="4"/>
      <c r="AL39" s="93"/>
      <c r="AM39" s="93"/>
      <c r="AN39" s="93"/>
      <c r="AO39" s="93"/>
      <c r="AP39" s="93"/>
      <c r="AQ39" s="93"/>
      <c r="AR39" s="93"/>
    </row>
    <row r="40" spans="1:44" ht="14.25">
      <c r="A40" s="52"/>
      <c r="B40" s="52"/>
      <c r="C40" s="52"/>
      <c r="D40" s="52"/>
      <c r="E40" s="52"/>
      <c r="F40" s="52"/>
      <c r="G40" s="52"/>
      <c r="H40" s="52"/>
      <c r="I40" s="52"/>
      <c r="J40" s="52"/>
      <c r="K40" s="52"/>
      <c r="L40" s="52"/>
      <c r="M40" s="52"/>
      <c r="N40" s="52"/>
      <c r="O40" s="52"/>
      <c r="P40" s="52"/>
      <c r="Q40" s="52"/>
      <c r="R40" s="52"/>
      <c r="S40" s="52"/>
      <c r="T40" s="52"/>
      <c r="U40" s="52"/>
      <c r="V40" s="52"/>
      <c r="W40" s="56"/>
      <c r="X40" s="52"/>
      <c r="Y40" s="52"/>
      <c r="Z40" s="52"/>
      <c r="AA40" s="52"/>
      <c r="AB40" s="52"/>
      <c r="AC40" s="52"/>
      <c r="AD40" s="57"/>
      <c r="AE40" s="3"/>
      <c r="AF40" s="3"/>
      <c r="AG40" s="4"/>
      <c r="AH40" s="4"/>
      <c r="AI40" s="4"/>
      <c r="AJ40" s="4"/>
      <c r="AK40" s="4"/>
      <c r="AL40" s="93"/>
      <c r="AM40" s="93"/>
      <c r="AN40" s="93"/>
      <c r="AO40" s="93"/>
      <c r="AP40" s="93"/>
      <c r="AQ40" s="93"/>
      <c r="AR40" s="93"/>
    </row>
    <row r="41" spans="1:44" ht="14.25">
      <c r="A41" s="52"/>
      <c r="B41" s="52"/>
      <c r="C41" s="52"/>
      <c r="D41" s="52"/>
      <c r="E41" s="52"/>
      <c r="F41" s="52"/>
      <c r="G41" s="52"/>
      <c r="H41" s="52"/>
      <c r="I41" s="52"/>
      <c r="J41" s="52"/>
      <c r="K41" s="52"/>
      <c r="L41" s="52"/>
      <c r="M41" s="52"/>
      <c r="N41" s="52"/>
      <c r="O41" s="52"/>
      <c r="P41" s="52"/>
      <c r="Q41" s="52"/>
      <c r="R41" s="52"/>
      <c r="S41" s="52"/>
      <c r="T41" s="52"/>
      <c r="U41" s="52"/>
      <c r="V41" s="52"/>
      <c r="W41" s="56"/>
      <c r="X41" s="52"/>
      <c r="Y41" s="52"/>
      <c r="Z41" s="52"/>
      <c r="AA41" s="52"/>
      <c r="AB41" s="52"/>
      <c r="AC41" s="52"/>
      <c r="AD41" s="57"/>
      <c r="AE41" s="3"/>
      <c r="AF41" s="3"/>
      <c r="AG41" s="4"/>
      <c r="AH41" s="4"/>
      <c r="AI41" s="4"/>
      <c r="AJ41" s="4"/>
      <c r="AK41" s="4"/>
      <c r="AL41" s="93"/>
      <c r="AM41" s="93"/>
      <c r="AN41" s="93"/>
      <c r="AO41" s="93"/>
      <c r="AP41" s="93"/>
      <c r="AQ41" s="93"/>
      <c r="AR41" s="93"/>
    </row>
    <row r="42" spans="1:44" ht="14.25">
      <c r="A42" s="52"/>
      <c r="B42" s="52"/>
      <c r="C42" s="52"/>
      <c r="D42" s="52"/>
      <c r="E42" s="52"/>
      <c r="F42" s="52"/>
      <c r="G42" s="52"/>
      <c r="H42" s="52"/>
      <c r="I42" s="52"/>
      <c r="J42" s="52"/>
      <c r="K42" s="52"/>
      <c r="L42" s="52"/>
      <c r="M42" s="52"/>
      <c r="N42" s="52"/>
      <c r="O42" s="52"/>
      <c r="P42" s="52"/>
      <c r="Q42" s="52"/>
      <c r="R42" s="52"/>
      <c r="S42" s="52"/>
      <c r="T42" s="52"/>
      <c r="U42" s="52"/>
      <c r="V42" s="52"/>
      <c r="W42" s="56"/>
      <c r="X42" s="52"/>
      <c r="Y42" s="52"/>
      <c r="Z42" s="52"/>
      <c r="AA42" s="52"/>
      <c r="AB42" s="52"/>
      <c r="AC42" s="52"/>
      <c r="AD42" s="57"/>
      <c r="AE42" s="3"/>
      <c r="AF42" s="3"/>
      <c r="AG42" s="4"/>
      <c r="AH42" s="4"/>
      <c r="AI42" s="4"/>
      <c r="AJ42" s="4"/>
      <c r="AK42" s="4"/>
      <c r="AL42" s="93"/>
      <c r="AM42" s="93"/>
      <c r="AN42" s="93"/>
      <c r="AO42" s="93"/>
      <c r="AP42" s="93"/>
      <c r="AQ42" s="93"/>
      <c r="AR42" s="93"/>
    </row>
    <row r="43" spans="1:44" ht="14.25">
      <c r="A43" s="52"/>
      <c r="B43" s="52"/>
      <c r="C43" s="52"/>
      <c r="D43" s="52"/>
      <c r="E43" s="52"/>
      <c r="F43" s="52"/>
      <c r="G43" s="52"/>
      <c r="H43" s="52"/>
      <c r="I43" s="52"/>
      <c r="J43" s="52"/>
      <c r="K43" s="52"/>
      <c r="L43" s="52"/>
      <c r="M43" s="52"/>
      <c r="N43" s="52"/>
      <c r="O43" s="52"/>
      <c r="P43" s="52"/>
      <c r="Q43" s="52"/>
      <c r="R43" s="52"/>
      <c r="S43" s="52"/>
      <c r="T43" s="52"/>
      <c r="U43" s="52"/>
      <c r="V43" s="52"/>
      <c r="W43" s="56"/>
      <c r="X43" s="52"/>
      <c r="Y43" s="52"/>
      <c r="Z43" s="52"/>
      <c r="AA43" s="52"/>
      <c r="AB43" s="52"/>
      <c r="AC43" s="52"/>
      <c r="AD43" s="57"/>
      <c r="AE43" s="3"/>
      <c r="AF43" s="3"/>
      <c r="AG43" s="4"/>
      <c r="AH43" s="4"/>
      <c r="AI43" s="4"/>
      <c r="AJ43" s="4"/>
      <c r="AK43" s="4"/>
      <c r="AL43" s="93"/>
      <c r="AM43" s="93"/>
      <c r="AN43" s="93"/>
      <c r="AO43" s="93"/>
      <c r="AP43" s="93"/>
      <c r="AQ43" s="93"/>
      <c r="AR43" s="93"/>
    </row>
    <row r="44" spans="1:44" ht="14.25">
      <c r="A44" s="52"/>
      <c r="B44" s="52"/>
      <c r="C44" s="52"/>
      <c r="D44" s="52"/>
      <c r="E44" s="52"/>
      <c r="F44" s="52"/>
      <c r="G44" s="52"/>
      <c r="H44" s="52"/>
      <c r="I44" s="52"/>
      <c r="J44" s="52"/>
      <c r="K44" s="52"/>
      <c r="L44" s="52"/>
      <c r="M44" s="52"/>
      <c r="N44" s="52"/>
      <c r="O44" s="52"/>
      <c r="P44" s="52"/>
      <c r="Q44" s="52"/>
      <c r="R44" s="52"/>
      <c r="S44" s="52"/>
      <c r="T44" s="52"/>
      <c r="U44" s="52"/>
      <c r="V44" s="52"/>
      <c r="W44" s="56"/>
      <c r="X44" s="52"/>
      <c r="Y44" s="52"/>
      <c r="Z44" s="52"/>
      <c r="AA44" s="52"/>
      <c r="AB44" s="52"/>
      <c r="AC44" s="52"/>
      <c r="AD44" s="57"/>
      <c r="AE44" s="3"/>
      <c r="AF44" s="3"/>
      <c r="AG44" s="4"/>
      <c r="AH44" s="4"/>
      <c r="AI44" s="4"/>
      <c r="AJ44" s="4"/>
      <c r="AK44" s="4"/>
      <c r="AL44" s="93"/>
      <c r="AM44" s="93"/>
      <c r="AN44" s="93"/>
      <c r="AO44" s="93"/>
      <c r="AP44" s="93"/>
      <c r="AQ44" s="93"/>
      <c r="AR44" s="93"/>
    </row>
    <row r="45" spans="1:44" ht="14.25">
      <c r="A45" s="52"/>
      <c r="B45" s="52"/>
      <c r="C45" s="52"/>
      <c r="D45" s="52"/>
      <c r="E45" s="52"/>
      <c r="F45" s="52"/>
      <c r="G45" s="52"/>
      <c r="H45" s="52"/>
      <c r="I45" s="52"/>
      <c r="J45" s="52"/>
      <c r="K45" s="52"/>
      <c r="L45" s="52"/>
      <c r="M45" s="52"/>
      <c r="N45" s="52"/>
      <c r="O45" s="52"/>
      <c r="P45" s="52"/>
      <c r="Q45" s="52"/>
      <c r="R45" s="52"/>
      <c r="S45" s="52"/>
      <c r="T45" s="52"/>
      <c r="U45" s="52"/>
      <c r="V45" s="52"/>
      <c r="W45" s="56"/>
      <c r="X45" s="52"/>
      <c r="Y45" s="52"/>
      <c r="Z45" s="52"/>
      <c r="AA45" s="52"/>
      <c r="AB45" s="52"/>
      <c r="AC45" s="52"/>
      <c r="AD45" s="57"/>
      <c r="AE45" s="3"/>
      <c r="AF45" s="3"/>
      <c r="AG45" s="4"/>
      <c r="AH45" s="4"/>
      <c r="AI45" s="4"/>
      <c r="AJ45" s="4"/>
      <c r="AK45" s="4"/>
      <c r="AL45" s="93"/>
      <c r="AM45" s="93"/>
      <c r="AN45" s="93"/>
      <c r="AO45" s="93"/>
      <c r="AP45" s="93"/>
      <c r="AQ45" s="93"/>
      <c r="AR45" s="93"/>
    </row>
    <row r="46" spans="1:44" ht="14.25">
      <c r="A46" s="52"/>
      <c r="B46" s="52"/>
      <c r="C46" s="52"/>
      <c r="D46" s="52"/>
      <c r="E46" s="52"/>
      <c r="F46" s="52"/>
      <c r="G46" s="52"/>
      <c r="H46" s="52"/>
      <c r="I46" s="52"/>
      <c r="J46" s="52"/>
      <c r="K46" s="52"/>
      <c r="L46" s="52"/>
      <c r="M46" s="52"/>
      <c r="N46" s="52"/>
      <c r="O46" s="52"/>
      <c r="P46" s="52"/>
      <c r="Q46" s="52"/>
      <c r="R46" s="52"/>
      <c r="S46" s="52"/>
      <c r="T46" s="52"/>
      <c r="U46" s="52"/>
      <c r="V46" s="52"/>
      <c r="W46" s="56"/>
      <c r="X46" s="52"/>
      <c r="Y46" s="52"/>
      <c r="Z46" s="52"/>
      <c r="AA46" s="52"/>
      <c r="AB46" s="52"/>
      <c r="AC46" s="52"/>
      <c r="AD46" s="57"/>
      <c r="AE46" s="3"/>
      <c r="AF46" s="3"/>
      <c r="AG46" s="4"/>
      <c r="AH46" s="4"/>
      <c r="AI46" s="4"/>
      <c r="AJ46" s="4"/>
      <c r="AK46" s="4"/>
      <c r="AL46" s="93"/>
      <c r="AM46" s="93"/>
      <c r="AN46" s="93"/>
      <c r="AO46" s="93"/>
      <c r="AP46" s="93"/>
      <c r="AQ46" s="93"/>
      <c r="AR46" s="93"/>
    </row>
    <row r="47" spans="1:44" ht="14.25">
      <c r="A47" s="52"/>
      <c r="B47" s="52"/>
      <c r="C47" s="52"/>
      <c r="D47" s="52"/>
      <c r="E47" s="52"/>
      <c r="F47" s="52"/>
      <c r="G47" s="52"/>
      <c r="H47" s="52"/>
      <c r="I47" s="52"/>
      <c r="J47" s="52"/>
      <c r="K47" s="52"/>
      <c r="L47" s="52"/>
      <c r="M47" s="52"/>
      <c r="N47" s="52"/>
      <c r="O47" s="52"/>
      <c r="P47" s="52"/>
      <c r="Q47" s="52"/>
      <c r="R47" s="52"/>
      <c r="S47" s="52"/>
      <c r="T47" s="52"/>
      <c r="U47" s="52"/>
      <c r="V47" s="52"/>
      <c r="W47" s="56"/>
      <c r="X47" s="52"/>
      <c r="Y47" s="52"/>
      <c r="Z47" s="52"/>
      <c r="AA47" s="52"/>
      <c r="AB47" s="52"/>
      <c r="AC47" s="52"/>
      <c r="AD47" s="57"/>
      <c r="AE47" s="3"/>
      <c r="AF47" s="3"/>
      <c r="AG47" s="4"/>
      <c r="AH47" s="4"/>
      <c r="AI47" s="4"/>
      <c r="AJ47" s="4"/>
      <c r="AK47" s="4"/>
      <c r="AL47" s="93"/>
      <c r="AM47" s="93"/>
      <c r="AN47" s="93"/>
      <c r="AO47" s="93"/>
      <c r="AP47" s="93"/>
      <c r="AQ47" s="93"/>
      <c r="AR47" s="93"/>
    </row>
    <row r="48" spans="1:44" ht="14.25">
      <c r="A48" s="52"/>
      <c r="B48" s="52"/>
      <c r="C48" s="52"/>
      <c r="D48" s="52"/>
      <c r="E48" s="52"/>
      <c r="F48" s="52"/>
      <c r="G48" s="52"/>
      <c r="H48" s="52"/>
      <c r="I48" s="52"/>
      <c r="J48" s="52"/>
      <c r="K48" s="52"/>
      <c r="L48" s="52"/>
      <c r="M48" s="52"/>
      <c r="N48" s="52"/>
      <c r="O48" s="52"/>
      <c r="P48" s="52"/>
      <c r="Q48" s="52"/>
      <c r="R48" s="52"/>
      <c r="S48" s="52"/>
      <c r="T48" s="52"/>
      <c r="U48" s="52"/>
      <c r="V48" s="52"/>
      <c r="W48" s="56"/>
      <c r="X48" s="52"/>
      <c r="Y48" s="52"/>
      <c r="Z48" s="52"/>
      <c r="AA48" s="52"/>
      <c r="AB48" s="52"/>
      <c r="AC48" s="52"/>
      <c r="AD48" s="57"/>
      <c r="AE48" s="3"/>
      <c r="AF48" s="3"/>
      <c r="AG48" s="4"/>
      <c r="AH48" s="4"/>
      <c r="AI48" s="4"/>
      <c r="AJ48" s="4"/>
      <c r="AK48" s="4"/>
      <c r="AL48" s="93"/>
      <c r="AM48" s="93"/>
      <c r="AN48" s="93"/>
      <c r="AO48" s="93"/>
      <c r="AP48" s="93"/>
      <c r="AQ48" s="93"/>
      <c r="AR48" s="93"/>
    </row>
    <row r="49" spans="1:44" ht="14.25">
      <c r="A49" s="52"/>
      <c r="B49" s="52"/>
      <c r="C49" s="52"/>
      <c r="D49" s="52"/>
      <c r="E49" s="52"/>
      <c r="F49" s="52"/>
      <c r="G49" s="52"/>
      <c r="H49" s="52"/>
      <c r="I49" s="52"/>
      <c r="J49" s="52"/>
      <c r="K49" s="52"/>
      <c r="L49" s="52"/>
      <c r="M49" s="52"/>
      <c r="N49" s="52"/>
      <c r="O49" s="52"/>
      <c r="P49" s="52"/>
      <c r="Q49" s="52"/>
      <c r="R49" s="52"/>
      <c r="S49" s="52"/>
      <c r="T49" s="52"/>
      <c r="U49" s="52"/>
      <c r="V49" s="52"/>
      <c r="W49" s="56"/>
      <c r="X49" s="52"/>
      <c r="Y49" s="52"/>
      <c r="Z49" s="52"/>
      <c r="AA49" s="52"/>
      <c r="AB49" s="52"/>
      <c r="AC49" s="52"/>
      <c r="AD49" s="57"/>
      <c r="AE49" s="3"/>
      <c r="AF49" s="3"/>
      <c r="AG49" s="4"/>
      <c r="AH49" s="4"/>
      <c r="AI49" s="4"/>
      <c r="AJ49" s="4"/>
      <c r="AK49" s="4"/>
      <c r="AL49" s="93"/>
      <c r="AM49" s="93"/>
      <c r="AN49" s="93"/>
      <c r="AO49" s="93"/>
      <c r="AP49" s="93"/>
      <c r="AQ49" s="93"/>
      <c r="AR49" s="93"/>
    </row>
    <row r="50" spans="1:44" ht="14.25">
      <c r="A50" s="52"/>
      <c r="B50" s="52"/>
      <c r="C50" s="52"/>
      <c r="D50" s="52"/>
      <c r="E50" s="52"/>
      <c r="F50" s="52"/>
      <c r="G50" s="52"/>
      <c r="H50" s="52"/>
      <c r="I50" s="52"/>
      <c r="J50" s="52"/>
      <c r="K50" s="52"/>
      <c r="L50" s="52"/>
      <c r="M50" s="52"/>
      <c r="N50" s="52"/>
      <c r="O50" s="52"/>
      <c r="P50" s="52"/>
      <c r="Q50" s="52"/>
      <c r="R50" s="52"/>
      <c r="S50" s="52"/>
      <c r="T50" s="52"/>
      <c r="U50" s="52"/>
      <c r="V50" s="52"/>
      <c r="W50" s="56"/>
      <c r="X50" s="52"/>
      <c r="Y50" s="52"/>
      <c r="Z50" s="52"/>
      <c r="AA50" s="52"/>
      <c r="AB50" s="52"/>
      <c r="AC50" s="52"/>
      <c r="AD50" s="57"/>
      <c r="AE50" s="3"/>
      <c r="AF50" s="3"/>
      <c r="AG50" s="4"/>
      <c r="AH50" s="4"/>
      <c r="AI50" s="4"/>
      <c r="AJ50" s="4"/>
      <c r="AK50" s="4"/>
      <c r="AL50" s="93"/>
      <c r="AM50" s="93"/>
      <c r="AN50" s="93"/>
      <c r="AO50" s="93"/>
      <c r="AP50" s="93"/>
      <c r="AQ50" s="93"/>
      <c r="AR50" s="93"/>
    </row>
    <row r="51" spans="1:44" ht="14.25">
      <c r="A51" s="52"/>
      <c r="B51" s="52"/>
      <c r="C51" s="52"/>
      <c r="D51" s="52"/>
      <c r="E51" s="52"/>
      <c r="F51" s="52"/>
      <c r="G51" s="52"/>
      <c r="H51" s="52"/>
      <c r="I51" s="52"/>
      <c r="J51" s="52"/>
      <c r="K51" s="52"/>
      <c r="L51" s="52"/>
      <c r="M51" s="52"/>
      <c r="N51" s="52"/>
      <c r="O51" s="52"/>
      <c r="P51" s="52"/>
      <c r="Q51" s="52"/>
      <c r="R51" s="52"/>
      <c r="S51" s="52"/>
      <c r="T51" s="52"/>
      <c r="U51" s="52"/>
      <c r="V51" s="52"/>
      <c r="W51" s="56"/>
      <c r="X51" s="52"/>
      <c r="Y51" s="52"/>
      <c r="Z51" s="52"/>
      <c r="AA51" s="52"/>
      <c r="AB51" s="52"/>
      <c r="AC51" s="52"/>
      <c r="AD51" s="57"/>
      <c r="AE51" s="3"/>
      <c r="AF51" s="3"/>
      <c r="AG51" s="4"/>
      <c r="AH51" s="4"/>
      <c r="AI51" s="4"/>
      <c r="AJ51" s="4"/>
      <c r="AK51" s="4"/>
      <c r="AL51" s="93"/>
      <c r="AM51" s="93"/>
      <c r="AN51" s="93"/>
      <c r="AO51" s="93"/>
      <c r="AP51" s="93"/>
      <c r="AQ51" s="93"/>
      <c r="AR51" s="93"/>
    </row>
    <row r="52" spans="1:44" ht="14.25">
      <c r="A52" s="52"/>
      <c r="B52" s="52"/>
      <c r="C52" s="52"/>
      <c r="D52" s="52"/>
      <c r="E52" s="52"/>
      <c r="F52" s="52"/>
      <c r="G52" s="52"/>
      <c r="H52" s="52"/>
      <c r="I52" s="52"/>
      <c r="J52" s="52"/>
      <c r="K52" s="52"/>
      <c r="L52" s="52"/>
      <c r="M52" s="52"/>
      <c r="N52" s="52"/>
      <c r="O52" s="52"/>
      <c r="P52" s="52"/>
      <c r="Q52" s="52"/>
      <c r="R52" s="52"/>
      <c r="S52" s="52"/>
      <c r="T52" s="52"/>
      <c r="U52" s="52"/>
      <c r="V52" s="52"/>
      <c r="W52" s="56"/>
      <c r="X52" s="52"/>
      <c r="Y52" s="52"/>
      <c r="Z52" s="52"/>
      <c r="AA52" s="52"/>
      <c r="AB52" s="52"/>
      <c r="AC52" s="52"/>
      <c r="AD52" s="57"/>
      <c r="AE52" s="3"/>
      <c r="AF52" s="3"/>
      <c r="AG52" s="4"/>
      <c r="AH52" s="4"/>
      <c r="AI52" s="4"/>
      <c r="AJ52" s="4"/>
      <c r="AK52" s="4"/>
      <c r="AL52" s="93"/>
      <c r="AM52" s="93"/>
      <c r="AN52" s="93"/>
      <c r="AO52" s="93"/>
      <c r="AP52" s="93"/>
      <c r="AQ52" s="93"/>
      <c r="AR52" s="93"/>
    </row>
    <row r="53" spans="1:44" ht="14.25">
      <c r="A53" s="52"/>
      <c r="B53" s="52"/>
      <c r="C53" s="52"/>
      <c r="D53" s="52"/>
      <c r="E53" s="52"/>
      <c r="F53" s="52"/>
      <c r="G53" s="52"/>
      <c r="H53" s="52"/>
      <c r="I53" s="52"/>
      <c r="J53" s="52"/>
      <c r="K53" s="52"/>
      <c r="L53" s="52"/>
      <c r="M53" s="52"/>
      <c r="N53" s="52"/>
      <c r="O53" s="52"/>
      <c r="P53" s="52"/>
      <c r="Q53" s="52"/>
      <c r="R53" s="52"/>
      <c r="S53" s="52"/>
      <c r="T53" s="52"/>
      <c r="U53" s="52"/>
      <c r="V53" s="52"/>
      <c r="W53" s="56"/>
      <c r="X53" s="52"/>
      <c r="Y53" s="52"/>
      <c r="Z53" s="52"/>
      <c r="AA53" s="52"/>
      <c r="AB53" s="52"/>
      <c r="AC53" s="52"/>
      <c r="AD53" s="57"/>
      <c r="AE53" s="3"/>
      <c r="AF53" s="3"/>
      <c r="AG53" s="4"/>
      <c r="AH53" s="4"/>
      <c r="AI53" s="4"/>
      <c r="AJ53" s="4"/>
      <c r="AK53" s="4"/>
      <c r="AL53" s="93"/>
      <c r="AM53" s="93"/>
      <c r="AN53" s="93"/>
      <c r="AO53" s="93"/>
      <c r="AP53" s="93"/>
      <c r="AQ53" s="93"/>
      <c r="AR53" s="93"/>
    </row>
    <row r="54" spans="1:44" ht="14.25">
      <c r="A54" s="52"/>
      <c r="B54" s="52"/>
      <c r="C54" s="52"/>
      <c r="D54" s="52"/>
      <c r="E54" s="52"/>
      <c r="F54" s="52"/>
      <c r="G54" s="52"/>
      <c r="H54" s="52"/>
      <c r="I54" s="52"/>
      <c r="J54" s="52"/>
      <c r="K54" s="52"/>
      <c r="L54" s="52"/>
      <c r="M54" s="52"/>
      <c r="N54" s="52"/>
      <c r="O54" s="52"/>
      <c r="P54" s="52"/>
      <c r="Q54" s="52"/>
      <c r="R54" s="52"/>
      <c r="S54" s="52"/>
      <c r="T54" s="52"/>
      <c r="U54" s="52"/>
      <c r="V54" s="52"/>
      <c r="W54" s="56"/>
      <c r="X54" s="52"/>
      <c r="Y54" s="52"/>
      <c r="Z54" s="52"/>
      <c r="AA54" s="52"/>
      <c r="AB54" s="52"/>
      <c r="AC54" s="52"/>
      <c r="AD54" s="57"/>
      <c r="AE54" s="3"/>
      <c r="AF54" s="3"/>
      <c r="AG54" s="4"/>
      <c r="AH54" s="4"/>
      <c r="AI54" s="4"/>
      <c r="AJ54" s="4"/>
      <c r="AK54" s="4"/>
      <c r="AL54" s="93"/>
      <c r="AM54" s="93"/>
      <c r="AN54" s="93"/>
      <c r="AO54" s="93"/>
      <c r="AP54" s="93"/>
      <c r="AQ54" s="93"/>
      <c r="AR54" s="93"/>
    </row>
    <row r="55" spans="1:44" ht="14.25">
      <c r="A55" s="52"/>
      <c r="B55" s="52"/>
      <c r="C55" s="52"/>
      <c r="D55" s="52"/>
      <c r="E55" s="52"/>
      <c r="F55" s="52"/>
      <c r="G55" s="52"/>
      <c r="H55" s="52"/>
      <c r="I55" s="52"/>
      <c r="J55" s="52"/>
      <c r="K55" s="52"/>
      <c r="L55" s="52"/>
      <c r="M55" s="52"/>
      <c r="N55" s="52"/>
      <c r="O55" s="52"/>
      <c r="P55" s="52"/>
      <c r="Q55" s="52"/>
      <c r="R55" s="52"/>
      <c r="S55" s="52"/>
      <c r="T55" s="52"/>
      <c r="U55" s="52"/>
      <c r="V55" s="52"/>
      <c r="W55" s="56"/>
      <c r="X55" s="52"/>
      <c r="Y55" s="52"/>
      <c r="Z55" s="52"/>
      <c r="AA55" s="52"/>
      <c r="AB55" s="52"/>
      <c r="AC55" s="52"/>
      <c r="AD55" s="57"/>
      <c r="AE55" s="3"/>
      <c r="AF55" s="3"/>
      <c r="AG55" s="4"/>
      <c r="AH55" s="4"/>
      <c r="AI55" s="4"/>
      <c r="AJ55" s="4"/>
      <c r="AK55" s="4"/>
      <c r="AL55" s="93"/>
      <c r="AM55" s="93"/>
      <c r="AN55" s="93"/>
      <c r="AO55" s="93"/>
      <c r="AP55" s="93"/>
      <c r="AQ55" s="93"/>
      <c r="AR55" s="93"/>
    </row>
    <row r="56" spans="1:44" ht="14.25">
      <c r="A56" s="52"/>
      <c r="B56" s="52"/>
      <c r="C56" s="52"/>
      <c r="D56" s="52"/>
      <c r="E56" s="52"/>
      <c r="F56" s="52"/>
      <c r="G56" s="52"/>
      <c r="H56" s="52"/>
      <c r="I56" s="52"/>
      <c r="J56" s="52"/>
      <c r="K56" s="52"/>
      <c r="L56" s="52"/>
      <c r="M56" s="52"/>
      <c r="N56" s="52"/>
      <c r="O56" s="52"/>
      <c r="P56" s="52"/>
      <c r="Q56" s="52"/>
      <c r="R56" s="52"/>
      <c r="S56" s="52"/>
      <c r="T56" s="52"/>
      <c r="U56" s="52"/>
      <c r="V56" s="52"/>
      <c r="W56" s="56"/>
      <c r="X56" s="52"/>
      <c r="Y56" s="52"/>
      <c r="Z56" s="52"/>
      <c r="AA56" s="52"/>
      <c r="AB56" s="52"/>
      <c r="AC56" s="52"/>
      <c r="AD56" s="57"/>
      <c r="AE56" s="3"/>
      <c r="AF56" s="3"/>
      <c r="AG56" s="4"/>
      <c r="AH56" s="4"/>
      <c r="AI56" s="4"/>
      <c r="AJ56" s="4"/>
      <c r="AK56" s="4"/>
      <c r="AL56" s="93"/>
      <c r="AM56" s="93"/>
      <c r="AN56" s="93"/>
      <c r="AO56" s="93"/>
      <c r="AP56" s="93"/>
      <c r="AQ56" s="93"/>
      <c r="AR56" s="93"/>
    </row>
    <row r="57" spans="1:44" ht="14.25">
      <c r="A57" s="52"/>
      <c r="B57" s="52"/>
      <c r="C57" s="52"/>
      <c r="D57" s="52"/>
      <c r="E57" s="52"/>
      <c r="F57" s="52"/>
      <c r="G57" s="52"/>
      <c r="H57" s="52"/>
      <c r="I57" s="52"/>
      <c r="J57" s="52"/>
      <c r="K57" s="52"/>
      <c r="L57" s="52"/>
      <c r="M57" s="52"/>
      <c r="N57" s="52"/>
      <c r="O57" s="52"/>
      <c r="P57" s="52"/>
      <c r="Q57" s="52"/>
      <c r="R57" s="52"/>
      <c r="S57" s="52"/>
      <c r="T57" s="52"/>
      <c r="U57" s="52"/>
      <c r="V57" s="52"/>
      <c r="W57" s="56"/>
      <c r="X57" s="52"/>
      <c r="Y57" s="52"/>
      <c r="Z57" s="52"/>
      <c r="AA57" s="52"/>
      <c r="AB57" s="52"/>
      <c r="AC57" s="52"/>
      <c r="AD57" s="57"/>
      <c r="AE57" s="3"/>
      <c r="AF57" s="3"/>
      <c r="AG57" s="4"/>
      <c r="AH57" s="4"/>
      <c r="AI57" s="4"/>
      <c r="AJ57" s="4"/>
      <c r="AK57" s="4"/>
      <c r="AL57" s="93"/>
      <c r="AM57" s="93"/>
      <c r="AN57" s="93"/>
      <c r="AO57" s="93"/>
      <c r="AP57" s="93"/>
      <c r="AQ57" s="93"/>
      <c r="AR57" s="93"/>
    </row>
    <row r="58" spans="1:44" ht="14.25">
      <c r="A58" s="52"/>
      <c r="B58" s="52"/>
      <c r="C58" s="52"/>
      <c r="D58" s="52"/>
      <c r="E58" s="52"/>
      <c r="F58" s="52"/>
      <c r="G58" s="52"/>
      <c r="H58" s="52"/>
      <c r="I58" s="52"/>
      <c r="J58" s="52"/>
      <c r="K58" s="52"/>
      <c r="L58" s="52"/>
      <c r="M58" s="52"/>
      <c r="N58" s="52"/>
      <c r="O58" s="52"/>
      <c r="P58" s="52"/>
      <c r="Q58" s="52"/>
      <c r="R58" s="52"/>
      <c r="S58" s="52"/>
      <c r="T58" s="52"/>
      <c r="U58" s="52"/>
      <c r="V58" s="52"/>
      <c r="W58" s="56"/>
      <c r="X58" s="52"/>
      <c r="Y58" s="52"/>
      <c r="Z58" s="52"/>
      <c r="AA58" s="52"/>
      <c r="AB58" s="52"/>
      <c r="AC58" s="52"/>
      <c r="AD58" s="57"/>
      <c r="AE58" s="3"/>
      <c r="AF58" s="3"/>
      <c r="AG58" s="4"/>
      <c r="AH58" s="4"/>
      <c r="AI58" s="4"/>
      <c r="AJ58" s="4"/>
      <c r="AK58" s="4"/>
      <c r="AL58" s="93"/>
      <c r="AM58" s="93"/>
      <c r="AN58" s="93"/>
      <c r="AO58" s="93"/>
      <c r="AP58" s="93"/>
      <c r="AQ58" s="93"/>
      <c r="AR58" s="93"/>
    </row>
    <row r="59" spans="1:44" ht="14.25">
      <c r="A59" s="52"/>
      <c r="B59" s="52"/>
      <c r="C59" s="52"/>
      <c r="D59" s="52"/>
      <c r="E59" s="52"/>
      <c r="F59" s="52"/>
      <c r="G59" s="52"/>
      <c r="H59" s="52"/>
      <c r="I59" s="52"/>
      <c r="J59" s="52"/>
      <c r="K59" s="52"/>
      <c r="L59" s="52"/>
      <c r="M59" s="52"/>
      <c r="N59" s="52"/>
      <c r="O59" s="52"/>
      <c r="P59" s="52"/>
      <c r="Q59" s="52"/>
      <c r="R59" s="52"/>
      <c r="S59" s="52"/>
      <c r="T59" s="52"/>
      <c r="U59" s="52"/>
      <c r="V59" s="52"/>
      <c r="W59" s="56"/>
      <c r="X59" s="52"/>
      <c r="Y59" s="52"/>
      <c r="Z59" s="52"/>
      <c r="AA59" s="52"/>
      <c r="AB59" s="52"/>
      <c r="AC59" s="52"/>
      <c r="AD59" s="57"/>
      <c r="AE59" s="3"/>
      <c r="AF59" s="3"/>
      <c r="AG59" s="4"/>
      <c r="AH59" s="4"/>
      <c r="AI59" s="4"/>
      <c r="AJ59" s="4"/>
      <c r="AK59" s="4"/>
      <c r="AL59" s="93"/>
      <c r="AM59" s="93"/>
      <c r="AN59" s="93"/>
      <c r="AO59" s="93"/>
      <c r="AP59" s="93"/>
      <c r="AQ59" s="93"/>
      <c r="AR59" s="93"/>
    </row>
    <row r="60" spans="1:44" ht="14.25">
      <c r="A60" s="52"/>
      <c r="B60" s="52"/>
      <c r="C60" s="52"/>
      <c r="D60" s="52"/>
      <c r="E60" s="52"/>
      <c r="F60" s="52"/>
      <c r="G60" s="52"/>
      <c r="H60" s="52"/>
      <c r="I60" s="52"/>
      <c r="J60" s="52"/>
      <c r="K60" s="52"/>
      <c r="L60" s="52"/>
      <c r="M60" s="52"/>
      <c r="N60" s="52"/>
      <c r="O60" s="52"/>
      <c r="P60" s="52"/>
      <c r="Q60" s="52"/>
      <c r="R60" s="52"/>
      <c r="S60" s="52"/>
      <c r="T60" s="52"/>
      <c r="U60" s="52"/>
      <c r="V60" s="52"/>
      <c r="W60" s="56"/>
      <c r="X60" s="52"/>
      <c r="Y60" s="52"/>
      <c r="Z60" s="52"/>
      <c r="AA60" s="52"/>
      <c r="AB60" s="52"/>
      <c r="AC60" s="52"/>
      <c r="AD60" s="57"/>
      <c r="AE60" s="3"/>
      <c r="AF60" s="3"/>
      <c r="AG60" s="4"/>
      <c r="AH60" s="4"/>
      <c r="AI60" s="4"/>
      <c r="AJ60" s="4"/>
      <c r="AK60" s="4"/>
      <c r="AL60" s="93"/>
      <c r="AM60" s="93"/>
      <c r="AN60" s="93"/>
      <c r="AO60" s="93"/>
      <c r="AP60" s="93"/>
      <c r="AQ60" s="93"/>
      <c r="AR60" s="93"/>
    </row>
    <row r="61" spans="1:44" ht="14.25">
      <c r="A61" s="52"/>
      <c r="B61" s="52"/>
      <c r="C61" s="52"/>
      <c r="D61" s="52"/>
      <c r="E61" s="52"/>
      <c r="F61" s="52"/>
      <c r="G61" s="52"/>
      <c r="H61" s="52"/>
      <c r="I61" s="52"/>
      <c r="J61" s="52"/>
      <c r="K61" s="52"/>
      <c r="L61" s="52"/>
      <c r="M61" s="52"/>
      <c r="N61" s="52"/>
      <c r="O61" s="52"/>
      <c r="P61" s="52"/>
      <c r="Q61" s="52"/>
      <c r="R61" s="52"/>
      <c r="S61" s="52"/>
      <c r="T61" s="52"/>
      <c r="U61" s="52"/>
      <c r="V61" s="52"/>
      <c r="W61" s="56"/>
      <c r="X61" s="52"/>
      <c r="Y61" s="52"/>
      <c r="Z61" s="52"/>
      <c r="AA61" s="52"/>
      <c r="AB61" s="52"/>
      <c r="AC61" s="52"/>
      <c r="AD61" s="57"/>
      <c r="AE61" s="3"/>
      <c r="AF61" s="3"/>
      <c r="AG61" s="4"/>
      <c r="AH61" s="4"/>
      <c r="AI61" s="4"/>
      <c r="AJ61" s="4"/>
      <c r="AK61" s="4"/>
      <c r="AL61" s="93"/>
      <c r="AM61" s="93"/>
      <c r="AN61" s="93"/>
      <c r="AO61" s="93"/>
      <c r="AP61" s="93"/>
      <c r="AQ61" s="93"/>
      <c r="AR61" s="93"/>
    </row>
    <row r="62" spans="1:44" ht="14.25">
      <c r="A62" s="52"/>
      <c r="B62" s="52"/>
      <c r="C62" s="52"/>
      <c r="D62" s="52"/>
      <c r="E62" s="52"/>
      <c r="F62" s="52"/>
      <c r="G62" s="52"/>
      <c r="H62" s="52"/>
      <c r="I62" s="52"/>
      <c r="J62" s="52"/>
      <c r="K62" s="52"/>
      <c r="L62" s="52"/>
      <c r="M62" s="52"/>
      <c r="N62" s="52"/>
      <c r="O62" s="52"/>
      <c r="P62" s="52"/>
      <c r="Q62" s="52"/>
      <c r="R62" s="52"/>
      <c r="S62" s="52"/>
      <c r="T62" s="52"/>
      <c r="U62" s="52"/>
      <c r="V62" s="52"/>
      <c r="W62" s="56"/>
      <c r="X62" s="52"/>
      <c r="Y62" s="52"/>
      <c r="Z62" s="52"/>
      <c r="AA62" s="52"/>
      <c r="AB62" s="52"/>
      <c r="AC62" s="52"/>
      <c r="AD62" s="57"/>
      <c r="AE62" s="3"/>
      <c r="AF62" s="3"/>
      <c r="AG62" s="4"/>
      <c r="AH62" s="4"/>
      <c r="AI62" s="4"/>
      <c r="AJ62" s="4"/>
      <c r="AK62" s="4"/>
      <c r="AL62" s="93"/>
      <c r="AM62" s="93"/>
      <c r="AN62" s="93"/>
      <c r="AO62" s="93"/>
      <c r="AP62" s="93"/>
      <c r="AQ62" s="93"/>
      <c r="AR62" s="93"/>
    </row>
    <row r="63" spans="1:44" ht="14.25">
      <c r="A63" s="52"/>
      <c r="B63" s="52"/>
      <c r="C63" s="52"/>
      <c r="D63" s="52"/>
      <c r="E63" s="52"/>
      <c r="F63" s="52"/>
      <c r="G63" s="52"/>
      <c r="H63" s="52"/>
      <c r="I63" s="52"/>
      <c r="J63" s="52"/>
      <c r="K63" s="52"/>
      <c r="L63" s="52"/>
      <c r="M63" s="52"/>
      <c r="N63" s="52"/>
      <c r="O63" s="52"/>
      <c r="P63" s="52"/>
      <c r="Q63" s="52"/>
      <c r="R63" s="52"/>
      <c r="S63" s="52"/>
      <c r="T63" s="52"/>
      <c r="U63" s="52"/>
      <c r="V63" s="52"/>
      <c r="W63" s="56"/>
      <c r="X63" s="52"/>
      <c r="Y63" s="52"/>
      <c r="Z63" s="52"/>
      <c r="AA63" s="52"/>
      <c r="AB63" s="52"/>
      <c r="AC63" s="52"/>
      <c r="AD63" s="57"/>
      <c r="AE63" s="3"/>
      <c r="AF63" s="3"/>
      <c r="AG63" s="4"/>
      <c r="AH63" s="4"/>
      <c r="AI63" s="4"/>
      <c r="AJ63" s="4"/>
      <c r="AK63" s="4"/>
      <c r="AL63" s="93"/>
      <c r="AM63" s="93"/>
      <c r="AN63" s="93"/>
      <c r="AO63" s="93"/>
      <c r="AP63" s="93"/>
      <c r="AQ63" s="93"/>
      <c r="AR63" s="93"/>
    </row>
    <row r="64" spans="1:44" ht="14.25">
      <c r="A64" s="52"/>
      <c r="B64" s="52"/>
      <c r="C64" s="52"/>
      <c r="D64" s="52"/>
      <c r="E64" s="52"/>
      <c r="F64" s="52"/>
      <c r="G64" s="52"/>
      <c r="H64" s="52"/>
      <c r="I64" s="52"/>
      <c r="J64" s="52"/>
      <c r="K64" s="52"/>
      <c r="L64" s="52"/>
      <c r="M64" s="52"/>
      <c r="N64" s="52"/>
      <c r="O64" s="52"/>
      <c r="P64" s="52"/>
      <c r="Q64" s="52"/>
      <c r="R64" s="52"/>
      <c r="S64" s="52"/>
      <c r="T64" s="52"/>
      <c r="U64" s="52"/>
      <c r="V64" s="52"/>
      <c r="W64" s="56"/>
      <c r="X64" s="52"/>
      <c r="Y64" s="52"/>
      <c r="Z64" s="52"/>
      <c r="AA64" s="52"/>
      <c r="AB64" s="52"/>
      <c r="AC64" s="52"/>
      <c r="AD64" s="57"/>
      <c r="AE64" s="3"/>
      <c r="AF64" s="3"/>
      <c r="AG64" s="4"/>
      <c r="AH64" s="4"/>
      <c r="AI64" s="4"/>
      <c r="AJ64" s="4"/>
      <c r="AK64" s="4"/>
      <c r="AL64" s="93"/>
      <c r="AM64" s="93"/>
      <c r="AN64" s="93"/>
      <c r="AO64" s="93"/>
      <c r="AP64" s="93"/>
      <c r="AQ64" s="93"/>
      <c r="AR64" s="93"/>
    </row>
    <row r="65" spans="1:44" ht="14.25">
      <c r="A65" s="52"/>
      <c r="B65" s="52"/>
      <c r="C65" s="52"/>
      <c r="D65" s="52"/>
      <c r="E65" s="52"/>
      <c r="F65" s="52"/>
      <c r="G65" s="52"/>
      <c r="H65" s="52"/>
      <c r="I65" s="52"/>
      <c r="J65" s="52"/>
      <c r="K65" s="52"/>
      <c r="L65" s="52"/>
      <c r="M65" s="52"/>
      <c r="N65" s="52"/>
      <c r="O65" s="52"/>
      <c r="P65" s="52"/>
      <c r="Q65" s="52"/>
      <c r="R65" s="52"/>
      <c r="S65" s="52"/>
      <c r="T65" s="52"/>
      <c r="U65" s="52"/>
      <c r="V65" s="52"/>
      <c r="W65" s="56"/>
      <c r="X65" s="52"/>
      <c r="Y65" s="52"/>
      <c r="Z65" s="52"/>
      <c r="AA65" s="52"/>
      <c r="AB65" s="52"/>
      <c r="AC65" s="52"/>
      <c r="AD65" s="57"/>
      <c r="AE65" s="3"/>
      <c r="AF65" s="3"/>
      <c r="AG65" s="4"/>
      <c r="AH65" s="4"/>
      <c r="AI65" s="4"/>
      <c r="AJ65" s="4"/>
      <c r="AK65" s="4"/>
      <c r="AL65" s="93"/>
      <c r="AM65" s="93"/>
      <c r="AN65" s="93"/>
      <c r="AO65" s="93"/>
      <c r="AP65" s="93"/>
      <c r="AQ65" s="93"/>
      <c r="AR65" s="93"/>
    </row>
    <row r="66" spans="1:44" ht="14.25">
      <c r="A66" s="52"/>
      <c r="B66" s="52"/>
      <c r="C66" s="52"/>
      <c r="D66" s="52"/>
      <c r="E66" s="52"/>
      <c r="F66" s="52"/>
      <c r="G66" s="52"/>
      <c r="H66" s="52"/>
      <c r="I66" s="52"/>
      <c r="J66" s="52"/>
      <c r="K66" s="52"/>
      <c r="L66" s="52"/>
      <c r="M66" s="52"/>
      <c r="N66" s="52"/>
      <c r="O66" s="52"/>
      <c r="P66" s="52"/>
      <c r="Q66" s="52"/>
      <c r="R66" s="52"/>
      <c r="S66" s="52"/>
      <c r="T66" s="52"/>
      <c r="U66" s="52"/>
      <c r="V66" s="52"/>
      <c r="W66" s="56"/>
      <c r="X66" s="52"/>
      <c r="Y66" s="52"/>
      <c r="Z66" s="52"/>
      <c r="AA66" s="52"/>
      <c r="AB66" s="52"/>
      <c r="AC66" s="52"/>
      <c r="AD66" s="57"/>
      <c r="AE66" s="3"/>
      <c r="AF66" s="3"/>
      <c r="AG66" s="4"/>
      <c r="AH66" s="4"/>
      <c r="AI66" s="4"/>
      <c r="AJ66" s="4"/>
      <c r="AK66" s="4"/>
      <c r="AL66" s="93"/>
      <c r="AM66" s="93"/>
      <c r="AN66" s="93"/>
      <c r="AO66" s="93"/>
      <c r="AP66" s="93"/>
      <c r="AQ66" s="93"/>
      <c r="AR66" s="93"/>
    </row>
    <row r="67" spans="1:44" ht="14.25">
      <c r="A67" s="52"/>
      <c r="B67" s="52"/>
      <c r="C67" s="52"/>
      <c r="D67" s="52"/>
      <c r="E67" s="52"/>
      <c r="F67" s="52"/>
      <c r="G67" s="52"/>
      <c r="H67" s="52"/>
      <c r="I67" s="52"/>
      <c r="J67" s="52"/>
      <c r="K67" s="52"/>
      <c r="L67" s="52"/>
      <c r="M67" s="52"/>
      <c r="N67" s="52"/>
      <c r="O67" s="52"/>
      <c r="P67" s="52"/>
      <c r="Q67" s="52"/>
      <c r="R67" s="52"/>
      <c r="S67" s="52"/>
      <c r="T67" s="52"/>
      <c r="U67" s="52"/>
      <c r="V67" s="52"/>
      <c r="W67" s="56"/>
      <c r="X67" s="52"/>
      <c r="Y67" s="52"/>
      <c r="Z67" s="52"/>
      <c r="AA67" s="52"/>
      <c r="AB67" s="52"/>
      <c r="AC67" s="52"/>
      <c r="AD67" s="57"/>
      <c r="AE67" s="3"/>
      <c r="AF67" s="3"/>
      <c r="AG67" s="4"/>
      <c r="AH67" s="4"/>
      <c r="AI67" s="4"/>
      <c r="AJ67" s="4"/>
      <c r="AK67" s="4"/>
      <c r="AL67" s="93"/>
      <c r="AM67" s="93"/>
      <c r="AN67" s="93"/>
      <c r="AO67" s="93"/>
      <c r="AP67" s="93"/>
      <c r="AQ67" s="93"/>
      <c r="AR67" s="93"/>
    </row>
    <row r="68" spans="1:44" ht="14.25">
      <c r="A68" s="52"/>
      <c r="B68" s="52"/>
      <c r="C68" s="52"/>
      <c r="D68" s="52"/>
      <c r="E68" s="52"/>
      <c r="F68" s="52"/>
      <c r="G68" s="52"/>
      <c r="H68" s="52"/>
      <c r="I68" s="52"/>
      <c r="J68" s="52"/>
      <c r="K68" s="52"/>
      <c r="L68" s="52"/>
      <c r="M68" s="52"/>
      <c r="N68" s="52"/>
      <c r="O68" s="52"/>
      <c r="P68" s="52"/>
      <c r="Q68" s="52"/>
      <c r="R68" s="52"/>
      <c r="S68" s="52"/>
      <c r="T68" s="52"/>
      <c r="U68" s="52"/>
      <c r="V68" s="52"/>
      <c r="W68" s="56"/>
      <c r="X68" s="52"/>
      <c r="Y68" s="52"/>
      <c r="Z68" s="52"/>
      <c r="AA68" s="52"/>
      <c r="AB68" s="52"/>
      <c r="AC68" s="52"/>
      <c r="AD68" s="57"/>
      <c r="AE68" s="3"/>
      <c r="AF68" s="3"/>
      <c r="AG68" s="4"/>
      <c r="AH68" s="4"/>
      <c r="AI68" s="4"/>
      <c r="AJ68" s="4"/>
      <c r="AK68" s="4"/>
      <c r="AL68" s="93"/>
      <c r="AM68" s="93"/>
      <c r="AN68" s="93"/>
      <c r="AO68" s="93"/>
      <c r="AP68" s="93"/>
      <c r="AQ68" s="93"/>
      <c r="AR68" s="93"/>
    </row>
    <row r="69" spans="1:44" ht="14.25">
      <c r="A69" s="52"/>
      <c r="B69" s="52"/>
      <c r="C69" s="52"/>
      <c r="D69" s="52"/>
      <c r="E69" s="52"/>
      <c r="F69" s="52"/>
      <c r="G69" s="52"/>
      <c r="H69" s="52"/>
      <c r="I69" s="52"/>
      <c r="J69" s="52"/>
      <c r="K69" s="52"/>
      <c r="L69" s="52"/>
      <c r="M69" s="52"/>
      <c r="N69" s="52"/>
      <c r="O69" s="52"/>
      <c r="P69" s="52"/>
      <c r="Q69" s="52"/>
      <c r="R69" s="52"/>
      <c r="S69" s="52"/>
      <c r="T69" s="52"/>
      <c r="U69" s="52"/>
      <c r="V69" s="52"/>
      <c r="W69" s="56"/>
      <c r="X69" s="52"/>
      <c r="Y69" s="52"/>
      <c r="Z69" s="52"/>
      <c r="AA69" s="52"/>
      <c r="AB69" s="52"/>
      <c r="AC69" s="52"/>
      <c r="AD69" s="57"/>
      <c r="AE69" s="3"/>
      <c r="AF69" s="3"/>
      <c r="AG69" s="4"/>
      <c r="AH69" s="4"/>
      <c r="AI69" s="4"/>
      <c r="AJ69" s="4"/>
      <c r="AK69" s="4"/>
      <c r="AL69" s="93"/>
      <c r="AM69" s="93"/>
      <c r="AN69" s="93"/>
      <c r="AO69" s="93"/>
      <c r="AP69" s="93"/>
      <c r="AQ69" s="93"/>
      <c r="AR69" s="93"/>
    </row>
    <row r="70" spans="1:44" ht="14.25">
      <c r="A70" s="52"/>
      <c r="B70" s="52"/>
      <c r="C70" s="52"/>
      <c r="D70" s="52"/>
      <c r="E70" s="52"/>
      <c r="F70" s="52"/>
      <c r="G70" s="52"/>
      <c r="H70" s="52"/>
      <c r="I70" s="52"/>
      <c r="J70" s="52"/>
      <c r="K70" s="52"/>
      <c r="L70" s="52"/>
      <c r="M70" s="52"/>
      <c r="N70" s="52"/>
      <c r="O70" s="52"/>
      <c r="P70" s="52"/>
      <c r="Q70" s="52"/>
      <c r="R70" s="52"/>
      <c r="S70" s="52"/>
      <c r="T70" s="52"/>
      <c r="U70" s="52"/>
      <c r="V70" s="52"/>
      <c r="W70" s="56"/>
      <c r="X70" s="52"/>
      <c r="Y70" s="52"/>
      <c r="Z70" s="52"/>
      <c r="AA70" s="52"/>
      <c r="AB70" s="52"/>
      <c r="AC70" s="52"/>
      <c r="AD70" s="57"/>
      <c r="AE70" s="3"/>
      <c r="AF70" s="3"/>
      <c r="AG70" s="4"/>
      <c r="AH70" s="4"/>
      <c r="AI70" s="4"/>
      <c r="AJ70" s="4"/>
      <c r="AK70" s="4"/>
      <c r="AL70" s="93"/>
      <c r="AM70" s="93"/>
      <c r="AN70" s="93"/>
      <c r="AO70" s="93"/>
      <c r="AP70" s="93"/>
      <c r="AQ70" s="93"/>
      <c r="AR70" s="93"/>
    </row>
    <row r="71" spans="1:44" ht="14.25">
      <c r="A71" s="52"/>
      <c r="B71" s="52"/>
      <c r="C71" s="52"/>
      <c r="D71" s="52"/>
      <c r="E71" s="52"/>
      <c r="F71" s="52"/>
      <c r="G71" s="52"/>
      <c r="H71" s="52"/>
      <c r="I71" s="52"/>
      <c r="J71" s="52"/>
      <c r="K71" s="52"/>
      <c r="L71" s="52"/>
      <c r="M71" s="52"/>
      <c r="N71" s="52"/>
      <c r="O71" s="52"/>
      <c r="P71" s="52"/>
      <c r="Q71" s="52"/>
      <c r="R71" s="52"/>
      <c r="S71" s="52"/>
      <c r="T71" s="52"/>
      <c r="U71" s="52"/>
      <c r="V71" s="52"/>
      <c r="W71" s="56"/>
      <c r="X71" s="52"/>
      <c r="Y71" s="52"/>
      <c r="Z71" s="52"/>
      <c r="AA71" s="52"/>
      <c r="AB71" s="52"/>
      <c r="AC71" s="52"/>
      <c r="AD71" s="57"/>
      <c r="AE71" s="3"/>
      <c r="AF71" s="3"/>
      <c r="AG71" s="4"/>
      <c r="AH71" s="4"/>
      <c r="AI71" s="4"/>
      <c r="AJ71" s="4"/>
      <c r="AK71" s="4"/>
      <c r="AL71" s="93"/>
      <c r="AM71" s="93"/>
      <c r="AN71" s="93"/>
      <c r="AO71" s="93"/>
      <c r="AP71" s="93"/>
      <c r="AQ71" s="93"/>
      <c r="AR71" s="93"/>
    </row>
    <row r="72" spans="1:44" ht="14.25">
      <c r="A72" s="52"/>
      <c r="B72" s="52"/>
      <c r="C72" s="52"/>
      <c r="D72" s="52"/>
      <c r="E72" s="52"/>
      <c r="F72" s="52"/>
      <c r="G72" s="52"/>
      <c r="H72" s="52"/>
      <c r="I72" s="52"/>
      <c r="J72" s="52"/>
      <c r="K72" s="52"/>
      <c r="L72" s="52"/>
      <c r="M72" s="52"/>
      <c r="N72" s="52"/>
      <c r="O72" s="52"/>
      <c r="P72" s="52"/>
      <c r="Q72" s="52"/>
      <c r="R72" s="52"/>
      <c r="S72" s="52"/>
      <c r="T72" s="52"/>
      <c r="U72" s="52"/>
      <c r="V72" s="52"/>
      <c r="W72" s="56"/>
      <c r="X72" s="52"/>
      <c r="Y72" s="52"/>
      <c r="Z72" s="52"/>
      <c r="AA72" s="52"/>
      <c r="AB72" s="52"/>
      <c r="AC72" s="52"/>
      <c r="AD72" s="57"/>
      <c r="AE72" s="3"/>
      <c r="AF72" s="3"/>
      <c r="AG72" s="4"/>
      <c r="AH72" s="4"/>
      <c r="AI72" s="4"/>
      <c r="AJ72" s="4"/>
      <c r="AK72" s="4"/>
      <c r="AL72" s="93"/>
      <c r="AM72" s="93"/>
      <c r="AN72" s="93"/>
      <c r="AO72" s="93"/>
      <c r="AP72" s="93"/>
      <c r="AQ72" s="93"/>
      <c r="AR72" s="93"/>
    </row>
    <row r="73" spans="1:44" ht="14.25">
      <c r="A73" s="52"/>
      <c r="B73" s="52"/>
      <c r="C73" s="52"/>
      <c r="D73" s="52"/>
      <c r="E73" s="52"/>
      <c r="F73" s="52"/>
      <c r="G73" s="52"/>
      <c r="H73" s="52"/>
      <c r="I73" s="52"/>
      <c r="J73" s="52"/>
      <c r="K73" s="52"/>
      <c r="L73" s="52"/>
      <c r="M73" s="52"/>
      <c r="N73" s="52"/>
      <c r="O73" s="52"/>
      <c r="P73" s="52"/>
      <c r="Q73" s="52"/>
      <c r="R73" s="52"/>
      <c r="S73" s="52"/>
      <c r="T73" s="52"/>
      <c r="U73" s="52"/>
      <c r="V73" s="52"/>
      <c r="W73" s="56"/>
      <c r="X73" s="52"/>
      <c r="Y73" s="52"/>
      <c r="Z73" s="52"/>
      <c r="AA73" s="52"/>
      <c r="AB73" s="52"/>
      <c r="AC73" s="52"/>
      <c r="AD73" s="57"/>
      <c r="AE73" s="3"/>
      <c r="AF73" s="3"/>
      <c r="AG73" s="4"/>
      <c r="AH73" s="4"/>
      <c r="AI73" s="4"/>
      <c r="AJ73" s="4"/>
      <c r="AK73" s="4"/>
      <c r="AL73" s="93"/>
      <c r="AM73" s="93"/>
      <c r="AN73" s="93"/>
      <c r="AO73" s="93"/>
      <c r="AP73" s="93"/>
      <c r="AQ73" s="93"/>
      <c r="AR73" s="93"/>
    </row>
    <row r="74" spans="1:44" ht="14.25">
      <c r="A74" s="52"/>
      <c r="B74" s="52"/>
      <c r="C74" s="52"/>
      <c r="D74" s="52"/>
      <c r="E74" s="52"/>
      <c r="F74" s="52"/>
      <c r="G74" s="52"/>
      <c r="H74" s="52"/>
      <c r="I74" s="52"/>
      <c r="J74" s="52"/>
      <c r="K74" s="52"/>
      <c r="L74" s="52"/>
      <c r="M74" s="52"/>
      <c r="N74" s="52"/>
      <c r="O74" s="52"/>
      <c r="P74" s="52"/>
      <c r="Q74" s="52"/>
      <c r="R74" s="52"/>
      <c r="S74" s="52"/>
      <c r="T74" s="52"/>
      <c r="U74" s="52"/>
      <c r="V74" s="52"/>
      <c r="W74" s="56"/>
      <c r="X74" s="52"/>
      <c r="Y74" s="52"/>
      <c r="Z74" s="52"/>
      <c r="AA74" s="52"/>
      <c r="AB74" s="52"/>
      <c r="AC74" s="52"/>
      <c r="AD74" s="57"/>
      <c r="AE74" s="3"/>
      <c r="AF74" s="3"/>
      <c r="AG74" s="4"/>
      <c r="AH74" s="4"/>
      <c r="AI74" s="4"/>
      <c r="AJ74" s="4"/>
      <c r="AK74" s="4"/>
      <c r="AL74" s="93"/>
      <c r="AM74" s="93"/>
      <c r="AN74" s="93"/>
      <c r="AO74" s="93"/>
      <c r="AP74" s="93"/>
      <c r="AQ74" s="93"/>
      <c r="AR74" s="93"/>
    </row>
    <row r="75" spans="1:44" ht="14.25">
      <c r="A75" s="52"/>
      <c r="B75" s="52"/>
      <c r="C75" s="52"/>
      <c r="D75" s="52"/>
      <c r="E75" s="52"/>
      <c r="F75" s="52"/>
      <c r="G75" s="52"/>
      <c r="H75" s="52"/>
      <c r="I75" s="52"/>
      <c r="J75" s="52"/>
      <c r="K75" s="52"/>
      <c r="L75" s="52"/>
      <c r="M75" s="52"/>
      <c r="N75" s="52"/>
      <c r="O75" s="52"/>
      <c r="P75" s="52"/>
      <c r="Q75" s="52"/>
      <c r="R75" s="52"/>
      <c r="S75" s="52"/>
      <c r="T75" s="52"/>
      <c r="U75" s="52"/>
      <c r="V75" s="52"/>
      <c r="W75" s="56"/>
      <c r="X75" s="52"/>
      <c r="Y75" s="52"/>
      <c r="Z75" s="52"/>
      <c r="AA75" s="52"/>
      <c r="AB75" s="52"/>
      <c r="AC75" s="52"/>
      <c r="AD75" s="57"/>
      <c r="AE75" s="3"/>
      <c r="AF75" s="3"/>
      <c r="AG75" s="4"/>
      <c r="AH75" s="4"/>
      <c r="AI75" s="4"/>
      <c r="AJ75" s="4"/>
      <c r="AK75" s="4"/>
      <c r="AL75" s="93"/>
      <c r="AM75" s="93"/>
      <c r="AN75" s="93"/>
      <c r="AO75" s="93"/>
      <c r="AP75" s="93"/>
      <c r="AQ75" s="93"/>
      <c r="AR75" s="93"/>
    </row>
    <row r="76" spans="1:44" ht="14.25">
      <c r="A76" s="52"/>
      <c r="B76" s="52"/>
      <c r="C76" s="52"/>
      <c r="D76" s="52"/>
      <c r="E76" s="52"/>
      <c r="F76" s="52"/>
      <c r="G76" s="52"/>
      <c r="H76" s="52"/>
      <c r="I76" s="52"/>
      <c r="J76" s="52"/>
      <c r="K76" s="52"/>
      <c r="L76" s="52"/>
      <c r="M76" s="52"/>
      <c r="N76" s="52"/>
      <c r="O76" s="52"/>
      <c r="P76" s="52"/>
      <c r="Q76" s="52"/>
      <c r="R76" s="52"/>
      <c r="S76" s="52"/>
      <c r="T76" s="52"/>
      <c r="U76" s="52"/>
      <c r="V76" s="52"/>
      <c r="W76" s="56"/>
      <c r="X76" s="52"/>
      <c r="Y76" s="52"/>
      <c r="Z76" s="52"/>
      <c r="AA76" s="52"/>
      <c r="AB76" s="52"/>
      <c r="AC76" s="52"/>
      <c r="AD76" s="57"/>
      <c r="AE76" s="3"/>
      <c r="AF76" s="3"/>
      <c r="AG76" s="4"/>
      <c r="AH76" s="4"/>
      <c r="AI76" s="4"/>
      <c r="AJ76" s="4"/>
      <c r="AK76" s="4"/>
      <c r="AL76" s="93"/>
      <c r="AM76" s="93"/>
      <c r="AN76" s="93"/>
      <c r="AO76" s="93"/>
      <c r="AP76" s="93"/>
      <c r="AQ76" s="93"/>
      <c r="AR76" s="93"/>
    </row>
    <row r="77" spans="1:44" ht="14.25">
      <c r="A77" s="52"/>
      <c r="B77" s="52"/>
      <c r="C77" s="52"/>
      <c r="D77" s="52"/>
      <c r="E77" s="52"/>
      <c r="F77" s="52"/>
      <c r="G77" s="52"/>
      <c r="H77" s="52"/>
      <c r="I77" s="52"/>
      <c r="J77" s="52"/>
      <c r="K77" s="52"/>
      <c r="L77" s="52"/>
      <c r="M77" s="52"/>
      <c r="N77" s="52"/>
      <c r="O77" s="52"/>
      <c r="P77" s="52"/>
      <c r="Q77" s="52"/>
      <c r="R77" s="52"/>
      <c r="S77" s="52"/>
      <c r="T77" s="52"/>
      <c r="U77" s="52"/>
      <c r="V77" s="52"/>
      <c r="W77" s="56"/>
      <c r="X77" s="52"/>
      <c r="Y77" s="52"/>
      <c r="Z77" s="52"/>
      <c r="AA77" s="52"/>
      <c r="AB77" s="52"/>
      <c r="AC77" s="52"/>
      <c r="AD77" s="57"/>
      <c r="AE77" s="3"/>
      <c r="AF77" s="3"/>
      <c r="AG77" s="4"/>
      <c r="AH77" s="4"/>
      <c r="AI77" s="4"/>
      <c r="AJ77" s="4"/>
      <c r="AK77" s="4"/>
      <c r="AL77" s="93"/>
      <c r="AM77" s="93"/>
      <c r="AN77" s="93"/>
      <c r="AO77" s="93"/>
      <c r="AP77" s="93"/>
      <c r="AQ77" s="93"/>
      <c r="AR77" s="93"/>
    </row>
    <row r="78" spans="1:44" ht="14.25">
      <c r="A78" s="52"/>
      <c r="B78" s="52"/>
      <c r="C78" s="52"/>
      <c r="D78" s="52"/>
      <c r="E78" s="52"/>
      <c r="F78" s="52"/>
      <c r="G78" s="52"/>
      <c r="H78" s="52"/>
      <c r="I78" s="52"/>
      <c r="J78" s="52"/>
      <c r="K78" s="52"/>
      <c r="L78" s="52"/>
      <c r="M78" s="52"/>
      <c r="N78" s="52"/>
      <c r="O78" s="52"/>
      <c r="P78" s="52"/>
      <c r="Q78" s="52"/>
      <c r="R78" s="52"/>
      <c r="S78" s="52"/>
      <c r="T78" s="52"/>
      <c r="U78" s="52"/>
      <c r="V78" s="52"/>
      <c r="W78" s="56"/>
      <c r="X78" s="52"/>
      <c r="Y78" s="52"/>
      <c r="Z78" s="52"/>
      <c r="AA78" s="52"/>
      <c r="AB78" s="52"/>
      <c r="AC78" s="52"/>
      <c r="AD78" s="57"/>
      <c r="AE78" s="3"/>
      <c r="AF78" s="3"/>
      <c r="AG78" s="4"/>
      <c r="AH78" s="4"/>
      <c r="AI78" s="4"/>
      <c r="AJ78" s="4"/>
      <c r="AK78" s="4"/>
      <c r="AL78" s="93"/>
      <c r="AM78" s="93"/>
      <c r="AN78" s="93"/>
      <c r="AO78" s="93"/>
      <c r="AP78" s="93"/>
      <c r="AQ78" s="93"/>
      <c r="AR78" s="93"/>
    </row>
    <row r="79" spans="1:44" ht="14.25">
      <c r="A79" s="52"/>
      <c r="B79" s="52"/>
      <c r="C79" s="52"/>
      <c r="D79" s="52"/>
      <c r="E79" s="52"/>
      <c r="F79" s="52"/>
      <c r="G79" s="52"/>
      <c r="H79" s="52"/>
      <c r="I79" s="52"/>
      <c r="J79" s="52"/>
      <c r="K79" s="52"/>
      <c r="L79" s="52"/>
      <c r="M79" s="52"/>
      <c r="N79" s="52"/>
      <c r="O79" s="52"/>
      <c r="P79" s="52"/>
      <c r="Q79" s="52"/>
      <c r="R79" s="52"/>
      <c r="S79" s="52"/>
      <c r="T79" s="52"/>
      <c r="U79" s="52"/>
      <c r="V79" s="52"/>
      <c r="W79" s="56"/>
      <c r="X79" s="52"/>
      <c r="Y79" s="52"/>
      <c r="Z79" s="52"/>
      <c r="AA79" s="52"/>
      <c r="AB79" s="52"/>
      <c r="AC79" s="52"/>
      <c r="AD79" s="57"/>
      <c r="AE79" s="3"/>
      <c r="AF79" s="3"/>
      <c r="AG79" s="4"/>
      <c r="AH79" s="4"/>
      <c r="AI79" s="4"/>
      <c r="AJ79" s="4"/>
      <c r="AK79" s="4"/>
      <c r="AL79" s="93"/>
      <c r="AM79" s="93"/>
      <c r="AN79" s="93"/>
      <c r="AO79" s="93"/>
      <c r="AP79" s="93"/>
      <c r="AQ79" s="93"/>
      <c r="AR79" s="93"/>
    </row>
    <row r="80" spans="1:44" ht="14.25">
      <c r="A80" s="52"/>
      <c r="B80" s="52"/>
      <c r="C80" s="52"/>
      <c r="D80" s="52"/>
      <c r="E80" s="52"/>
      <c r="F80" s="52"/>
      <c r="G80" s="52"/>
      <c r="H80" s="52"/>
      <c r="I80" s="52"/>
      <c r="J80" s="52"/>
      <c r="K80" s="52"/>
      <c r="L80" s="52"/>
      <c r="M80" s="52"/>
      <c r="N80" s="52"/>
      <c r="O80" s="52"/>
      <c r="P80" s="52"/>
      <c r="Q80" s="52"/>
      <c r="R80" s="52"/>
      <c r="S80" s="52"/>
      <c r="T80" s="52"/>
      <c r="U80" s="52"/>
      <c r="V80" s="52"/>
      <c r="W80" s="56"/>
      <c r="X80" s="52"/>
      <c r="Y80" s="52"/>
      <c r="Z80" s="52"/>
      <c r="AA80" s="52"/>
      <c r="AB80" s="52"/>
      <c r="AC80" s="52"/>
      <c r="AD80" s="57"/>
      <c r="AE80" s="3"/>
      <c r="AF80" s="3"/>
      <c r="AG80" s="4"/>
      <c r="AH80" s="4"/>
      <c r="AI80" s="4"/>
      <c r="AJ80" s="4"/>
      <c r="AK80" s="4"/>
      <c r="AL80" s="93"/>
      <c r="AM80" s="93"/>
      <c r="AN80" s="93"/>
      <c r="AO80" s="93"/>
      <c r="AP80" s="93"/>
      <c r="AQ80" s="93"/>
      <c r="AR80" s="93"/>
    </row>
    <row r="81" spans="1:44" ht="14.25">
      <c r="A81" s="52"/>
      <c r="B81" s="52"/>
      <c r="C81" s="52"/>
      <c r="D81" s="52"/>
      <c r="E81" s="52"/>
      <c r="F81" s="52"/>
      <c r="G81" s="52"/>
      <c r="H81" s="52"/>
      <c r="I81" s="52"/>
      <c r="J81" s="52"/>
      <c r="K81" s="52"/>
      <c r="L81" s="52"/>
      <c r="M81" s="52"/>
      <c r="N81" s="52"/>
      <c r="O81" s="52"/>
      <c r="P81" s="52"/>
      <c r="Q81" s="52"/>
      <c r="R81" s="52"/>
      <c r="S81" s="52"/>
      <c r="T81" s="52"/>
      <c r="U81" s="52"/>
      <c r="V81" s="52"/>
      <c r="W81" s="56"/>
      <c r="X81" s="52"/>
      <c r="Y81" s="52"/>
      <c r="Z81" s="52"/>
      <c r="AA81" s="52"/>
      <c r="AB81" s="52"/>
      <c r="AC81" s="52"/>
      <c r="AD81" s="57"/>
      <c r="AE81" s="3"/>
      <c r="AF81" s="3"/>
      <c r="AG81" s="4"/>
      <c r="AH81" s="4"/>
      <c r="AI81" s="4"/>
      <c r="AJ81" s="4"/>
      <c r="AK81" s="4"/>
      <c r="AL81" s="93"/>
      <c r="AM81" s="93"/>
      <c r="AN81" s="93"/>
      <c r="AO81" s="93"/>
      <c r="AP81" s="93"/>
      <c r="AQ81" s="93"/>
      <c r="AR81" s="93"/>
    </row>
    <row r="82" spans="1:44" ht="14.25">
      <c r="A82" s="52"/>
      <c r="B82" s="52"/>
      <c r="C82" s="52"/>
      <c r="D82" s="52"/>
      <c r="E82" s="52"/>
      <c r="F82" s="52"/>
      <c r="G82" s="52"/>
      <c r="H82" s="52"/>
      <c r="I82" s="52"/>
      <c r="J82" s="52"/>
      <c r="K82" s="52"/>
      <c r="L82" s="52"/>
      <c r="M82" s="52"/>
      <c r="N82" s="52"/>
      <c r="O82" s="52"/>
      <c r="P82" s="52"/>
      <c r="Q82" s="52"/>
      <c r="R82" s="52"/>
      <c r="S82" s="52"/>
      <c r="T82" s="52"/>
      <c r="U82" s="52"/>
      <c r="V82" s="52"/>
      <c r="W82" s="56"/>
      <c r="X82" s="52"/>
      <c r="Y82" s="52"/>
      <c r="Z82" s="52"/>
      <c r="AA82" s="52"/>
      <c r="AB82" s="52"/>
      <c r="AC82" s="52"/>
      <c r="AD82" s="57"/>
      <c r="AE82" s="3"/>
      <c r="AF82" s="3"/>
      <c r="AG82" s="4"/>
      <c r="AH82" s="4"/>
      <c r="AI82" s="4"/>
      <c r="AJ82" s="4"/>
      <c r="AK82" s="4"/>
      <c r="AL82" s="93"/>
      <c r="AM82" s="93"/>
      <c r="AN82" s="93"/>
      <c r="AO82" s="93"/>
      <c r="AP82" s="93"/>
      <c r="AQ82" s="93"/>
      <c r="AR82" s="93"/>
    </row>
    <row r="83" spans="1:44" ht="14.25">
      <c r="A83" s="52"/>
      <c r="B83" s="52"/>
      <c r="C83" s="52"/>
      <c r="D83" s="52"/>
      <c r="E83" s="52"/>
      <c r="F83" s="52"/>
      <c r="G83" s="52"/>
      <c r="H83" s="52"/>
      <c r="I83" s="52"/>
      <c r="J83" s="52"/>
      <c r="K83" s="52"/>
      <c r="L83" s="52"/>
      <c r="M83" s="52"/>
      <c r="N83" s="52"/>
      <c r="O83" s="52"/>
      <c r="P83" s="52"/>
      <c r="Q83" s="52"/>
      <c r="R83" s="52"/>
      <c r="S83" s="52"/>
      <c r="T83" s="52"/>
      <c r="U83" s="52"/>
      <c r="V83" s="52"/>
      <c r="W83" s="56"/>
      <c r="X83" s="52"/>
      <c r="Y83" s="52"/>
      <c r="Z83" s="52"/>
      <c r="AA83" s="52"/>
      <c r="AB83" s="52"/>
      <c r="AC83" s="52"/>
      <c r="AD83" s="57"/>
      <c r="AE83" s="3"/>
      <c r="AF83" s="3"/>
      <c r="AG83" s="4"/>
      <c r="AH83" s="4"/>
      <c r="AI83" s="4"/>
      <c r="AJ83" s="4"/>
      <c r="AK83" s="4"/>
      <c r="AL83" s="93"/>
      <c r="AM83" s="93"/>
      <c r="AN83" s="93"/>
      <c r="AO83" s="93"/>
      <c r="AP83" s="93"/>
      <c r="AQ83" s="93"/>
      <c r="AR83" s="93"/>
    </row>
    <row r="84" spans="1:44" ht="14.25">
      <c r="A84" s="52"/>
      <c r="B84" s="52"/>
      <c r="C84" s="52"/>
      <c r="D84" s="52"/>
      <c r="E84" s="52"/>
      <c r="F84" s="52"/>
      <c r="G84" s="52"/>
      <c r="H84" s="52"/>
      <c r="I84" s="52"/>
      <c r="J84" s="52"/>
      <c r="K84" s="52"/>
      <c r="L84" s="52"/>
      <c r="M84" s="52"/>
      <c r="N84" s="52"/>
      <c r="O84" s="52"/>
      <c r="P84" s="52"/>
      <c r="Q84" s="52"/>
      <c r="R84" s="52"/>
      <c r="S84" s="52"/>
      <c r="T84" s="52"/>
      <c r="U84" s="52"/>
      <c r="V84" s="52"/>
      <c r="W84" s="56"/>
      <c r="X84" s="52"/>
      <c r="Y84" s="52"/>
      <c r="Z84" s="52"/>
      <c r="AA84" s="52"/>
      <c r="AB84" s="52"/>
      <c r="AC84" s="52"/>
      <c r="AD84" s="57"/>
      <c r="AE84" s="3"/>
      <c r="AF84" s="3"/>
      <c r="AG84" s="4"/>
      <c r="AH84" s="4"/>
      <c r="AI84" s="4"/>
      <c r="AJ84" s="4"/>
      <c r="AK84" s="4"/>
      <c r="AL84" s="93"/>
      <c r="AM84" s="93"/>
      <c r="AN84" s="93"/>
      <c r="AO84" s="93"/>
      <c r="AP84" s="93"/>
      <c r="AQ84" s="93"/>
      <c r="AR84" s="93"/>
    </row>
    <row r="85" spans="1:44" ht="14.25">
      <c r="A85" s="52"/>
      <c r="B85" s="52"/>
      <c r="C85" s="52"/>
      <c r="D85" s="52"/>
      <c r="E85" s="52"/>
      <c r="F85" s="52"/>
      <c r="G85" s="52"/>
      <c r="H85" s="52"/>
      <c r="I85" s="52"/>
      <c r="J85" s="52"/>
      <c r="K85" s="52"/>
      <c r="L85" s="52"/>
      <c r="M85" s="52"/>
      <c r="N85" s="52"/>
      <c r="O85" s="52"/>
      <c r="P85" s="52"/>
      <c r="Q85" s="52"/>
      <c r="R85" s="52"/>
      <c r="S85" s="52"/>
      <c r="T85" s="52"/>
      <c r="U85" s="52"/>
      <c r="V85" s="52"/>
      <c r="W85" s="56"/>
      <c r="X85" s="52"/>
      <c r="Y85" s="52"/>
      <c r="Z85" s="52"/>
      <c r="AA85" s="52"/>
      <c r="AB85" s="52"/>
      <c r="AC85" s="52"/>
      <c r="AD85" s="57"/>
      <c r="AE85" s="3"/>
      <c r="AF85" s="3"/>
      <c r="AG85" s="4"/>
      <c r="AH85" s="4"/>
      <c r="AI85" s="4"/>
      <c r="AJ85" s="4"/>
      <c r="AK85" s="4"/>
      <c r="AL85" s="93"/>
      <c r="AM85" s="93"/>
      <c r="AN85" s="93"/>
      <c r="AO85" s="93"/>
      <c r="AP85" s="93"/>
      <c r="AQ85" s="93"/>
      <c r="AR85" s="93"/>
    </row>
    <row r="86" spans="1:44" ht="14.25">
      <c r="A86" s="52"/>
      <c r="B86" s="52"/>
      <c r="C86" s="52"/>
      <c r="D86" s="52"/>
      <c r="E86" s="52"/>
      <c r="F86" s="52"/>
      <c r="G86" s="52"/>
      <c r="H86" s="52"/>
      <c r="I86" s="52"/>
      <c r="J86" s="52"/>
      <c r="K86" s="52"/>
      <c r="L86" s="52"/>
      <c r="M86" s="52"/>
      <c r="N86" s="52"/>
      <c r="O86" s="52"/>
      <c r="P86" s="52"/>
      <c r="Q86" s="52"/>
      <c r="R86" s="52"/>
      <c r="S86" s="52"/>
      <c r="T86" s="52"/>
      <c r="U86" s="52"/>
      <c r="V86" s="52"/>
      <c r="W86" s="56"/>
      <c r="X86" s="52"/>
      <c r="Y86" s="52"/>
      <c r="Z86" s="52"/>
      <c r="AA86" s="52"/>
      <c r="AB86" s="52"/>
      <c r="AC86" s="52"/>
      <c r="AD86" s="57"/>
      <c r="AE86" s="3"/>
      <c r="AF86" s="3"/>
      <c r="AG86" s="4"/>
      <c r="AH86" s="4"/>
      <c r="AI86" s="4"/>
      <c r="AJ86" s="4"/>
      <c r="AK86" s="4"/>
      <c r="AL86" s="93"/>
      <c r="AM86" s="93"/>
      <c r="AN86" s="93"/>
      <c r="AO86" s="93"/>
      <c r="AP86" s="93"/>
      <c r="AQ86" s="93"/>
      <c r="AR86" s="93"/>
    </row>
    <row r="87" spans="1:44" ht="14.25">
      <c r="A87" s="52"/>
      <c r="B87" s="52"/>
      <c r="C87" s="52"/>
      <c r="D87" s="52"/>
      <c r="E87" s="52"/>
      <c r="F87" s="52"/>
      <c r="G87" s="52"/>
      <c r="H87" s="52"/>
      <c r="I87" s="52"/>
      <c r="J87" s="52"/>
      <c r="K87" s="52"/>
      <c r="L87" s="52"/>
      <c r="M87" s="52"/>
      <c r="N87" s="52"/>
      <c r="O87" s="52"/>
      <c r="P87" s="52"/>
      <c r="Q87" s="52"/>
      <c r="R87" s="52"/>
      <c r="S87" s="52"/>
      <c r="T87" s="52"/>
      <c r="U87" s="52"/>
      <c r="V87" s="52"/>
      <c r="W87" s="56"/>
      <c r="X87" s="52"/>
      <c r="Y87" s="52"/>
      <c r="Z87" s="52"/>
      <c r="AA87" s="52"/>
      <c r="AB87" s="52"/>
      <c r="AC87" s="52"/>
      <c r="AD87" s="57"/>
      <c r="AE87" s="3"/>
      <c r="AF87" s="3"/>
      <c r="AG87" s="4"/>
      <c r="AH87" s="4"/>
      <c r="AI87" s="4"/>
      <c r="AJ87" s="4"/>
      <c r="AK87" s="4"/>
      <c r="AL87" s="93"/>
      <c r="AM87" s="93"/>
      <c r="AN87" s="93"/>
      <c r="AO87" s="93"/>
      <c r="AP87" s="93"/>
      <c r="AQ87" s="93"/>
      <c r="AR87" s="93"/>
    </row>
    <row r="88" spans="1:44" ht="14.25">
      <c r="A88" s="52"/>
      <c r="B88" s="52"/>
      <c r="C88" s="52"/>
      <c r="D88" s="52"/>
      <c r="E88" s="52"/>
      <c r="F88" s="52"/>
      <c r="G88" s="52"/>
      <c r="H88" s="52"/>
      <c r="I88" s="52"/>
      <c r="J88" s="52"/>
      <c r="K88" s="52"/>
      <c r="L88" s="52"/>
      <c r="M88" s="52"/>
      <c r="N88" s="52"/>
      <c r="O88" s="52"/>
      <c r="P88" s="52"/>
      <c r="Q88" s="52"/>
      <c r="R88" s="52"/>
      <c r="S88" s="52"/>
      <c r="T88" s="52"/>
      <c r="U88" s="52"/>
      <c r="V88" s="52"/>
      <c r="W88" s="56"/>
      <c r="X88" s="52"/>
      <c r="Y88" s="52"/>
      <c r="Z88" s="52"/>
      <c r="AA88" s="52"/>
      <c r="AB88" s="52"/>
      <c r="AC88" s="52"/>
      <c r="AD88" s="57"/>
      <c r="AE88" s="3"/>
      <c r="AF88" s="3"/>
      <c r="AG88" s="4"/>
      <c r="AH88" s="4"/>
      <c r="AI88" s="4"/>
      <c r="AJ88" s="4"/>
      <c r="AK88" s="4"/>
      <c r="AL88" s="93"/>
      <c r="AM88" s="93"/>
      <c r="AN88" s="93"/>
      <c r="AO88" s="93"/>
      <c r="AP88" s="93"/>
      <c r="AQ88" s="93"/>
      <c r="AR88" s="93"/>
    </row>
    <row r="89" spans="1:44" ht="14.25">
      <c r="A89" s="52"/>
      <c r="B89" s="52"/>
      <c r="C89" s="52"/>
      <c r="D89" s="52"/>
      <c r="E89" s="52"/>
      <c r="F89" s="52"/>
      <c r="G89" s="52"/>
      <c r="H89" s="52"/>
      <c r="I89" s="52"/>
      <c r="J89" s="52"/>
      <c r="K89" s="52"/>
      <c r="L89" s="52"/>
      <c r="M89" s="52"/>
      <c r="N89" s="52"/>
      <c r="O89" s="52"/>
      <c r="P89" s="52"/>
      <c r="Q89" s="52"/>
      <c r="R89" s="52"/>
      <c r="S89" s="52"/>
      <c r="T89" s="52"/>
      <c r="U89" s="52"/>
      <c r="V89" s="52"/>
      <c r="W89" s="56"/>
      <c r="X89" s="52"/>
      <c r="Y89" s="52"/>
      <c r="Z89" s="52"/>
      <c r="AA89" s="52"/>
      <c r="AB89" s="52"/>
      <c r="AC89" s="52"/>
      <c r="AD89" s="57"/>
      <c r="AE89" s="3"/>
      <c r="AF89" s="3"/>
      <c r="AG89" s="4"/>
      <c r="AH89" s="4"/>
      <c r="AI89" s="4"/>
      <c r="AJ89" s="4"/>
      <c r="AK89" s="4"/>
      <c r="AL89" s="93"/>
      <c r="AM89" s="93"/>
      <c r="AN89" s="93"/>
      <c r="AO89" s="93"/>
      <c r="AP89" s="93"/>
      <c r="AQ89" s="93"/>
      <c r="AR89" s="93"/>
    </row>
    <row r="90" spans="1:44" ht="14.25">
      <c r="A90" s="52"/>
      <c r="B90" s="52"/>
      <c r="C90" s="52"/>
      <c r="D90" s="52"/>
      <c r="E90" s="52"/>
      <c r="F90" s="52"/>
      <c r="G90" s="52"/>
      <c r="H90" s="52"/>
      <c r="I90" s="52"/>
      <c r="J90" s="52"/>
      <c r="K90" s="52"/>
      <c r="L90" s="52"/>
      <c r="M90" s="52"/>
      <c r="N90" s="52"/>
      <c r="O90" s="52"/>
      <c r="P90" s="52"/>
      <c r="Q90" s="52"/>
      <c r="R90" s="52"/>
      <c r="S90" s="52"/>
      <c r="T90" s="52"/>
      <c r="U90" s="52"/>
      <c r="V90" s="52"/>
      <c r="W90" s="56"/>
      <c r="X90" s="52"/>
      <c r="Y90" s="52"/>
      <c r="Z90" s="52"/>
      <c r="AA90" s="52"/>
      <c r="AB90" s="52"/>
      <c r="AC90" s="52"/>
      <c r="AD90" s="57"/>
      <c r="AE90" s="3"/>
      <c r="AF90" s="3"/>
      <c r="AG90" s="4"/>
      <c r="AH90" s="4"/>
      <c r="AI90" s="4"/>
      <c r="AJ90" s="4"/>
      <c r="AK90" s="4"/>
      <c r="AL90" s="93"/>
      <c r="AM90" s="93"/>
      <c r="AN90" s="93"/>
      <c r="AO90" s="93"/>
      <c r="AP90" s="93"/>
      <c r="AQ90" s="93"/>
      <c r="AR90" s="93"/>
    </row>
    <row r="91" spans="1:44" ht="14.25">
      <c r="A91" s="52"/>
      <c r="B91" s="52"/>
      <c r="C91" s="52"/>
      <c r="D91" s="52"/>
      <c r="E91" s="52"/>
      <c r="F91" s="52"/>
      <c r="G91" s="52"/>
      <c r="H91" s="52"/>
      <c r="I91" s="52"/>
      <c r="J91" s="52"/>
      <c r="K91" s="52"/>
      <c r="L91" s="52"/>
      <c r="M91" s="52"/>
      <c r="N91" s="52"/>
      <c r="O91" s="52"/>
      <c r="P91" s="52"/>
      <c r="Q91" s="52"/>
      <c r="R91" s="52"/>
      <c r="S91" s="52"/>
      <c r="T91" s="52"/>
      <c r="U91" s="52"/>
      <c r="V91" s="52"/>
      <c r="W91" s="56"/>
      <c r="X91" s="52"/>
      <c r="Y91" s="52"/>
      <c r="Z91" s="52"/>
      <c r="AA91" s="52"/>
      <c r="AB91" s="52"/>
      <c r="AC91" s="52"/>
      <c r="AD91" s="57"/>
      <c r="AE91" s="3"/>
      <c r="AF91" s="3"/>
      <c r="AG91" s="4"/>
      <c r="AH91" s="4"/>
      <c r="AI91" s="4"/>
      <c r="AJ91" s="4"/>
      <c r="AK91" s="4"/>
      <c r="AL91" s="93"/>
      <c r="AM91" s="93"/>
      <c r="AN91" s="93"/>
      <c r="AO91" s="93"/>
      <c r="AP91" s="93"/>
      <c r="AQ91" s="93"/>
      <c r="AR91" s="93"/>
    </row>
    <row r="92" spans="1:44" ht="14.25">
      <c r="A92" s="52"/>
      <c r="B92" s="52"/>
      <c r="C92" s="52"/>
      <c r="D92" s="52"/>
      <c r="E92" s="52"/>
      <c r="F92" s="52"/>
      <c r="G92" s="52"/>
      <c r="H92" s="52"/>
      <c r="I92" s="52"/>
      <c r="J92" s="52"/>
      <c r="K92" s="52"/>
      <c r="L92" s="52"/>
      <c r="M92" s="52"/>
      <c r="N92" s="52"/>
      <c r="O92" s="52"/>
      <c r="P92" s="52"/>
      <c r="Q92" s="52"/>
      <c r="R92" s="52"/>
      <c r="S92" s="52"/>
      <c r="T92" s="52"/>
      <c r="U92" s="52"/>
      <c r="V92" s="52"/>
      <c r="W92" s="56"/>
      <c r="X92" s="52"/>
      <c r="Y92" s="52"/>
      <c r="Z92" s="52"/>
      <c r="AA92" s="52"/>
      <c r="AB92" s="52"/>
      <c r="AC92" s="52"/>
      <c r="AD92" s="57"/>
      <c r="AE92" s="3"/>
      <c r="AF92" s="3"/>
      <c r="AG92" s="4"/>
      <c r="AH92" s="4"/>
      <c r="AI92" s="4"/>
      <c r="AJ92" s="4"/>
      <c r="AK92" s="4"/>
      <c r="AL92" s="93"/>
      <c r="AM92" s="93"/>
      <c r="AN92" s="93"/>
      <c r="AO92" s="93"/>
      <c r="AP92" s="93"/>
      <c r="AQ92" s="93"/>
      <c r="AR92" s="93"/>
    </row>
    <row r="93" spans="1:44" ht="14.25">
      <c r="A93" s="52"/>
      <c r="B93" s="52"/>
      <c r="C93" s="52"/>
      <c r="D93" s="52"/>
      <c r="E93" s="52"/>
      <c r="F93" s="52"/>
      <c r="G93" s="52"/>
      <c r="H93" s="52"/>
      <c r="I93" s="52"/>
      <c r="J93" s="52"/>
      <c r="K93" s="52"/>
      <c r="L93" s="52"/>
      <c r="M93" s="52"/>
      <c r="N93" s="52"/>
      <c r="O93" s="52"/>
      <c r="P93" s="52"/>
      <c r="Q93" s="52"/>
      <c r="R93" s="52"/>
      <c r="S93" s="52"/>
      <c r="T93" s="52"/>
      <c r="U93" s="52"/>
      <c r="V93" s="52"/>
      <c r="W93" s="56"/>
      <c r="X93" s="52"/>
      <c r="Y93" s="52"/>
      <c r="Z93" s="52"/>
      <c r="AA93" s="52"/>
      <c r="AB93" s="52"/>
      <c r="AC93" s="52"/>
      <c r="AD93" s="57"/>
      <c r="AE93" s="3"/>
      <c r="AF93" s="3"/>
      <c r="AG93" s="4"/>
      <c r="AH93" s="4"/>
      <c r="AI93" s="4"/>
      <c r="AJ93" s="4"/>
      <c r="AK93" s="4"/>
      <c r="AL93" s="93"/>
      <c r="AM93" s="93"/>
      <c r="AN93" s="93"/>
      <c r="AO93" s="93"/>
      <c r="AP93" s="93"/>
      <c r="AQ93" s="93"/>
      <c r="AR93" s="93"/>
    </row>
    <row r="94" spans="1:44" ht="14.25">
      <c r="A94" s="52"/>
      <c r="B94" s="52"/>
      <c r="C94" s="52"/>
      <c r="D94" s="52"/>
      <c r="E94" s="52"/>
      <c r="F94" s="52"/>
      <c r="G94" s="52"/>
      <c r="H94" s="52"/>
      <c r="I94" s="52"/>
      <c r="J94" s="52"/>
      <c r="K94" s="52"/>
      <c r="L94" s="52"/>
      <c r="M94" s="52"/>
      <c r="N94" s="52"/>
      <c r="O94" s="52"/>
      <c r="P94" s="52"/>
      <c r="Q94" s="52"/>
      <c r="R94" s="52"/>
      <c r="S94" s="52"/>
      <c r="T94" s="52"/>
      <c r="U94" s="52"/>
      <c r="V94" s="52"/>
      <c r="W94" s="56"/>
      <c r="X94" s="52"/>
      <c r="Y94" s="52"/>
      <c r="Z94" s="52"/>
      <c r="AA94" s="52"/>
      <c r="AB94" s="52"/>
      <c r="AC94" s="52"/>
      <c r="AD94" s="57"/>
      <c r="AE94" s="3"/>
      <c r="AF94" s="3"/>
      <c r="AG94" s="4"/>
      <c r="AH94" s="4"/>
      <c r="AI94" s="4"/>
      <c r="AJ94" s="4"/>
      <c r="AK94" s="4"/>
      <c r="AL94" s="93"/>
      <c r="AM94" s="93"/>
      <c r="AN94" s="93"/>
      <c r="AO94" s="93"/>
      <c r="AP94" s="93"/>
      <c r="AQ94" s="93"/>
      <c r="AR94" s="93"/>
    </row>
    <row r="95" spans="1:44" ht="14.25">
      <c r="A95" s="52"/>
      <c r="B95" s="52"/>
      <c r="C95" s="52"/>
      <c r="D95" s="52"/>
      <c r="E95" s="52"/>
      <c r="F95" s="52"/>
      <c r="G95" s="52"/>
      <c r="H95" s="52"/>
      <c r="I95" s="52"/>
      <c r="J95" s="52"/>
      <c r="K95" s="52"/>
      <c r="L95" s="52"/>
      <c r="M95" s="52"/>
      <c r="N95" s="52"/>
      <c r="O95" s="52"/>
      <c r="P95" s="52"/>
      <c r="Q95" s="52"/>
      <c r="R95" s="52"/>
      <c r="S95" s="52"/>
      <c r="T95" s="52"/>
      <c r="U95" s="52"/>
      <c r="V95" s="52"/>
      <c r="W95" s="56"/>
      <c r="X95" s="52"/>
      <c r="Y95" s="52"/>
      <c r="Z95" s="52"/>
      <c r="AA95" s="52"/>
      <c r="AB95" s="52"/>
      <c r="AC95" s="52"/>
      <c r="AD95" s="57"/>
      <c r="AE95" s="3"/>
      <c r="AF95" s="3"/>
      <c r="AG95" s="4"/>
      <c r="AH95" s="4"/>
      <c r="AI95" s="4"/>
      <c r="AJ95" s="4"/>
      <c r="AK95" s="4"/>
      <c r="AL95" s="93"/>
      <c r="AM95" s="93"/>
      <c r="AN95" s="93"/>
      <c r="AO95" s="93"/>
      <c r="AP95" s="93"/>
      <c r="AQ95" s="93"/>
      <c r="AR95" s="93"/>
    </row>
    <row r="96" spans="1:44" ht="14.25">
      <c r="A96" s="52"/>
      <c r="B96" s="52"/>
      <c r="C96" s="52"/>
      <c r="D96" s="52"/>
      <c r="E96" s="52"/>
      <c r="F96" s="52"/>
      <c r="G96" s="52"/>
      <c r="H96" s="52"/>
      <c r="I96" s="52"/>
      <c r="J96" s="52"/>
      <c r="K96" s="52"/>
      <c r="L96" s="52"/>
      <c r="M96" s="52"/>
      <c r="N96" s="52"/>
      <c r="O96" s="52"/>
      <c r="P96" s="52"/>
      <c r="Q96" s="52"/>
      <c r="R96" s="52"/>
      <c r="S96" s="52"/>
      <c r="T96" s="52"/>
      <c r="U96" s="52"/>
      <c r="V96" s="52"/>
      <c r="W96" s="56"/>
      <c r="X96" s="52"/>
      <c r="Y96" s="52"/>
      <c r="Z96" s="52"/>
      <c r="AA96" s="52"/>
      <c r="AB96" s="52"/>
      <c r="AC96" s="52"/>
      <c r="AD96" s="57"/>
      <c r="AE96" s="3"/>
      <c r="AF96" s="3"/>
      <c r="AG96" s="4"/>
      <c r="AH96" s="4"/>
      <c r="AI96" s="4"/>
      <c r="AJ96" s="4"/>
      <c r="AK96" s="4"/>
      <c r="AL96" s="93"/>
      <c r="AM96" s="93"/>
      <c r="AN96" s="93"/>
      <c r="AO96" s="93"/>
      <c r="AP96" s="93"/>
      <c r="AQ96" s="93"/>
      <c r="AR96" s="93"/>
    </row>
    <row r="97" spans="1:44" ht="14.25">
      <c r="A97" s="52"/>
      <c r="B97" s="52"/>
      <c r="C97" s="52"/>
      <c r="D97" s="52"/>
      <c r="E97" s="52"/>
      <c r="F97" s="52"/>
      <c r="G97" s="52"/>
      <c r="H97" s="52"/>
      <c r="I97" s="52"/>
      <c r="J97" s="52"/>
      <c r="K97" s="52"/>
      <c r="L97" s="52"/>
      <c r="M97" s="52"/>
      <c r="N97" s="52"/>
      <c r="O97" s="52"/>
      <c r="P97" s="52"/>
      <c r="Q97" s="52"/>
      <c r="R97" s="52"/>
      <c r="S97" s="52"/>
      <c r="T97" s="52"/>
      <c r="U97" s="52"/>
      <c r="V97" s="52"/>
      <c r="W97" s="56"/>
      <c r="X97" s="52"/>
      <c r="Y97" s="52"/>
      <c r="Z97" s="52"/>
      <c r="AA97" s="52"/>
      <c r="AB97" s="52"/>
      <c r="AC97" s="52"/>
      <c r="AD97" s="57"/>
      <c r="AE97" s="3"/>
      <c r="AF97" s="3"/>
      <c r="AG97" s="4"/>
      <c r="AH97" s="4"/>
      <c r="AI97" s="4"/>
      <c r="AJ97" s="4"/>
      <c r="AK97" s="4"/>
      <c r="AL97" s="93"/>
      <c r="AM97" s="93"/>
      <c r="AN97" s="93"/>
      <c r="AO97" s="93"/>
      <c r="AP97" s="93"/>
      <c r="AQ97" s="93"/>
      <c r="AR97" s="93"/>
    </row>
    <row r="98" spans="1:44" ht="14.25">
      <c r="A98" s="52"/>
      <c r="B98" s="52"/>
      <c r="C98" s="52"/>
      <c r="D98" s="52"/>
      <c r="E98" s="52"/>
      <c r="F98" s="52"/>
      <c r="G98" s="52"/>
      <c r="H98" s="52"/>
      <c r="I98" s="52"/>
      <c r="J98" s="52"/>
      <c r="K98" s="52"/>
      <c r="L98" s="52"/>
      <c r="M98" s="52"/>
      <c r="N98" s="52"/>
      <c r="O98" s="52"/>
      <c r="P98" s="52"/>
      <c r="Q98" s="52"/>
      <c r="R98" s="52"/>
      <c r="S98" s="52"/>
      <c r="T98" s="52"/>
      <c r="U98" s="52"/>
      <c r="V98" s="52"/>
      <c r="W98" s="56"/>
      <c r="X98" s="52"/>
      <c r="Y98" s="52"/>
      <c r="Z98" s="52"/>
      <c r="AA98" s="52"/>
      <c r="AB98" s="52"/>
      <c r="AC98" s="52"/>
      <c r="AD98" s="57"/>
      <c r="AE98" s="3"/>
      <c r="AF98" s="3"/>
      <c r="AG98" s="4"/>
      <c r="AH98" s="4"/>
      <c r="AI98" s="4"/>
      <c r="AJ98" s="4"/>
      <c r="AK98" s="4"/>
      <c r="AL98" s="93"/>
      <c r="AM98" s="93"/>
      <c r="AN98" s="93"/>
      <c r="AO98" s="93"/>
      <c r="AP98" s="93"/>
      <c r="AQ98" s="93"/>
      <c r="AR98" s="93"/>
    </row>
    <row r="99" spans="1:44" ht="14.25">
      <c r="A99" s="52"/>
      <c r="B99" s="52"/>
      <c r="C99" s="52"/>
      <c r="D99" s="52"/>
      <c r="E99" s="52"/>
      <c r="F99" s="52"/>
      <c r="G99" s="52"/>
      <c r="H99" s="52"/>
      <c r="I99" s="52"/>
      <c r="J99" s="52"/>
      <c r="K99" s="52"/>
      <c r="L99" s="52"/>
      <c r="M99" s="52"/>
      <c r="N99" s="52"/>
      <c r="O99" s="52"/>
      <c r="P99" s="52"/>
      <c r="Q99" s="52"/>
      <c r="R99" s="52"/>
      <c r="S99" s="52"/>
      <c r="T99" s="52"/>
      <c r="U99" s="52"/>
      <c r="V99" s="52"/>
      <c r="W99" s="56"/>
      <c r="X99" s="52"/>
      <c r="Y99" s="52"/>
      <c r="Z99" s="52"/>
      <c r="AA99" s="52"/>
      <c r="AB99" s="52"/>
      <c r="AC99" s="52"/>
      <c r="AD99" s="57"/>
      <c r="AE99" s="3"/>
      <c r="AF99" s="3"/>
      <c r="AG99" s="4"/>
      <c r="AH99" s="4"/>
      <c r="AI99" s="4"/>
      <c r="AJ99" s="4"/>
      <c r="AK99" s="4"/>
      <c r="AL99" s="93"/>
      <c r="AM99" s="93"/>
      <c r="AN99" s="93"/>
      <c r="AO99" s="93"/>
      <c r="AP99" s="93"/>
      <c r="AQ99" s="93"/>
      <c r="AR99" s="93"/>
    </row>
    <row r="100" spans="1:44" ht="12.75">
      <c r="W100" s="59"/>
    </row>
    <row r="101" spans="1:44" ht="12.75">
      <c r="W101" s="59"/>
    </row>
    <row r="102" spans="1:44" ht="12.75">
      <c r="W102" s="59"/>
    </row>
    <row r="103" spans="1:44" ht="12.75">
      <c r="W103" s="59"/>
    </row>
    <row r="104" spans="1:44" ht="12.75">
      <c r="W104" s="59"/>
    </row>
    <row r="105" spans="1:44" ht="12.75">
      <c r="W105" s="59"/>
    </row>
    <row r="106" spans="1:44" ht="12.75">
      <c r="W106" s="59"/>
    </row>
    <row r="107" spans="1:44" ht="12.75">
      <c r="W107" s="59"/>
    </row>
    <row r="108" spans="1:44" ht="12.75">
      <c r="W108" s="59"/>
    </row>
    <row r="109" spans="1:44" ht="12.75">
      <c r="W109" s="59"/>
    </row>
    <row r="110" spans="1:44" ht="12.75">
      <c r="W110" s="59"/>
    </row>
    <row r="111" spans="1:44" ht="12.75">
      <c r="W111" s="59"/>
    </row>
    <row r="112" spans="1:44" ht="12.75">
      <c r="W112" s="59"/>
    </row>
    <row r="113" spans="23:23" ht="12.75">
      <c r="W113" s="59"/>
    </row>
    <row r="114" spans="23:23" ht="12.75">
      <c r="W114" s="59"/>
    </row>
    <row r="115" spans="23:23" ht="12.75">
      <c r="W115" s="59"/>
    </row>
    <row r="116" spans="23:23" ht="12.75">
      <c r="W116" s="59"/>
    </row>
    <row r="117" spans="23:23" ht="12.75">
      <c r="W117" s="59"/>
    </row>
    <row r="118" spans="23:23" ht="12.75">
      <c r="W118" s="59"/>
    </row>
    <row r="119" spans="23:23" ht="12.75">
      <c r="W119" s="59"/>
    </row>
    <row r="120" spans="23:23" ht="12.75">
      <c r="W120" s="59"/>
    </row>
    <row r="121" spans="23:23" ht="12.75">
      <c r="W121" s="59"/>
    </row>
    <row r="122" spans="23:23" ht="12.75">
      <c r="W122" s="59"/>
    </row>
    <row r="123" spans="23:23" ht="12.75">
      <c r="W123" s="59"/>
    </row>
    <row r="124" spans="23:23" ht="12.75">
      <c r="W124" s="59"/>
    </row>
    <row r="125" spans="23:23" ht="12.75">
      <c r="W125" s="59"/>
    </row>
    <row r="126" spans="23:23" ht="12.75">
      <c r="W126" s="59"/>
    </row>
    <row r="127" spans="23:23" ht="12.75">
      <c r="W127" s="59"/>
    </row>
    <row r="128" spans="23:23" ht="12.75">
      <c r="W128" s="59"/>
    </row>
    <row r="129" spans="23:23" ht="12.75">
      <c r="W129" s="59"/>
    </row>
    <row r="130" spans="23:23" ht="12.75">
      <c r="W130" s="59"/>
    </row>
    <row r="131" spans="23:23" ht="12.75">
      <c r="W131" s="59"/>
    </row>
    <row r="132" spans="23:23" ht="12.75">
      <c r="W132" s="59"/>
    </row>
    <row r="133" spans="23:23" ht="12.75">
      <c r="W133" s="59"/>
    </row>
    <row r="134" spans="23:23" ht="12.75">
      <c r="W134" s="59"/>
    </row>
    <row r="135" spans="23:23" ht="12.75">
      <c r="W135" s="59"/>
    </row>
    <row r="136" spans="23:23" ht="12.75">
      <c r="W136" s="59"/>
    </row>
    <row r="137" spans="23:23" ht="12.75">
      <c r="W137" s="59"/>
    </row>
    <row r="138" spans="23:23" ht="12.75">
      <c r="W138" s="59"/>
    </row>
    <row r="139" spans="23:23" ht="12.75">
      <c r="W139" s="59"/>
    </row>
    <row r="140" spans="23:23" ht="12.75">
      <c r="W140" s="59"/>
    </row>
    <row r="141" spans="23:23" ht="12.75">
      <c r="W141" s="59"/>
    </row>
    <row r="142" spans="23:23" ht="12.75">
      <c r="W142" s="59"/>
    </row>
    <row r="143" spans="23:23" ht="12.75">
      <c r="W143" s="59"/>
    </row>
    <row r="144" spans="23:23" ht="12.75">
      <c r="W144" s="59"/>
    </row>
    <row r="145" spans="23:23" ht="12.75">
      <c r="W145" s="59"/>
    </row>
    <row r="146" spans="23:23" ht="12.75">
      <c r="W146" s="59"/>
    </row>
    <row r="147" spans="23:23" ht="12.75">
      <c r="W147" s="59"/>
    </row>
    <row r="148" spans="23:23" ht="12.75">
      <c r="W148" s="59"/>
    </row>
    <row r="149" spans="23:23" ht="12.75">
      <c r="W149" s="59"/>
    </row>
    <row r="150" spans="23:23" ht="12.75">
      <c r="W150" s="59"/>
    </row>
    <row r="151" spans="23:23" ht="12.75">
      <c r="W151" s="59"/>
    </row>
    <row r="152" spans="23:23" ht="12.75">
      <c r="W152" s="59"/>
    </row>
    <row r="153" spans="23:23" ht="12.75">
      <c r="W153" s="59"/>
    </row>
    <row r="154" spans="23:23" ht="12.75">
      <c r="W154" s="59"/>
    </row>
    <row r="155" spans="23:23" ht="12.75">
      <c r="W155" s="59"/>
    </row>
    <row r="156" spans="23:23" ht="12.75">
      <c r="W156" s="59"/>
    </row>
    <row r="157" spans="23:23" ht="12.75">
      <c r="W157" s="59"/>
    </row>
    <row r="158" spans="23:23" ht="12.75">
      <c r="W158" s="59"/>
    </row>
    <row r="159" spans="23:23" ht="12.75">
      <c r="W159" s="59"/>
    </row>
    <row r="160" spans="23:23" ht="12.75">
      <c r="W160" s="59"/>
    </row>
    <row r="161" spans="23:23" ht="12.75">
      <c r="W161" s="59"/>
    </row>
    <row r="162" spans="23:23" ht="12.75">
      <c r="W162" s="59"/>
    </row>
    <row r="163" spans="23:23" ht="12.75">
      <c r="W163" s="59"/>
    </row>
    <row r="164" spans="23:23" ht="12.75">
      <c r="W164" s="59"/>
    </row>
    <row r="165" spans="23:23" ht="12.75">
      <c r="W165" s="59"/>
    </row>
    <row r="166" spans="23:23" ht="12.75">
      <c r="W166" s="59"/>
    </row>
    <row r="167" spans="23:23" ht="12.75">
      <c r="W167" s="59"/>
    </row>
    <row r="168" spans="23:23" ht="12.75">
      <c r="W168" s="59"/>
    </row>
    <row r="169" spans="23:23" ht="12.75">
      <c r="W169" s="59"/>
    </row>
    <row r="170" spans="23:23" ht="12.75">
      <c r="W170" s="59"/>
    </row>
    <row r="171" spans="23:23" ht="12.75">
      <c r="W171" s="59"/>
    </row>
    <row r="172" spans="23:23" ht="12.75">
      <c r="W172" s="59"/>
    </row>
    <row r="173" spans="23:23" ht="12.75">
      <c r="W173" s="59"/>
    </row>
    <row r="174" spans="23:23" ht="12.75">
      <c r="W174" s="59"/>
    </row>
    <row r="175" spans="23:23" ht="12.75">
      <c r="W175" s="59"/>
    </row>
    <row r="176" spans="23:23" ht="12.75">
      <c r="W176" s="59"/>
    </row>
    <row r="177" spans="23:23" ht="12.75">
      <c r="W177" s="59"/>
    </row>
    <row r="178" spans="23:23" ht="12.75">
      <c r="W178" s="59"/>
    </row>
    <row r="179" spans="23:23" ht="12.75">
      <c r="W179" s="59"/>
    </row>
    <row r="180" spans="23:23" ht="12.75">
      <c r="W180" s="59"/>
    </row>
    <row r="181" spans="23:23" ht="12.75">
      <c r="W181" s="59"/>
    </row>
    <row r="182" spans="23:23" ht="12.75">
      <c r="W182" s="59"/>
    </row>
    <row r="183" spans="23:23" ht="12.75">
      <c r="W183" s="59"/>
    </row>
    <row r="184" spans="23:23" ht="12.75">
      <c r="W184" s="59"/>
    </row>
    <row r="185" spans="23:23" ht="12.75">
      <c r="W185" s="59"/>
    </row>
    <row r="186" spans="23:23" ht="12.75">
      <c r="W186" s="59"/>
    </row>
    <row r="187" spans="23:23" ht="12.75">
      <c r="W187" s="59"/>
    </row>
    <row r="188" spans="23:23" ht="12.75">
      <c r="W188" s="59"/>
    </row>
    <row r="189" spans="23:23" ht="12.75">
      <c r="W189" s="59"/>
    </row>
    <row r="190" spans="23:23" ht="12.75">
      <c r="W190" s="59"/>
    </row>
    <row r="191" spans="23:23" ht="12.75">
      <c r="W191" s="59"/>
    </row>
    <row r="192" spans="23:23" ht="12.75">
      <c r="W192" s="59"/>
    </row>
    <row r="193" spans="23:23" ht="12.75">
      <c r="W193" s="59"/>
    </row>
    <row r="194" spans="23:23" ht="12.75">
      <c r="W194" s="59"/>
    </row>
    <row r="195" spans="23:23" ht="12.75">
      <c r="W195" s="59"/>
    </row>
    <row r="196" spans="23:23" ht="12.75">
      <c r="W196" s="59"/>
    </row>
    <row r="197" spans="23:23" ht="12.75">
      <c r="W197" s="59"/>
    </row>
    <row r="198" spans="23:23" ht="12.75">
      <c r="W198" s="59"/>
    </row>
    <row r="199" spans="23:23" ht="12.75">
      <c r="W199" s="59"/>
    </row>
    <row r="200" spans="23:23" ht="12.75">
      <c r="W200" s="59"/>
    </row>
    <row r="201" spans="23:23" ht="12.75">
      <c r="W201" s="59"/>
    </row>
    <row r="202" spans="23:23" ht="12.75">
      <c r="W202" s="59"/>
    </row>
    <row r="203" spans="23:23" ht="12.75">
      <c r="W203" s="59"/>
    </row>
    <row r="204" spans="23:23" ht="12.75">
      <c r="W204" s="59"/>
    </row>
    <row r="205" spans="23:23" ht="12.75">
      <c r="W205" s="59"/>
    </row>
    <row r="206" spans="23:23" ht="12.75">
      <c r="W206" s="59"/>
    </row>
    <row r="207" spans="23:23" ht="12.75">
      <c r="W207" s="59"/>
    </row>
    <row r="208" spans="23:23" ht="12.75">
      <c r="W208" s="59"/>
    </row>
    <row r="209" spans="23:23" ht="12.75">
      <c r="W209" s="59"/>
    </row>
    <row r="210" spans="23:23" ht="12.75">
      <c r="W210" s="59"/>
    </row>
    <row r="211" spans="23:23" ht="12.75">
      <c r="W211" s="59"/>
    </row>
    <row r="212" spans="23:23" ht="12.75">
      <c r="W212" s="59"/>
    </row>
    <row r="213" spans="23:23" ht="12.75">
      <c r="W213" s="59"/>
    </row>
    <row r="214" spans="23:23" ht="12.75">
      <c r="W214" s="59"/>
    </row>
    <row r="215" spans="23:23" ht="12.75">
      <c r="W215" s="59"/>
    </row>
    <row r="216" spans="23:23" ht="12.75">
      <c r="W216" s="59"/>
    </row>
    <row r="217" spans="23:23" ht="12.75">
      <c r="W217" s="59"/>
    </row>
    <row r="218" spans="23:23" ht="12.75">
      <c r="W218" s="59"/>
    </row>
    <row r="219" spans="23:23" ht="12.75">
      <c r="W219" s="59"/>
    </row>
    <row r="220" spans="23:23" ht="12.75">
      <c r="W220" s="59"/>
    </row>
    <row r="221" spans="23:23" ht="12.75">
      <c r="W221" s="59"/>
    </row>
    <row r="222" spans="23:23" ht="12.75">
      <c r="W222" s="59"/>
    </row>
    <row r="223" spans="23:23" ht="12.75">
      <c r="W223" s="59"/>
    </row>
    <row r="224" spans="23:23" ht="12.75">
      <c r="W224" s="59"/>
    </row>
    <row r="225" spans="23:23" ht="12.75">
      <c r="W225" s="59"/>
    </row>
    <row r="226" spans="23:23" ht="12.75">
      <c r="W226" s="59"/>
    </row>
    <row r="227" spans="23:23" ht="12.75">
      <c r="W227" s="59"/>
    </row>
    <row r="228" spans="23:23" ht="12.75">
      <c r="W228" s="59"/>
    </row>
    <row r="229" spans="23:23" ht="12.75">
      <c r="W229" s="59"/>
    </row>
    <row r="230" spans="23:23" ht="12.75">
      <c r="W230" s="59"/>
    </row>
    <row r="231" spans="23:23" ht="12.75">
      <c r="W231" s="59"/>
    </row>
    <row r="232" spans="23:23" ht="12.75">
      <c r="W232" s="59"/>
    </row>
    <row r="233" spans="23:23" ht="12.75">
      <c r="W233" s="59"/>
    </row>
    <row r="234" spans="23:23" ht="12.75">
      <c r="W234" s="59"/>
    </row>
    <row r="235" spans="23:23" ht="12.75">
      <c r="W235" s="59"/>
    </row>
    <row r="236" spans="23:23" ht="12.75">
      <c r="W236" s="59"/>
    </row>
    <row r="237" spans="23:23" ht="12.75">
      <c r="W237" s="59"/>
    </row>
    <row r="238" spans="23:23" ht="12.75">
      <c r="W238" s="59"/>
    </row>
    <row r="239" spans="23:23" ht="12.75">
      <c r="W239" s="59"/>
    </row>
    <row r="240" spans="23:23" ht="12.75">
      <c r="W240" s="59"/>
    </row>
    <row r="241" spans="23:23" ht="12.75">
      <c r="W241" s="59"/>
    </row>
    <row r="242" spans="23:23" ht="12.75">
      <c r="W242" s="59"/>
    </row>
    <row r="243" spans="23:23" ht="12.75">
      <c r="W243" s="59"/>
    </row>
    <row r="244" spans="23:23" ht="12.75">
      <c r="W244" s="59"/>
    </row>
    <row r="245" spans="23:23" ht="12.75">
      <c r="W245" s="59"/>
    </row>
    <row r="246" spans="23:23" ht="12.75">
      <c r="W246" s="59"/>
    </row>
    <row r="247" spans="23:23" ht="12.75">
      <c r="W247" s="59"/>
    </row>
    <row r="248" spans="23:23" ht="12.75">
      <c r="W248" s="59"/>
    </row>
    <row r="249" spans="23:23" ht="12.75">
      <c r="W249" s="59"/>
    </row>
    <row r="250" spans="23:23" ht="12.75">
      <c r="W250" s="59"/>
    </row>
    <row r="251" spans="23:23" ht="12.75">
      <c r="W251" s="59"/>
    </row>
    <row r="252" spans="23:23" ht="12.75">
      <c r="W252" s="59"/>
    </row>
    <row r="253" spans="23:23" ht="12.75">
      <c r="W253" s="59"/>
    </row>
    <row r="254" spans="23:23" ht="12.75">
      <c r="W254" s="59"/>
    </row>
    <row r="255" spans="23:23" ht="12.75">
      <c r="W255" s="59"/>
    </row>
    <row r="256" spans="23:23" ht="12.75">
      <c r="W256" s="59"/>
    </row>
    <row r="257" spans="23:23" ht="12.75">
      <c r="W257" s="59"/>
    </row>
    <row r="258" spans="23:23" ht="12.75">
      <c r="W258" s="59"/>
    </row>
    <row r="259" spans="23:23" ht="12.75">
      <c r="W259" s="59"/>
    </row>
    <row r="260" spans="23:23" ht="12.75">
      <c r="W260" s="59"/>
    </row>
    <row r="261" spans="23:23" ht="12.75">
      <c r="W261" s="59"/>
    </row>
    <row r="262" spans="23:23" ht="12.75">
      <c r="W262" s="59"/>
    </row>
    <row r="263" spans="23:23" ht="12.75">
      <c r="W263" s="59"/>
    </row>
    <row r="264" spans="23:23" ht="12.75">
      <c r="W264" s="59"/>
    </row>
    <row r="265" spans="23:23" ht="12.75">
      <c r="W265" s="59"/>
    </row>
    <row r="266" spans="23:23" ht="12.75">
      <c r="W266" s="59"/>
    </row>
    <row r="267" spans="23:23" ht="12.75">
      <c r="W267" s="59"/>
    </row>
    <row r="268" spans="23:23" ht="12.75">
      <c r="W268" s="59"/>
    </row>
    <row r="269" spans="23:23" ht="12.75">
      <c r="W269" s="59"/>
    </row>
    <row r="270" spans="23:23" ht="12.75">
      <c r="W270" s="59"/>
    </row>
    <row r="271" spans="23:23" ht="12.75">
      <c r="W271" s="59"/>
    </row>
    <row r="272" spans="23:23" ht="12.75">
      <c r="W272" s="59"/>
    </row>
    <row r="273" spans="23:23" ht="12.75">
      <c r="W273" s="59"/>
    </row>
    <row r="274" spans="23:23" ht="12.75">
      <c r="W274" s="59"/>
    </row>
    <row r="275" spans="23:23" ht="12.75">
      <c r="W275" s="59"/>
    </row>
    <row r="276" spans="23:23" ht="12.75">
      <c r="W276" s="59"/>
    </row>
    <row r="277" spans="23:23" ht="12.75">
      <c r="W277" s="59"/>
    </row>
    <row r="278" spans="23:23" ht="12.75">
      <c r="W278" s="59"/>
    </row>
    <row r="279" spans="23:23" ht="12.75">
      <c r="W279" s="59"/>
    </row>
    <row r="280" spans="23:23" ht="12.75">
      <c r="W280" s="59"/>
    </row>
    <row r="281" spans="23:23" ht="12.75">
      <c r="W281" s="59"/>
    </row>
    <row r="282" spans="23:23" ht="12.75">
      <c r="W282" s="59"/>
    </row>
    <row r="283" spans="23:23" ht="12.75">
      <c r="W283" s="59"/>
    </row>
    <row r="284" spans="23:23" ht="12.75">
      <c r="W284" s="59"/>
    </row>
    <row r="285" spans="23:23" ht="12.75">
      <c r="W285" s="59"/>
    </row>
    <row r="286" spans="23:23" ht="12.75">
      <c r="W286" s="59"/>
    </row>
    <row r="287" spans="23:23" ht="12.75">
      <c r="W287" s="59"/>
    </row>
    <row r="288" spans="23:23" ht="12.75">
      <c r="W288" s="59"/>
    </row>
    <row r="289" spans="23:23" ht="12.75">
      <c r="W289" s="59"/>
    </row>
    <row r="290" spans="23:23" ht="12.75">
      <c r="W290" s="59"/>
    </row>
    <row r="291" spans="23:23" ht="12.75">
      <c r="W291" s="59"/>
    </row>
    <row r="292" spans="23:23" ht="12.75">
      <c r="W292" s="59"/>
    </row>
    <row r="293" spans="23:23" ht="12.75">
      <c r="W293" s="59"/>
    </row>
    <row r="294" spans="23:23" ht="12.75">
      <c r="W294" s="59"/>
    </row>
    <row r="295" spans="23:23" ht="12.75">
      <c r="W295" s="59"/>
    </row>
    <row r="296" spans="23:23" ht="12.75">
      <c r="W296" s="59"/>
    </row>
    <row r="297" spans="23:23" ht="12.75">
      <c r="W297" s="59"/>
    </row>
    <row r="298" spans="23:23" ht="12.75">
      <c r="W298" s="59"/>
    </row>
    <row r="299" spans="23:23" ht="12.75">
      <c r="W299" s="59"/>
    </row>
    <row r="300" spans="23:23" ht="12.75">
      <c r="W300" s="59"/>
    </row>
    <row r="301" spans="23:23" ht="12.75">
      <c r="W301" s="59"/>
    </row>
    <row r="302" spans="23:23" ht="12.75">
      <c r="W302" s="59"/>
    </row>
    <row r="303" spans="23:23" ht="12.75">
      <c r="W303" s="59"/>
    </row>
    <row r="304" spans="23:23" ht="12.75">
      <c r="W304" s="59"/>
    </row>
    <row r="305" spans="23:23" ht="12.75">
      <c r="W305" s="59"/>
    </row>
    <row r="306" spans="23:23" ht="12.75">
      <c r="W306" s="59"/>
    </row>
    <row r="307" spans="23:23" ht="12.75">
      <c r="W307" s="59"/>
    </row>
    <row r="308" spans="23:23" ht="12.75">
      <c r="W308" s="59"/>
    </row>
    <row r="309" spans="23:23" ht="12.75">
      <c r="W309" s="59"/>
    </row>
    <row r="310" spans="23:23" ht="12.75">
      <c r="W310" s="59"/>
    </row>
    <row r="311" spans="23:23" ht="12.75">
      <c r="W311" s="59"/>
    </row>
    <row r="312" spans="23:23" ht="12.75">
      <c r="W312" s="59"/>
    </row>
    <row r="313" spans="23:23" ht="12.75">
      <c r="W313" s="59"/>
    </row>
    <row r="314" spans="23:23" ht="12.75">
      <c r="W314" s="59"/>
    </row>
    <row r="315" spans="23:23" ht="12.75">
      <c r="W315" s="59"/>
    </row>
    <row r="316" spans="23:23" ht="12.75">
      <c r="W316" s="59"/>
    </row>
    <row r="317" spans="23:23" ht="12.75">
      <c r="W317" s="59"/>
    </row>
    <row r="318" spans="23:23" ht="12.75">
      <c r="W318" s="59"/>
    </row>
    <row r="319" spans="23:23" ht="12.75">
      <c r="W319" s="59"/>
    </row>
    <row r="320" spans="23:23" ht="12.75">
      <c r="W320" s="59"/>
    </row>
    <row r="321" spans="23:23" ht="12.75">
      <c r="W321" s="59"/>
    </row>
    <row r="322" spans="23:23" ht="12.75">
      <c r="W322" s="59"/>
    </row>
    <row r="323" spans="23:23" ht="12.75">
      <c r="W323" s="59"/>
    </row>
    <row r="324" spans="23:23" ht="12.75">
      <c r="W324" s="59"/>
    </row>
    <row r="325" spans="23:23" ht="12.75">
      <c r="W325" s="59"/>
    </row>
    <row r="326" spans="23:23" ht="12.75">
      <c r="W326" s="59"/>
    </row>
    <row r="327" spans="23:23" ht="12.75">
      <c r="W327" s="59"/>
    </row>
    <row r="328" spans="23:23" ht="12.75">
      <c r="W328" s="59"/>
    </row>
    <row r="329" spans="23:23" ht="12.75">
      <c r="W329" s="59"/>
    </row>
    <row r="330" spans="23:23" ht="12.75">
      <c r="W330" s="59"/>
    </row>
    <row r="331" spans="23:23" ht="12.75">
      <c r="W331" s="59"/>
    </row>
    <row r="332" spans="23:23" ht="12.75">
      <c r="W332" s="59"/>
    </row>
    <row r="333" spans="23:23" ht="12.75">
      <c r="W333" s="59"/>
    </row>
    <row r="334" spans="23:23" ht="12.75">
      <c r="W334" s="59"/>
    </row>
    <row r="335" spans="23:23" ht="12.75">
      <c r="W335" s="59"/>
    </row>
    <row r="336" spans="23:23" ht="12.75">
      <c r="W336" s="59"/>
    </row>
    <row r="337" spans="23:23" ht="12.75">
      <c r="W337" s="59"/>
    </row>
    <row r="338" spans="23:23" ht="12.75">
      <c r="W338" s="59"/>
    </row>
    <row r="339" spans="23:23" ht="12.75">
      <c r="W339" s="59"/>
    </row>
    <row r="340" spans="23:23" ht="12.75">
      <c r="W340" s="59"/>
    </row>
    <row r="341" spans="23:23" ht="12.75">
      <c r="W341" s="59"/>
    </row>
    <row r="342" spans="23:23" ht="12.75">
      <c r="W342" s="59"/>
    </row>
    <row r="343" spans="23:23" ht="12.75">
      <c r="W343" s="59"/>
    </row>
    <row r="344" spans="23:23" ht="12.75">
      <c r="W344" s="59"/>
    </row>
    <row r="345" spans="23:23" ht="12.75">
      <c r="W345" s="59"/>
    </row>
    <row r="346" spans="23:23" ht="12.75">
      <c r="W346" s="59"/>
    </row>
    <row r="347" spans="23:23" ht="12.75">
      <c r="W347" s="59"/>
    </row>
    <row r="348" spans="23:23" ht="12.75">
      <c r="W348" s="59"/>
    </row>
    <row r="349" spans="23:23" ht="12.75">
      <c r="W349" s="59"/>
    </row>
    <row r="350" spans="23:23" ht="12.75">
      <c r="W350" s="59"/>
    </row>
    <row r="351" spans="23:23" ht="12.75">
      <c r="W351" s="59"/>
    </row>
    <row r="352" spans="23:23" ht="12.75">
      <c r="W352" s="59"/>
    </row>
    <row r="353" spans="23:23" ht="12.75">
      <c r="W353" s="59"/>
    </row>
    <row r="354" spans="23:23" ht="12.75">
      <c r="W354" s="59"/>
    </row>
    <row r="355" spans="23:23" ht="12.75">
      <c r="W355" s="59"/>
    </row>
    <row r="356" spans="23:23" ht="12.75">
      <c r="W356" s="59"/>
    </row>
    <row r="357" spans="23:23" ht="12.75">
      <c r="W357" s="59"/>
    </row>
    <row r="358" spans="23:23" ht="12.75">
      <c r="W358" s="59"/>
    </row>
    <row r="359" spans="23:23" ht="12.75">
      <c r="W359" s="59"/>
    </row>
    <row r="360" spans="23:23" ht="12.75">
      <c r="W360" s="59"/>
    </row>
    <row r="361" spans="23:23" ht="12.75">
      <c r="W361" s="59"/>
    </row>
    <row r="362" spans="23:23" ht="12.75">
      <c r="W362" s="59"/>
    </row>
    <row r="363" spans="23:23" ht="12.75">
      <c r="W363" s="59"/>
    </row>
    <row r="364" spans="23:23" ht="12.75">
      <c r="W364" s="59"/>
    </row>
    <row r="365" spans="23:23" ht="12.75">
      <c r="W365" s="59"/>
    </row>
    <row r="366" spans="23:23" ht="12.75">
      <c r="W366" s="59"/>
    </row>
    <row r="367" spans="23:23" ht="12.75">
      <c r="W367" s="59"/>
    </row>
    <row r="368" spans="23:23" ht="12.75">
      <c r="W368" s="59"/>
    </row>
    <row r="369" spans="23:23" ht="12.75">
      <c r="W369" s="59"/>
    </row>
    <row r="370" spans="23:23" ht="12.75">
      <c r="W370" s="59"/>
    </row>
    <row r="371" spans="23:23" ht="12.75">
      <c r="W371" s="59"/>
    </row>
    <row r="372" spans="23:23" ht="12.75">
      <c r="W372" s="59"/>
    </row>
    <row r="373" spans="23:23" ht="12.75">
      <c r="W373" s="59"/>
    </row>
    <row r="374" spans="23:23" ht="12.75">
      <c r="W374" s="59"/>
    </row>
    <row r="375" spans="23:23" ht="12.75">
      <c r="W375" s="59"/>
    </row>
    <row r="376" spans="23:23" ht="12.75">
      <c r="W376" s="59"/>
    </row>
    <row r="377" spans="23:23" ht="12.75">
      <c r="W377" s="59"/>
    </row>
    <row r="378" spans="23:23" ht="12.75">
      <c r="W378" s="59"/>
    </row>
    <row r="379" spans="23:23" ht="12.75">
      <c r="W379" s="59"/>
    </row>
    <row r="380" spans="23:23" ht="12.75">
      <c r="W380" s="59"/>
    </row>
    <row r="381" spans="23:23" ht="12.75">
      <c r="W381" s="59"/>
    </row>
    <row r="382" spans="23:23" ht="12.75">
      <c r="W382" s="59"/>
    </row>
    <row r="383" spans="23:23" ht="12.75">
      <c r="W383" s="59"/>
    </row>
    <row r="384" spans="23:23" ht="12.75">
      <c r="W384" s="59"/>
    </row>
    <row r="385" spans="23:23" ht="12.75">
      <c r="W385" s="59"/>
    </row>
    <row r="386" spans="23:23" ht="12.75">
      <c r="W386" s="59"/>
    </row>
    <row r="387" spans="23:23" ht="12.75">
      <c r="W387" s="59"/>
    </row>
    <row r="388" spans="23:23" ht="12.75">
      <c r="W388" s="59"/>
    </row>
    <row r="389" spans="23:23" ht="12.75">
      <c r="W389" s="59"/>
    </row>
    <row r="390" spans="23:23" ht="12.75">
      <c r="W390" s="59"/>
    </row>
    <row r="391" spans="23:23" ht="12.75">
      <c r="W391" s="59"/>
    </row>
    <row r="392" spans="23:23" ht="12.75">
      <c r="W392" s="59"/>
    </row>
    <row r="393" spans="23:23" ht="12.75">
      <c r="W393" s="59"/>
    </row>
    <row r="394" spans="23:23" ht="12.75">
      <c r="W394" s="59"/>
    </row>
    <row r="395" spans="23:23" ht="12.75">
      <c r="W395" s="59"/>
    </row>
    <row r="396" spans="23:23" ht="12.75">
      <c r="W396" s="59"/>
    </row>
    <row r="397" spans="23:23" ht="12.75">
      <c r="W397" s="59"/>
    </row>
    <row r="398" spans="23:23" ht="12.75">
      <c r="W398" s="59"/>
    </row>
    <row r="399" spans="23:23" ht="12.75">
      <c r="W399" s="59"/>
    </row>
    <row r="400" spans="23:23" ht="12.75">
      <c r="W400" s="59"/>
    </row>
    <row r="401" spans="23:23" ht="12.75">
      <c r="W401" s="59"/>
    </row>
    <row r="402" spans="23:23" ht="12.75">
      <c r="W402" s="59"/>
    </row>
    <row r="403" spans="23:23" ht="12.75">
      <c r="W403" s="59"/>
    </row>
    <row r="404" spans="23:23" ht="12.75">
      <c r="W404" s="59"/>
    </row>
    <row r="405" spans="23:23" ht="12.75">
      <c r="W405" s="59"/>
    </row>
    <row r="406" spans="23:23" ht="12.75">
      <c r="W406" s="59"/>
    </row>
    <row r="407" spans="23:23" ht="12.75">
      <c r="W407" s="59"/>
    </row>
    <row r="408" spans="23:23" ht="12.75">
      <c r="W408" s="59"/>
    </row>
    <row r="409" spans="23:23" ht="12.75">
      <c r="W409" s="59"/>
    </row>
    <row r="410" spans="23:23" ht="12.75">
      <c r="W410" s="59"/>
    </row>
    <row r="411" spans="23:23" ht="12.75">
      <c r="W411" s="59"/>
    </row>
    <row r="412" spans="23:23" ht="12.75">
      <c r="W412" s="59"/>
    </row>
    <row r="413" spans="23:23" ht="12.75">
      <c r="W413" s="59"/>
    </row>
    <row r="414" spans="23:23" ht="12.75">
      <c r="W414" s="59"/>
    </row>
    <row r="415" spans="23:23" ht="12.75">
      <c r="W415" s="59"/>
    </row>
    <row r="416" spans="23:23" ht="12.75">
      <c r="W416" s="59"/>
    </row>
    <row r="417" spans="23:23" ht="12.75">
      <c r="W417" s="59"/>
    </row>
    <row r="418" spans="23:23" ht="12.75">
      <c r="W418" s="59"/>
    </row>
    <row r="419" spans="23:23" ht="12.75">
      <c r="W419" s="59"/>
    </row>
    <row r="420" spans="23:23" ht="12.75">
      <c r="W420" s="59"/>
    </row>
    <row r="421" spans="23:23" ht="12.75">
      <c r="W421" s="59"/>
    </row>
    <row r="422" spans="23:23" ht="12.75">
      <c r="W422" s="59"/>
    </row>
    <row r="423" spans="23:23" ht="12.75">
      <c r="W423" s="59"/>
    </row>
    <row r="424" spans="23:23" ht="12.75">
      <c r="W424" s="59"/>
    </row>
    <row r="425" spans="23:23" ht="12.75">
      <c r="W425" s="59"/>
    </row>
    <row r="426" spans="23:23" ht="12.75">
      <c r="W426" s="59"/>
    </row>
    <row r="427" spans="23:23" ht="12.75">
      <c r="W427" s="59"/>
    </row>
    <row r="428" spans="23:23" ht="12.75">
      <c r="W428" s="59"/>
    </row>
    <row r="429" spans="23:23" ht="12.75">
      <c r="W429" s="59"/>
    </row>
    <row r="430" spans="23:23" ht="12.75">
      <c r="W430" s="59"/>
    </row>
    <row r="431" spans="23:23" ht="12.75">
      <c r="W431" s="59"/>
    </row>
    <row r="432" spans="23:23" ht="12.75">
      <c r="W432" s="59"/>
    </row>
    <row r="433" spans="23:23" ht="12.75">
      <c r="W433" s="59"/>
    </row>
    <row r="434" spans="23:23" ht="12.75">
      <c r="W434" s="59"/>
    </row>
    <row r="435" spans="23:23" ht="12.75">
      <c r="W435" s="59"/>
    </row>
    <row r="436" spans="23:23" ht="12.75">
      <c r="W436" s="59"/>
    </row>
    <row r="437" spans="23:23" ht="12.75">
      <c r="W437" s="59"/>
    </row>
    <row r="438" spans="23:23" ht="12.75">
      <c r="W438" s="59"/>
    </row>
    <row r="439" spans="23:23" ht="12.75">
      <c r="W439" s="59"/>
    </row>
    <row r="440" spans="23:23" ht="12.75">
      <c r="W440" s="59"/>
    </row>
    <row r="441" spans="23:23" ht="12.75">
      <c r="W441" s="59"/>
    </row>
    <row r="442" spans="23:23" ht="12.75">
      <c r="W442" s="59"/>
    </row>
    <row r="443" spans="23:23" ht="12.75">
      <c r="W443" s="59"/>
    </row>
    <row r="444" spans="23:23" ht="12.75">
      <c r="W444" s="59"/>
    </row>
    <row r="445" spans="23:23" ht="12.75">
      <c r="W445" s="59"/>
    </row>
    <row r="446" spans="23:23" ht="12.75">
      <c r="W446" s="59"/>
    </row>
    <row r="447" spans="23:23" ht="12.75">
      <c r="W447" s="59"/>
    </row>
    <row r="448" spans="23:23" ht="12.75">
      <c r="W448" s="59"/>
    </row>
    <row r="449" spans="23:23" ht="12.75">
      <c r="W449" s="59"/>
    </row>
    <row r="450" spans="23:23" ht="12.75">
      <c r="W450" s="59"/>
    </row>
    <row r="451" spans="23:23" ht="12.75">
      <c r="W451" s="59"/>
    </row>
    <row r="452" spans="23:23" ht="12.75">
      <c r="W452" s="59"/>
    </row>
    <row r="453" spans="23:23" ht="12.75">
      <c r="W453" s="59"/>
    </row>
    <row r="454" spans="23:23" ht="12.75">
      <c r="W454" s="59"/>
    </row>
    <row r="455" spans="23:23" ht="12.75">
      <c r="W455" s="59"/>
    </row>
    <row r="456" spans="23:23" ht="12.75">
      <c r="W456" s="59"/>
    </row>
    <row r="457" spans="23:23" ht="12.75">
      <c r="W457" s="59"/>
    </row>
    <row r="458" spans="23:23" ht="12.75">
      <c r="W458" s="59"/>
    </row>
    <row r="459" spans="23:23" ht="12.75">
      <c r="W459" s="59"/>
    </row>
    <row r="460" spans="23:23" ht="12.75">
      <c r="W460" s="59"/>
    </row>
    <row r="461" spans="23:23" ht="12.75">
      <c r="W461" s="59"/>
    </row>
    <row r="462" spans="23:23" ht="12.75">
      <c r="W462" s="59"/>
    </row>
    <row r="463" spans="23:23" ht="12.75">
      <c r="W463" s="59"/>
    </row>
    <row r="464" spans="23:23" ht="12.75">
      <c r="W464" s="59"/>
    </row>
    <row r="465" spans="23:23" ht="12.75">
      <c r="W465" s="59"/>
    </row>
    <row r="466" spans="23:23" ht="12.75">
      <c r="W466" s="59"/>
    </row>
    <row r="467" spans="23:23" ht="12.75">
      <c r="W467" s="59"/>
    </row>
    <row r="468" spans="23:23" ht="12.75">
      <c r="W468" s="59"/>
    </row>
    <row r="469" spans="23:23" ht="12.75">
      <c r="W469" s="59"/>
    </row>
    <row r="470" spans="23:23" ht="12.75">
      <c r="W470" s="59"/>
    </row>
    <row r="471" spans="23:23" ht="12.75">
      <c r="W471" s="59"/>
    </row>
    <row r="472" spans="23:23" ht="12.75">
      <c r="W472" s="59"/>
    </row>
    <row r="473" spans="23:23" ht="12.75">
      <c r="W473" s="59"/>
    </row>
    <row r="474" spans="23:23" ht="12.75">
      <c r="W474" s="59"/>
    </row>
    <row r="475" spans="23:23" ht="12.75">
      <c r="W475" s="59"/>
    </row>
    <row r="476" spans="23:23" ht="12.75">
      <c r="W476" s="59"/>
    </row>
    <row r="477" spans="23:23" ht="12.75">
      <c r="W477" s="59"/>
    </row>
    <row r="478" spans="23:23" ht="12.75">
      <c r="W478" s="59"/>
    </row>
    <row r="479" spans="23:23" ht="12.75">
      <c r="W479" s="59"/>
    </row>
    <row r="480" spans="23:23" ht="12.75">
      <c r="W480" s="59"/>
    </row>
    <row r="481" spans="23:23" ht="12.75">
      <c r="W481" s="59"/>
    </row>
    <row r="482" spans="23:23" ht="12.75">
      <c r="W482" s="59"/>
    </row>
    <row r="483" spans="23:23" ht="12.75">
      <c r="W483" s="59"/>
    </row>
    <row r="484" spans="23:23" ht="12.75">
      <c r="W484" s="59"/>
    </row>
    <row r="485" spans="23:23" ht="12.75">
      <c r="W485" s="59"/>
    </row>
    <row r="486" spans="23:23" ht="12.75">
      <c r="W486" s="59"/>
    </row>
    <row r="487" spans="23:23" ht="12.75">
      <c r="W487" s="59"/>
    </row>
    <row r="488" spans="23:23" ht="12.75">
      <c r="W488" s="59"/>
    </row>
    <row r="489" spans="23:23" ht="12.75">
      <c r="W489" s="59"/>
    </row>
    <row r="490" spans="23:23" ht="12.75">
      <c r="W490" s="59"/>
    </row>
    <row r="491" spans="23:23" ht="12.75">
      <c r="W491" s="59"/>
    </row>
    <row r="492" spans="23:23" ht="12.75">
      <c r="W492" s="59"/>
    </row>
    <row r="493" spans="23:23" ht="12.75">
      <c r="W493" s="59"/>
    </row>
    <row r="494" spans="23:23" ht="12.75">
      <c r="W494" s="59"/>
    </row>
    <row r="495" spans="23:23" ht="12.75">
      <c r="W495" s="59"/>
    </row>
    <row r="496" spans="23:23" ht="12.75">
      <c r="W496" s="59"/>
    </row>
    <row r="497" spans="23:23" ht="12.75">
      <c r="W497" s="59"/>
    </row>
    <row r="498" spans="23:23" ht="12.75">
      <c r="W498" s="59"/>
    </row>
    <row r="499" spans="23:23" ht="12.75">
      <c r="W499" s="59"/>
    </row>
    <row r="500" spans="23:23" ht="12.75">
      <c r="W500" s="59"/>
    </row>
    <row r="501" spans="23:23" ht="12.75">
      <c r="W501" s="59"/>
    </row>
    <row r="502" spans="23:23" ht="12.75">
      <c r="W502" s="59"/>
    </row>
    <row r="503" spans="23:23" ht="12.75">
      <c r="W503" s="59"/>
    </row>
    <row r="504" spans="23:23" ht="12.75">
      <c r="W504" s="59"/>
    </row>
    <row r="505" spans="23:23" ht="12.75">
      <c r="W505" s="59"/>
    </row>
    <row r="506" spans="23:23" ht="12.75">
      <c r="W506" s="59"/>
    </row>
    <row r="507" spans="23:23" ht="12.75">
      <c r="W507" s="59"/>
    </row>
    <row r="508" spans="23:23" ht="12.75">
      <c r="W508" s="59"/>
    </row>
    <row r="509" spans="23:23" ht="12.75">
      <c r="W509" s="59"/>
    </row>
    <row r="510" spans="23:23" ht="12.75">
      <c r="W510" s="59"/>
    </row>
    <row r="511" spans="23:23" ht="12.75">
      <c r="W511" s="59"/>
    </row>
    <row r="512" spans="23:23" ht="12.75">
      <c r="W512" s="59"/>
    </row>
    <row r="513" spans="23:23" ht="12.75">
      <c r="W513" s="59"/>
    </row>
    <row r="514" spans="23:23" ht="12.75">
      <c r="W514" s="59"/>
    </row>
    <row r="515" spans="23:23" ht="12.75">
      <c r="W515" s="59"/>
    </row>
    <row r="516" spans="23:23" ht="12.75">
      <c r="W516" s="59"/>
    </row>
    <row r="517" spans="23:23" ht="12.75">
      <c r="W517" s="59"/>
    </row>
    <row r="518" spans="23:23" ht="12.75">
      <c r="W518" s="59"/>
    </row>
    <row r="519" spans="23:23" ht="12.75">
      <c r="W519" s="59"/>
    </row>
    <row r="520" spans="23:23" ht="12.75">
      <c r="W520" s="59"/>
    </row>
    <row r="521" spans="23:23" ht="12.75">
      <c r="W521" s="59"/>
    </row>
    <row r="522" spans="23:23" ht="12.75">
      <c r="W522" s="59"/>
    </row>
    <row r="523" spans="23:23" ht="12.75">
      <c r="W523" s="59"/>
    </row>
    <row r="524" spans="23:23" ht="12.75">
      <c r="W524" s="59"/>
    </row>
    <row r="525" spans="23:23" ht="12.75">
      <c r="W525" s="59"/>
    </row>
    <row r="526" spans="23:23" ht="12.75">
      <c r="W526" s="59"/>
    </row>
    <row r="527" spans="23:23" ht="12.75">
      <c r="W527" s="59"/>
    </row>
    <row r="528" spans="23:23" ht="12.75">
      <c r="W528" s="59"/>
    </row>
    <row r="529" spans="23:23" ht="12.75">
      <c r="W529" s="59"/>
    </row>
    <row r="530" spans="23:23" ht="12.75">
      <c r="W530" s="59"/>
    </row>
    <row r="531" spans="23:23" ht="12.75">
      <c r="W531" s="59"/>
    </row>
    <row r="532" spans="23:23" ht="12.75">
      <c r="W532" s="59"/>
    </row>
    <row r="533" spans="23:23" ht="12.75">
      <c r="W533" s="59"/>
    </row>
    <row r="534" spans="23:23" ht="12.75">
      <c r="W534" s="59"/>
    </row>
    <row r="535" spans="23:23" ht="12.75">
      <c r="W535" s="59"/>
    </row>
    <row r="536" spans="23:23" ht="12.75">
      <c r="W536" s="59"/>
    </row>
    <row r="537" spans="23:23" ht="12.75">
      <c r="W537" s="59"/>
    </row>
    <row r="538" spans="23:23" ht="12.75">
      <c r="W538" s="59"/>
    </row>
    <row r="539" spans="23:23" ht="12.75">
      <c r="W539" s="59"/>
    </row>
    <row r="540" spans="23:23" ht="12.75">
      <c r="W540" s="59"/>
    </row>
    <row r="541" spans="23:23" ht="12.75">
      <c r="W541" s="59"/>
    </row>
    <row r="542" spans="23:23" ht="12.75">
      <c r="W542" s="59"/>
    </row>
    <row r="543" spans="23:23" ht="12.75">
      <c r="W543" s="59"/>
    </row>
    <row r="544" spans="23:23" ht="12.75">
      <c r="W544" s="59"/>
    </row>
    <row r="545" spans="23:23" ht="12.75">
      <c r="W545" s="59"/>
    </row>
    <row r="546" spans="23:23" ht="12.75">
      <c r="W546" s="59"/>
    </row>
    <row r="547" spans="23:23" ht="12.75">
      <c r="W547" s="59"/>
    </row>
    <row r="548" spans="23:23" ht="12.75">
      <c r="W548" s="59"/>
    </row>
    <row r="549" spans="23:23" ht="12.75">
      <c r="W549" s="59"/>
    </row>
    <row r="550" spans="23:23" ht="12.75">
      <c r="W550" s="59"/>
    </row>
    <row r="551" spans="23:23" ht="12.75">
      <c r="W551" s="59"/>
    </row>
    <row r="552" spans="23:23" ht="12.75">
      <c r="W552" s="59"/>
    </row>
    <row r="553" spans="23:23" ht="12.75">
      <c r="W553" s="59"/>
    </row>
    <row r="554" spans="23:23" ht="12.75">
      <c r="W554" s="59"/>
    </row>
    <row r="555" spans="23:23" ht="12.75">
      <c r="W555" s="59"/>
    </row>
    <row r="556" spans="23:23" ht="12.75">
      <c r="W556" s="59"/>
    </row>
    <row r="557" spans="23:23" ht="12.75">
      <c r="W557" s="59"/>
    </row>
    <row r="558" spans="23:23" ht="12.75">
      <c r="W558" s="59"/>
    </row>
    <row r="559" spans="23:23" ht="12.75">
      <c r="W559" s="59"/>
    </row>
    <row r="560" spans="23:23" ht="12.75">
      <c r="W560" s="59"/>
    </row>
    <row r="561" spans="23:23" ht="12.75">
      <c r="W561" s="59"/>
    </row>
    <row r="562" spans="23:23" ht="12.75">
      <c r="W562" s="59"/>
    </row>
    <row r="563" spans="23:23" ht="12.75">
      <c r="W563" s="59"/>
    </row>
    <row r="564" spans="23:23" ht="12.75">
      <c r="W564" s="59"/>
    </row>
    <row r="565" spans="23:23" ht="12.75">
      <c r="W565" s="59"/>
    </row>
    <row r="566" spans="23:23" ht="12.75">
      <c r="W566" s="59"/>
    </row>
    <row r="567" spans="23:23" ht="12.75">
      <c r="W567" s="59"/>
    </row>
    <row r="568" spans="23:23" ht="12.75">
      <c r="W568" s="59"/>
    </row>
    <row r="569" spans="23:23" ht="12.75">
      <c r="W569" s="59"/>
    </row>
    <row r="570" spans="23:23" ht="12.75">
      <c r="W570" s="59"/>
    </row>
    <row r="571" spans="23:23" ht="12.75">
      <c r="W571" s="59"/>
    </row>
    <row r="572" spans="23:23" ht="12.75">
      <c r="W572" s="59"/>
    </row>
    <row r="573" spans="23:23" ht="12.75">
      <c r="W573" s="59"/>
    </row>
    <row r="574" spans="23:23" ht="12.75">
      <c r="W574" s="59"/>
    </row>
    <row r="575" spans="23:23" ht="12.75">
      <c r="W575" s="59"/>
    </row>
    <row r="576" spans="23:23" ht="12.75">
      <c r="W576" s="59"/>
    </row>
    <row r="577" spans="23:23" ht="12.75">
      <c r="W577" s="59"/>
    </row>
    <row r="578" spans="23:23" ht="12.75">
      <c r="W578" s="59"/>
    </row>
    <row r="579" spans="23:23" ht="12.75">
      <c r="W579" s="59"/>
    </row>
    <row r="580" spans="23:23" ht="12.75">
      <c r="W580" s="59"/>
    </row>
    <row r="581" spans="23:23" ht="12.75">
      <c r="W581" s="59"/>
    </row>
    <row r="582" spans="23:23" ht="12.75">
      <c r="W582" s="59"/>
    </row>
    <row r="583" spans="23:23" ht="12.75">
      <c r="W583" s="59"/>
    </row>
    <row r="584" spans="23:23" ht="12.75">
      <c r="W584" s="59"/>
    </row>
    <row r="585" spans="23:23" ht="12.75">
      <c r="W585" s="59"/>
    </row>
    <row r="586" spans="23:23" ht="12.75">
      <c r="W586" s="59"/>
    </row>
    <row r="587" spans="23:23" ht="12.75">
      <c r="W587" s="59"/>
    </row>
    <row r="588" spans="23:23" ht="12.75">
      <c r="W588" s="59"/>
    </row>
    <row r="589" spans="23:23" ht="12.75">
      <c r="W589" s="59"/>
    </row>
    <row r="590" spans="23:23" ht="12.75">
      <c r="W590" s="59"/>
    </row>
    <row r="591" spans="23:23" ht="12.75">
      <c r="W591" s="59"/>
    </row>
    <row r="592" spans="23:23" ht="12.75">
      <c r="W592" s="59"/>
    </row>
    <row r="593" spans="23:23" ht="12.75">
      <c r="W593" s="59"/>
    </row>
    <row r="594" spans="23:23" ht="12.75">
      <c r="W594" s="59"/>
    </row>
    <row r="595" spans="23:23" ht="12.75">
      <c r="W595" s="59"/>
    </row>
    <row r="596" spans="23:23" ht="12.75">
      <c r="W596" s="59"/>
    </row>
    <row r="597" spans="23:23" ht="12.75">
      <c r="W597" s="59"/>
    </row>
    <row r="598" spans="23:23" ht="12.75">
      <c r="W598" s="59"/>
    </row>
    <row r="599" spans="23:23" ht="12.75">
      <c r="W599" s="59"/>
    </row>
    <row r="600" spans="23:23" ht="12.75">
      <c r="W600" s="59"/>
    </row>
    <row r="601" spans="23:23" ht="12.75">
      <c r="W601" s="59"/>
    </row>
    <row r="602" spans="23:23" ht="12.75">
      <c r="W602" s="59"/>
    </row>
    <row r="603" spans="23:23" ht="12.75">
      <c r="W603" s="59"/>
    </row>
    <row r="604" spans="23:23" ht="12.75">
      <c r="W604" s="59"/>
    </row>
    <row r="605" spans="23:23" ht="12.75">
      <c r="W605" s="59"/>
    </row>
    <row r="606" spans="23:23" ht="12.75">
      <c r="W606" s="59"/>
    </row>
    <row r="607" spans="23:23" ht="12.75">
      <c r="W607" s="59"/>
    </row>
    <row r="608" spans="23:23" ht="12.75">
      <c r="W608" s="59"/>
    </row>
    <row r="609" spans="23:23" ht="12.75">
      <c r="W609" s="59"/>
    </row>
    <row r="610" spans="23:23" ht="12.75">
      <c r="W610" s="59"/>
    </row>
    <row r="611" spans="23:23" ht="12.75">
      <c r="W611" s="59"/>
    </row>
    <row r="612" spans="23:23" ht="12.75">
      <c r="W612" s="59"/>
    </row>
    <row r="613" spans="23:23" ht="12.75">
      <c r="W613" s="59"/>
    </row>
    <row r="614" spans="23:23" ht="12.75">
      <c r="W614" s="59"/>
    </row>
    <row r="615" spans="23:23" ht="12.75">
      <c r="W615" s="59"/>
    </row>
    <row r="616" spans="23:23" ht="12.75">
      <c r="W616" s="59"/>
    </row>
    <row r="617" spans="23:23" ht="12.75">
      <c r="W617" s="59"/>
    </row>
    <row r="618" spans="23:23" ht="12.75">
      <c r="W618" s="59"/>
    </row>
    <row r="619" spans="23:23" ht="12.75">
      <c r="W619" s="59"/>
    </row>
    <row r="620" spans="23:23" ht="12.75">
      <c r="W620" s="59"/>
    </row>
    <row r="621" spans="23:23" ht="12.75">
      <c r="W621" s="59"/>
    </row>
    <row r="622" spans="23:23" ht="12.75">
      <c r="W622" s="59"/>
    </row>
    <row r="623" spans="23:23" ht="12.75">
      <c r="W623" s="59"/>
    </row>
    <row r="624" spans="23:23" ht="12.75">
      <c r="W624" s="59"/>
    </row>
    <row r="625" spans="23:23" ht="12.75">
      <c r="W625" s="59"/>
    </row>
    <row r="626" spans="23:23" ht="12.75">
      <c r="W626" s="59"/>
    </row>
    <row r="627" spans="23:23" ht="12.75">
      <c r="W627" s="59"/>
    </row>
    <row r="628" spans="23:23" ht="12.75">
      <c r="W628" s="59"/>
    </row>
    <row r="629" spans="23:23" ht="12.75">
      <c r="W629" s="59"/>
    </row>
    <row r="630" spans="23:23" ht="12.75">
      <c r="W630" s="59"/>
    </row>
    <row r="631" spans="23:23" ht="12.75">
      <c r="W631" s="59"/>
    </row>
    <row r="632" spans="23:23" ht="12.75">
      <c r="W632" s="59"/>
    </row>
    <row r="633" spans="23:23" ht="12.75">
      <c r="W633" s="59"/>
    </row>
    <row r="634" spans="23:23" ht="12.75">
      <c r="W634" s="59"/>
    </row>
    <row r="635" spans="23:23" ht="12.75">
      <c r="W635" s="59"/>
    </row>
    <row r="636" spans="23:23" ht="12.75">
      <c r="W636" s="59"/>
    </row>
    <row r="637" spans="23:23" ht="12.75">
      <c r="W637" s="59"/>
    </row>
    <row r="638" spans="23:23" ht="12.75">
      <c r="W638" s="59"/>
    </row>
    <row r="639" spans="23:23" ht="12.75">
      <c r="W639" s="59"/>
    </row>
    <row r="640" spans="23:23" ht="12.75">
      <c r="W640" s="59"/>
    </row>
    <row r="641" spans="23:23" ht="12.75">
      <c r="W641" s="59"/>
    </row>
    <row r="642" spans="23:23" ht="12.75">
      <c r="W642" s="59"/>
    </row>
    <row r="643" spans="23:23" ht="12.75">
      <c r="W643" s="59"/>
    </row>
    <row r="644" spans="23:23" ht="12.75">
      <c r="W644" s="59"/>
    </row>
    <row r="645" spans="23:23" ht="12.75">
      <c r="W645" s="59"/>
    </row>
    <row r="646" spans="23:23" ht="12.75">
      <c r="W646" s="59"/>
    </row>
    <row r="647" spans="23:23" ht="12.75">
      <c r="W647" s="59"/>
    </row>
    <row r="648" spans="23:23" ht="12.75">
      <c r="W648" s="59"/>
    </row>
    <row r="649" spans="23:23" ht="12.75">
      <c r="W649" s="59"/>
    </row>
    <row r="650" spans="23:23" ht="12.75">
      <c r="W650" s="59"/>
    </row>
    <row r="651" spans="23:23" ht="12.75">
      <c r="W651" s="59"/>
    </row>
    <row r="652" spans="23:23" ht="12.75">
      <c r="W652" s="59"/>
    </row>
    <row r="653" spans="23:23" ht="12.75">
      <c r="W653" s="59"/>
    </row>
    <row r="654" spans="23:23" ht="12.75">
      <c r="W654" s="59"/>
    </row>
    <row r="655" spans="23:23" ht="12.75">
      <c r="W655" s="59"/>
    </row>
    <row r="656" spans="23:23" ht="12.75">
      <c r="W656" s="59"/>
    </row>
    <row r="657" spans="23:23" ht="12.75">
      <c r="W657" s="59"/>
    </row>
    <row r="658" spans="23:23" ht="12.75">
      <c r="W658" s="59"/>
    </row>
    <row r="659" spans="23:23" ht="12.75">
      <c r="W659" s="59"/>
    </row>
    <row r="660" spans="23:23" ht="12.75">
      <c r="W660" s="59"/>
    </row>
    <row r="661" spans="23:23" ht="12.75">
      <c r="W661" s="59"/>
    </row>
    <row r="662" spans="23:23" ht="12.75">
      <c r="W662" s="59"/>
    </row>
    <row r="663" spans="23:23" ht="12.75">
      <c r="W663" s="59"/>
    </row>
    <row r="664" spans="23:23" ht="12.75">
      <c r="W664" s="59"/>
    </row>
    <row r="665" spans="23:23" ht="12.75">
      <c r="W665" s="59"/>
    </row>
    <row r="666" spans="23:23" ht="12.75">
      <c r="W666" s="59"/>
    </row>
    <row r="667" spans="23:23" ht="12.75">
      <c r="W667" s="59"/>
    </row>
    <row r="668" spans="23:23" ht="12.75">
      <c r="W668" s="59"/>
    </row>
    <row r="669" spans="23:23" ht="12.75">
      <c r="W669" s="59"/>
    </row>
    <row r="670" spans="23:23" ht="12.75">
      <c r="W670" s="59"/>
    </row>
    <row r="671" spans="23:23" ht="12.75">
      <c r="W671" s="59"/>
    </row>
    <row r="672" spans="23:23" ht="12.75">
      <c r="W672" s="59"/>
    </row>
    <row r="673" spans="23:23" ht="12.75">
      <c r="W673" s="59"/>
    </row>
    <row r="674" spans="23:23" ht="12.75">
      <c r="W674" s="59"/>
    </row>
    <row r="675" spans="23:23" ht="12.75">
      <c r="W675" s="59"/>
    </row>
    <row r="676" spans="23:23" ht="12.75">
      <c r="W676" s="59"/>
    </row>
    <row r="677" spans="23:23" ht="12.75">
      <c r="W677" s="59"/>
    </row>
    <row r="678" spans="23:23" ht="12.75">
      <c r="W678" s="59"/>
    </row>
    <row r="679" spans="23:23" ht="12.75">
      <c r="W679" s="59"/>
    </row>
    <row r="680" spans="23:23" ht="12.75">
      <c r="W680" s="59"/>
    </row>
    <row r="681" spans="23:23" ht="12.75">
      <c r="W681" s="59"/>
    </row>
    <row r="682" spans="23:23" ht="12.75">
      <c r="W682" s="59"/>
    </row>
    <row r="683" spans="23:23" ht="12.75">
      <c r="W683" s="59"/>
    </row>
    <row r="684" spans="23:23" ht="12.75">
      <c r="W684" s="59"/>
    </row>
    <row r="685" spans="23:23" ht="12.75">
      <c r="W685" s="59"/>
    </row>
    <row r="686" spans="23:23" ht="12.75">
      <c r="W686" s="59"/>
    </row>
    <row r="687" spans="23:23" ht="12.75">
      <c r="W687" s="59"/>
    </row>
    <row r="688" spans="23:23" ht="12.75">
      <c r="W688" s="59"/>
    </row>
    <row r="689" spans="23:23" ht="12.75">
      <c r="W689" s="59"/>
    </row>
    <row r="690" spans="23:23" ht="12.75">
      <c r="W690" s="59"/>
    </row>
    <row r="691" spans="23:23" ht="12.75">
      <c r="W691" s="59"/>
    </row>
    <row r="692" spans="23:23" ht="12.75">
      <c r="W692" s="59"/>
    </row>
    <row r="693" spans="23:23" ht="12.75">
      <c r="W693" s="59"/>
    </row>
    <row r="694" spans="23:23" ht="12.75">
      <c r="W694" s="59"/>
    </row>
    <row r="695" spans="23:23" ht="12.75">
      <c r="W695" s="59"/>
    </row>
    <row r="696" spans="23:23" ht="12.75">
      <c r="W696" s="59"/>
    </row>
    <row r="697" spans="23:23" ht="12.75">
      <c r="W697" s="59"/>
    </row>
    <row r="698" spans="23:23" ht="12.75">
      <c r="W698" s="59"/>
    </row>
    <row r="699" spans="23:23" ht="12.75">
      <c r="W699" s="59"/>
    </row>
    <row r="700" spans="23:23" ht="12.75">
      <c r="W700" s="59"/>
    </row>
    <row r="701" spans="23:23" ht="12.75">
      <c r="W701" s="59"/>
    </row>
    <row r="702" spans="23:23" ht="12.75">
      <c r="W702" s="59"/>
    </row>
    <row r="703" spans="23:23" ht="12.75">
      <c r="W703" s="59"/>
    </row>
    <row r="704" spans="23:23" ht="12.75">
      <c r="W704" s="59"/>
    </row>
    <row r="705" spans="23:23" ht="12.75">
      <c r="W705" s="59"/>
    </row>
    <row r="706" spans="23:23" ht="12.75">
      <c r="W706" s="59"/>
    </row>
    <row r="707" spans="23:23" ht="12.75">
      <c r="W707" s="59"/>
    </row>
    <row r="708" spans="23:23" ht="12.75">
      <c r="W708" s="59"/>
    </row>
    <row r="709" spans="23:23" ht="12.75">
      <c r="W709" s="59"/>
    </row>
    <row r="710" spans="23:23" ht="12.75">
      <c r="W710" s="59"/>
    </row>
    <row r="711" spans="23:23" ht="12.75">
      <c r="W711" s="59"/>
    </row>
    <row r="712" spans="23:23" ht="12.75">
      <c r="W712" s="59"/>
    </row>
    <row r="713" spans="23:23" ht="12.75">
      <c r="W713" s="59"/>
    </row>
    <row r="714" spans="23:23" ht="12.75">
      <c r="W714" s="59"/>
    </row>
    <row r="715" spans="23:23" ht="12.75">
      <c r="W715" s="59"/>
    </row>
    <row r="716" spans="23:23" ht="12.75">
      <c r="W716" s="59"/>
    </row>
    <row r="717" spans="23:23" ht="12.75">
      <c r="W717" s="59"/>
    </row>
    <row r="718" spans="23:23" ht="12.75">
      <c r="W718" s="59"/>
    </row>
    <row r="719" spans="23:23" ht="12.75">
      <c r="W719" s="59"/>
    </row>
    <row r="720" spans="23:23" ht="12.75">
      <c r="W720" s="59"/>
    </row>
    <row r="721" spans="23:23" ht="12.75">
      <c r="W721" s="59"/>
    </row>
    <row r="722" spans="23:23" ht="12.75">
      <c r="W722" s="59"/>
    </row>
    <row r="723" spans="23:23" ht="12.75">
      <c r="W723" s="59"/>
    </row>
    <row r="724" spans="23:23" ht="12.75">
      <c r="W724" s="59"/>
    </row>
    <row r="725" spans="23:23" ht="12.75">
      <c r="W725" s="59"/>
    </row>
    <row r="726" spans="23:23" ht="12.75">
      <c r="W726" s="59"/>
    </row>
    <row r="727" spans="23:23" ht="12.75">
      <c r="W727" s="59"/>
    </row>
    <row r="728" spans="23:23" ht="12.75">
      <c r="W728" s="59"/>
    </row>
    <row r="729" spans="23:23" ht="12.75">
      <c r="W729" s="59"/>
    </row>
    <row r="730" spans="23:23" ht="12.75">
      <c r="W730" s="59"/>
    </row>
    <row r="731" spans="23:23" ht="12.75">
      <c r="W731" s="59"/>
    </row>
    <row r="732" spans="23:23" ht="12.75">
      <c r="W732" s="59"/>
    </row>
    <row r="733" spans="23:23" ht="12.75">
      <c r="W733" s="59"/>
    </row>
    <row r="734" spans="23:23" ht="12.75">
      <c r="W734" s="59"/>
    </row>
    <row r="735" spans="23:23" ht="12.75">
      <c r="W735" s="59"/>
    </row>
    <row r="736" spans="23:23" ht="12.75">
      <c r="W736" s="59"/>
    </row>
    <row r="737" spans="23:23" ht="12.75">
      <c r="W737" s="59"/>
    </row>
    <row r="738" spans="23:23" ht="12.75">
      <c r="W738" s="59"/>
    </row>
    <row r="739" spans="23:23" ht="12.75">
      <c r="W739" s="59"/>
    </row>
    <row r="740" spans="23:23" ht="12.75">
      <c r="W740" s="59"/>
    </row>
    <row r="741" spans="23:23" ht="12.75">
      <c r="W741" s="59"/>
    </row>
    <row r="742" spans="23:23" ht="12.75">
      <c r="W742" s="59"/>
    </row>
    <row r="743" spans="23:23" ht="12.75">
      <c r="W743" s="59"/>
    </row>
    <row r="744" spans="23:23" ht="12.75">
      <c r="W744" s="59"/>
    </row>
    <row r="745" spans="23:23" ht="12.75">
      <c r="W745" s="59"/>
    </row>
    <row r="746" spans="23:23" ht="12.75">
      <c r="W746" s="59"/>
    </row>
    <row r="747" spans="23:23" ht="12.75">
      <c r="W747" s="59"/>
    </row>
    <row r="748" spans="23:23" ht="12.75">
      <c r="W748" s="59"/>
    </row>
    <row r="749" spans="23:23" ht="12.75">
      <c r="W749" s="59"/>
    </row>
    <row r="750" spans="23:23" ht="12.75">
      <c r="W750" s="59"/>
    </row>
    <row r="751" spans="23:23" ht="12.75">
      <c r="W751" s="59"/>
    </row>
    <row r="752" spans="23:23" ht="12.75">
      <c r="W752" s="59"/>
    </row>
    <row r="753" spans="23:23" ht="12.75">
      <c r="W753" s="59"/>
    </row>
    <row r="754" spans="23:23" ht="12.75">
      <c r="W754" s="59"/>
    </row>
    <row r="755" spans="23:23" ht="12.75">
      <c r="W755" s="59"/>
    </row>
    <row r="756" spans="23:23" ht="12.75">
      <c r="W756" s="59"/>
    </row>
    <row r="757" spans="23:23" ht="12.75">
      <c r="W757" s="59"/>
    </row>
    <row r="758" spans="23:23" ht="12.75">
      <c r="W758" s="59"/>
    </row>
    <row r="759" spans="23:23" ht="12.75">
      <c r="W759" s="59"/>
    </row>
    <row r="760" spans="23:23" ht="12.75">
      <c r="W760" s="59"/>
    </row>
    <row r="761" spans="23:23" ht="12.75">
      <c r="W761" s="59"/>
    </row>
    <row r="762" spans="23:23" ht="12.75">
      <c r="W762" s="59"/>
    </row>
    <row r="763" spans="23:23" ht="12.75">
      <c r="W763" s="59"/>
    </row>
    <row r="764" spans="23:23" ht="12.75">
      <c r="W764" s="59"/>
    </row>
    <row r="765" spans="23:23" ht="12.75">
      <c r="W765" s="59"/>
    </row>
    <row r="766" spans="23:23" ht="12.75">
      <c r="W766" s="59"/>
    </row>
    <row r="767" spans="23:23" ht="12.75">
      <c r="W767" s="59"/>
    </row>
    <row r="768" spans="23:23" ht="12.75">
      <c r="W768" s="59"/>
    </row>
    <row r="769" spans="23:23" ht="12.75">
      <c r="W769" s="59"/>
    </row>
    <row r="770" spans="23:23" ht="12.75">
      <c r="W770" s="59"/>
    </row>
    <row r="771" spans="23:23" ht="12.75">
      <c r="W771" s="59"/>
    </row>
    <row r="772" spans="23:23" ht="12.75">
      <c r="W772" s="59"/>
    </row>
    <row r="773" spans="23:23" ht="12.75">
      <c r="W773" s="59"/>
    </row>
    <row r="774" spans="23:23" ht="12.75">
      <c r="W774" s="59"/>
    </row>
    <row r="775" spans="23:23" ht="12.75">
      <c r="W775" s="59"/>
    </row>
    <row r="776" spans="23:23" ht="12.75">
      <c r="W776" s="59"/>
    </row>
    <row r="777" spans="23:23" ht="12.75">
      <c r="W777" s="59"/>
    </row>
    <row r="778" spans="23:23" ht="12.75">
      <c r="W778" s="59"/>
    </row>
    <row r="779" spans="23:23" ht="12.75">
      <c r="W779" s="59"/>
    </row>
    <row r="780" spans="23:23" ht="12.75">
      <c r="W780" s="59"/>
    </row>
    <row r="781" spans="23:23" ht="12.75">
      <c r="W781" s="59"/>
    </row>
    <row r="782" spans="23:23" ht="12.75">
      <c r="W782" s="59"/>
    </row>
    <row r="783" spans="23:23" ht="12.75">
      <c r="W783" s="59"/>
    </row>
    <row r="784" spans="23:23" ht="12.75">
      <c r="W784" s="59"/>
    </row>
    <row r="785" spans="23:23" ht="12.75">
      <c r="W785" s="59"/>
    </row>
    <row r="786" spans="23:23" ht="12.75">
      <c r="W786" s="59"/>
    </row>
    <row r="787" spans="23:23" ht="12.75">
      <c r="W787" s="59"/>
    </row>
    <row r="788" spans="23:23" ht="12.75">
      <c r="W788" s="59"/>
    </row>
    <row r="789" spans="23:23" ht="12.75">
      <c r="W789" s="59"/>
    </row>
    <row r="790" spans="23:23" ht="12.75">
      <c r="W790" s="59"/>
    </row>
    <row r="791" spans="23:23" ht="12.75">
      <c r="W791" s="59"/>
    </row>
    <row r="792" spans="23:23" ht="12.75">
      <c r="W792" s="59"/>
    </row>
    <row r="793" spans="23:23" ht="12.75">
      <c r="W793" s="59"/>
    </row>
    <row r="794" spans="23:23" ht="12.75">
      <c r="W794" s="59"/>
    </row>
    <row r="795" spans="23:23" ht="12.75">
      <c r="W795" s="59"/>
    </row>
    <row r="796" spans="23:23" ht="12.75">
      <c r="W796" s="59"/>
    </row>
    <row r="797" spans="23:23" ht="12.75">
      <c r="W797" s="59"/>
    </row>
    <row r="798" spans="23:23" ht="12.75">
      <c r="W798" s="59"/>
    </row>
    <row r="799" spans="23:23" ht="12.75">
      <c r="W799" s="59"/>
    </row>
    <row r="800" spans="23:23" ht="12.75">
      <c r="W800" s="59"/>
    </row>
    <row r="801" spans="23:23" ht="12.75">
      <c r="W801" s="59"/>
    </row>
    <row r="802" spans="23:23" ht="12.75">
      <c r="W802" s="59"/>
    </row>
    <row r="803" spans="23:23" ht="12.75">
      <c r="W803" s="59"/>
    </row>
    <row r="804" spans="23:23" ht="12.75">
      <c r="W804" s="59"/>
    </row>
    <row r="805" spans="23:23" ht="12.75">
      <c r="W805" s="59"/>
    </row>
    <row r="806" spans="23:23" ht="12.75">
      <c r="W806" s="59"/>
    </row>
    <row r="807" spans="23:23" ht="12.75">
      <c r="W807" s="59"/>
    </row>
    <row r="808" spans="23:23" ht="12.75">
      <c r="W808" s="59"/>
    </row>
    <row r="809" spans="23:23" ht="12.75">
      <c r="W809" s="59"/>
    </row>
    <row r="810" spans="23:23" ht="12.75">
      <c r="W810" s="59"/>
    </row>
    <row r="811" spans="23:23" ht="12.75">
      <c r="W811" s="59"/>
    </row>
    <row r="812" spans="23:23" ht="12.75">
      <c r="W812" s="59"/>
    </row>
    <row r="813" spans="23:23" ht="12.75">
      <c r="W813" s="59"/>
    </row>
    <row r="814" spans="23:23" ht="12.75">
      <c r="W814" s="59"/>
    </row>
    <row r="815" spans="23:23" ht="12.75">
      <c r="W815" s="59"/>
    </row>
    <row r="816" spans="23:23" ht="12.75">
      <c r="W816" s="59"/>
    </row>
    <row r="817" spans="23:23" ht="12.75">
      <c r="W817" s="59"/>
    </row>
    <row r="818" spans="23:23" ht="12.75">
      <c r="W818" s="59"/>
    </row>
    <row r="819" spans="23:23" ht="12.75">
      <c r="W819" s="59"/>
    </row>
    <row r="820" spans="23:23" ht="12.75">
      <c r="W820" s="59"/>
    </row>
    <row r="821" spans="23:23" ht="12.75">
      <c r="W821" s="59"/>
    </row>
    <row r="822" spans="23:23" ht="12.75">
      <c r="W822" s="59"/>
    </row>
    <row r="823" spans="23:23" ht="12.75">
      <c r="W823" s="59"/>
    </row>
    <row r="824" spans="23:23" ht="12.75">
      <c r="W824" s="59"/>
    </row>
    <row r="825" spans="23:23" ht="12.75">
      <c r="W825" s="59"/>
    </row>
    <row r="826" spans="23:23" ht="12.75">
      <c r="W826" s="59"/>
    </row>
    <row r="827" spans="23:23" ht="12.75">
      <c r="W827" s="59"/>
    </row>
    <row r="828" spans="23:23" ht="12.75">
      <c r="W828" s="59"/>
    </row>
    <row r="829" spans="23:23" ht="12.75">
      <c r="W829" s="59"/>
    </row>
    <row r="830" spans="23:23" ht="12.75">
      <c r="W830" s="59"/>
    </row>
    <row r="831" spans="23:23" ht="12.75">
      <c r="W831" s="59"/>
    </row>
    <row r="832" spans="23:23" ht="12.75">
      <c r="W832" s="59"/>
    </row>
    <row r="833" spans="23:23" ht="12.75">
      <c r="W833" s="59"/>
    </row>
    <row r="834" spans="23:23" ht="12.75">
      <c r="W834" s="59"/>
    </row>
    <row r="835" spans="23:23" ht="12.75">
      <c r="W835" s="59"/>
    </row>
    <row r="836" spans="23:23" ht="12.75">
      <c r="W836" s="59"/>
    </row>
    <row r="837" spans="23:23" ht="12.75">
      <c r="W837" s="59"/>
    </row>
    <row r="838" spans="23:23" ht="12.75">
      <c r="W838" s="59"/>
    </row>
    <row r="839" spans="23:23" ht="12.75">
      <c r="W839" s="59"/>
    </row>
    <row r="840" spans="23:23" ht="12.75">
      <c r="W840" s="59"/>
    </row>
    <row r="841" spans="23:23" ht="12.75">
      <c r="W841" s="59"/>
    </row>
    <row r="842" spans="23:23" ht="12.75">
      <c r="W842" s="59"/>
    </row>
    <row r="843" spans="23:23" ht="12.75">
      <c r="W843" s="59"/>
    </row>
    <row r="844" spans="23:23" ht="12.75">
      <c r="W844" s="59"/>
    </row>
    <row r="845" spans="23:23" ht="12.75">
      <c r="W845" s="59"/>
    </row>
    <row r="846" spans="23:23" ht="12.75">
      <c r="W846" s="59"/>
    </row>
    <row r="847" spans="23:23" ht="12.75">
      <c r="W847" s="59"/>
    </row>
    <row r="848" spans="23:23" ht="12.75">
      <c r="W848" s="59"/>
    </row>
    <row r="849" spans="23:23" ht="12.75">
      <c r="W849" s="59"/>
    </row>
    <row r="850" spans="23:23" ht="12.75">
      <c r="W850" s="59"/>
    </row>
    <row r="851" spans="23:23" ht="12.75">
      <c r="W851" s="59"/>
    </row>
    <row r="852" spans="23:23" ht="12.75">
      <c r="W852" s="59"/>
    </row>
    <row r="853" spans="23:23" ht="12.75">
      <c r="W853" s="59"/>
    </row>
    <row r="854" spans="23:23" ht="12.75">
      <c r="W854" s="59"/>
    </row>
    <row r="855" spans="23:23" ht="12.75">
      <c r="W855" s="59"/>
    </row>
    <row r="856" spans="23:23" ht="12.75">
      <c r="W856" s="59"/>
    </row>
    <row r="857" spans="23:23" ht="12.75">
      <c r="W857" s="59"/>
    </row>
    <row r="858" spans="23:23" ht="12.75">
      <c r="W858" s="59"/>
    </row>
    <row r="859" spans="23:23" ht="12.75">
      <c r="W859" s="59"/>
    </row>
    <row r="860" spans="23:23" ht="12.75">
      <c r="W860" s="59"/>
    </row>
    <row r="861" spans="23:23" ht="12.75">
      <c r="W861" s="59"/>
    </row>
    <row r="862" spans="23:23" ht="12.75">
      <c r="W862" s="59"/>
    </row>
    <row r="863" spans="23:23" ht="12.75">
      <c r="W863" s="59"/>
    </row>
    <row r="864" spans="23:23" ht="12.75">
      <c r="W864" s="59"/>
    </row>
    <row r="865" spans="23:23" ht="12.75">
      <c r="W865" s="59"/>
    </row>
    <row r="866" spans="23:23" ht="12.75">
      <c r="W866" s="59"/>
    </row>
    <row r="867" spans="23:23" ht="12.75">
      <c r="W867" s="59"/>
    </row>
    <row r="868" spans="23:23" ht="12.75">
      <c r="W868" s="59"/>
    </row>
    <row r="869" spans="23:23" ht="12.75">
      <c r="W869" s="59"/>
    </row>
    <row r="870" spans="23:23" ht="12.75">
      <c r="W870" s="59"/>
    </row>
    <row r="871" spans="23:23" ht="12.75">
      <c r="W871" s="59"/>
    </row>
    <row r="872" spans="23:23" ht="12.75">
      <c r="W872" s="59"/>
    </row>
    <row r="873" spans="23:23" ht="12.75">
      <c r="W873" s="59"/>
    </row>
    <row r="874" spans="23:23" ht="12.75">
      <c r="W874" s="59"/>
    </row>
    <row r="875" spans="23:23" ht="12.75">
      <c r="W875" s="59"/>
    </row>
    <row r="876" spans="23:23" ht="12.75">
      <c r="W876" s="59"/>
    </row>
    <row r="877" spans="23:23" ht="12.75">
      <c r="W877" s="59"/>
    </row>
    <row r="878" spans="23:23" ht="12.75">
      <c r="W878" s="59"/>
    </row>
    <row r="879" spans="23:23" ht="12.75">
      <c r="W879" s="59"/>
    </row>
    <row r="880" spans="23:23" ht="12.75">
      <c r="W880" s="59"/>
    </row>
    <row r="881" spans="23:23" ht="12.75">
      <c r="W881" s="59"/>
    </row>
    <row r="882" spans="23:23" ht="12.75">
      <c r="W882" s="59"/>
    </row>
    <row r="883" spans="23:23" ht="12.75">
      <c r="W883" s="59"/>
    </row>
    <row r="884" spans="23:23" ht="12.75">
      <c r="W884" s="59"/>
    </row>
    <row r="885" spans="23:23" ht="12.75">
      <c r="W885" s="59"/>
    </row>
    <row r="886" spans="23:23" ht="12.75">
      <c r="W886" s="59"/>
    </row>
    <row r="887" spans="23:23" ht="12.75">
      <c r="W887" s="59"/>
    </row>
    <row r="888" spans="23:23" ht="12.75">
      <c r="W888" s="59"/>
    </row>
    <row r="889" spans="23:23" ht="12.75">
      <c r="W889" s="59"/>
    </row>
    <row r="890" spans="23:23" ht="12.75">
      <c r="W890" s="59"/>
    </row>
    <row r="891" spans="23:23" ht="12.75">
      <c r="W891" s="59"/>
    </row>
    <row r="892" spans="23:23" ht="12.75">
      <c r="W892" s="59"/>
    </row>
    <row r="893" spans="23:23" ht="12.75">
      <c r="W893" s="59"/>
    </row>
    <row r="894" spans="23:23" ht="12.75">
      <c r="W894" s="59"/>
    </row>
    <row r="895" spans="23:23" ht="12.75">
      <c r="W895" s="59"/>
    </row>
    <row r="896" spans="23:23" ht="12.75">
      <c r="W896" s="59"/>
    </row>
    <row r="897" spans="23:23" ht="12.75">
      <c r="W897" s="59"/>
    </row>
    <row r="898" spans="23:23" ht="12.75">
      <c r="W898" s="59"/>
    </row>
    <row r="899" spans="23:23" ht="12.75">
      <c r="W899" s="59"/>
    </row>
    <row r="900" spans="23:23" ht="12.75">
      <c r="W900" s="59"/>
    </row>
    <row r="901" spans="23:23" ht="12.75">
      <c r="W901" s="59"/>
    </row>
    <row r="902" spans="23:23" ht="12.75">
      <c r="W902" s="59"/>
    </row>
    <row r="903" spans="23:23" ht="12.75">
      <c r="W903" s="59"/>
    </row>
    <row r="904" spans="23:23" ht="12.75">
      <c r="W904" s="59"/>
    </row>
    <row r="905" spans="23:23" ht="12.75">
      <c r="W905" s="59"/>
    </row>
    <row r="906" spans="23:23" ht="12.75">
      <c r="W906" s="59"/>
    </row>
    <row r="907" spans="23:23" ht="12.75">
      <c r="W907" s="59"/>
    </row>
    <row r="908" spans="23:23" ht="12.75">
      <c r="W908" s="59"/>
    </row>
    <row r="909" spans="23:23" ht="12.75">
      <c r="W909" s="59"/>
    </row>
    <row r="910" spans="23:23" ht="12.75">
      <c r="W910" s="59"/>
    </row>
    <row r="911" spans="23:23" ht="12.75">
      <c r="W911" s="59"/>
    </row>
    <row r="912" spans="23:23" ht="12.75">
      <c r="W912" s="59"/>
    </row>
    <row r="913" spans="23:23" ht="12.75">
      <c r="W913" s="59"/>
    </row>
    <row r="914" spans="23:23" ht="12.75">
      <c r="W914" s="59"/>
    </row>
    <row r="915" spans="23:23" ht="12.75">
      <c r="W915" s="59"/>
    </row>
    <row r="916" spans="23:23" ht="12.75">
      <c r="W916" s="59"/>
    </row>
    <row r="917" spans="23:23" ht="12.75">
      <c r="W917" s="59"/>
    </row>
    <row r="918" spans="23:23" ht="12.75">
      <c r="W918" s="59"/>
    </row>
    <row r="919" spans="23:23" ht="12.75">
      <c r="W919" s="59"/>
    </row>
    <row r="920" spans="23:23" ht="12.75">
      <c r="W920" s="59"/>
    </row>
    <row r="921" spans="23:23" ht="12.75">
      <c r="W921" s="59"/>
    </row>
    <row r="922" spans="23:23" ht="12.75">
      <c r="W922" s="59"/>
    </row>
    <row r="923" spans="23:23" ht="12.75">
      <c r="W923" s="59"/>
    </row>
    <row r="924" spans="23:23" ht="12.75">
      <c r="W924" s="59"/>
    </row>
    <row r="925" spans="23:23" ht="12.75">
      <c r="W925" s="59"/>
    </row>
    <row r="926" spans="23:23" ht="12.75">
      <c r="W926" s="59"/>
    </row>
    <row r="927" spans="23:23" ht="12.75">
      <c r="W927" s="59"/>
    </row>
    <row r="928" spans="23:23" ht="12.75">
      <c r="W928" s="59"/>
    </row>
    <row r="929" spans="23:23" ht="12.75">
      <c r="W929" s="59"/>
    </row>
    <row r="930" spans="23:23" ht="12.75">
      <c r="W930" s="59"/>
    </row>
    <row r="931" spans="23:23" ht="12.75">
      <c r="W931" s="59"/>
    </row>
    <row r="932" spans="23:23" ht="12.75">
      <c r="W932" s="59"/>
    </row>
    <row r="933" spans="23:23" ht="12.75">
      <c r="W933" s="59"/>
    </row>
    <row r="934" spans="23:23" ht="12.75">
      <c r="W934" s="59"/>
    </row>
    <row r="935" spans="23:23" ht="12.75">
      <c r="W935" s="59"/>
    </row>
    <row r="936" spans="23:23" ht="12.75">
      <c r="W936" s="59"/>
    </row>
    <row r="937" spans="23:23" ht="12.75">
      <c r="W937" s="59"/>
    </row>
    <row r="938" spans="23:23" ht="12.75">
      <c r="W938" s="59"/>
    </row>
    <row r="939" spans="23:23" ht="12.75">
      <c r="W939" s="59"/>
    </row>
    <row r="940" spans="23:23" ht="12.75">
      <c r="W940" s="59"/>
    </row>
    <row r="941" spans="23:23" ht="12.75">
      <c r="W941" s="59"/>
    </row>
    <row r="942" spans="23:23" ht="12.75">
      <c r="W942" s="59"/>
    </row>
    <row r="943" spans="23:23" ht="12.75">
      <c r="W943" s="59"/>
    </row>
    <row r="944" spans="23:23" ht="12.75">
      <c r="W944" s="59"/>
    </row>
    <row r="945" spans="23:23" ht="12.75">
      <c r="W945" s="59"/>
    </row>
    <row r="946" spans="23:23" ht="12.75">
      <c r="W946" s="59"/>
    </row>
    <row r="947" spans="23:23" ht="12.75">
      <c r="W947" s="59"/>
    </row>
    <row r="948" spans="23:23" ht="12.75">
      <c r="W948" s="59"/>
    </row>
    <row r="949" spans="23:23" ht="12.75">
      <c r="W949" s="59"/>
    </row>
    <row r="950" spans="23:23" ht="12.75">
      <c r="W950" s="59"/>
    </row>
    <row r="951" spans="23:23" ht="12.75">
      <c r="W951" s="59"/>
    </row>
    <row r="952" spans="23:23" ht="12.75">
      <c r="W952" s="59"/>
    </row>
    <row r="953" spans="23:23" ht="12.75">
      <c r="W953" s="59"/>
    </row>
    <row r="954" spans="23:23" ht="12.75">
      <c r="W954" s="59"/>
    </row>
    <row r="955" spans="23:23" ht="12.75">
      <c r="W955" s="59"/>
    </row>
    <row r="956" spans="23:23" ht="12.75">
      <c r="W956" s="59"/>
    </row>
    <row r="957" spans="23:23" ht="12.75">
      <c r="W957" s="59"/>
    </row>
    <row r="958" spans="23:23" ht="12.75">
      <c r="W958" s="59"/>
    </row>
    <row r="959" spans="23:23" ht="12.75">
      <c r="W959" s="59"/>
    </row>
    <row r="960" spans="23:23" ht="12.75">
      <c r="W960" s="59"/>
    </row>
    <row r="961" spans="23:23" ht="12.75">
      <c r="W961" s="59"/>
    </row>
    <row r="962" spans="23:23" ht="12.75">
      <c r="W962" s="59"/>
    </row>
    <row r="963" spans="23:23" ht="12.75">
      <c r="W963" s="59"/>
    </row>
    <row r="964" spans="23:23" ht="12.75">
      <c r="W964" s="59"/>
    </row>
    <row r="965" spans="23:23" ht="12.75">
      <c r="W965" s="59"/>
    </row>
    <row r="966" spans="23:23" ht="12.75">
      <c r="W966" s="59"/>
    </row>
    <row r="967" spans="23:23" ht="12.75">
      <c r="W967" s="59"/>
    </row>
    <row r="968" spans="23:23" ht="12.75">
      <c r="W968" s="59"/>
    </row>
    <row r="969" spans="23:23" ht="12.75">
      <c r="W969" s="59"/>
    </row>
    <row r="970" spans="23:23" ht="12.75">
      <c r="W970" s="59"/>
    </row>
    <row r="971" spans="23:23" ht="12.75">
      <c r="W971" s="59"/>
    </row>
    <row r="972" spans="23:23" ht="12.75">
      <c r="W972" s="59"/>
    </row>
    <row r="973" spans="23:23" ht="12.75">
      <c r="W973" s="59"/>
    </row>
    <row r="974" spans="23:23" ht="12.75">
      <c r="W974" s="59"/>
    </row>
    <row r="975" spans="23:23" ht="12.75">
      <c r="W975" s="59"/>
    </row>
    <row r="976" spans="23:23" ht="12.75">
      <c r="W976" s="59"/>
    </row>
    <row r="977" spans="23:23" ht="12.75">
      <c r="W977" s="59"/>
    </row>
    <row r="978" spans="23:23" ht="12.75">
      <c r="W978" s="59"/>
    </row>
    <row r="979" spans="23:23" ht="12.75">
      <c r="W979" s="59"/>
    </row>
    <row r="980" spans="23:23" ht="12.75">
      <c r="W980" s="59"/>
    </row>
    <row r="981" spans="23:23" ht="12.75">
      <c r="W981" s="59"/>
    </row>
    <row r="982" spans="23:23" ht="12.75">
      <c r="W982" s="59"/>
    </row>
    <row r="983" spans="23:23" ht="12.75">
      <c r="W983" s="59"/>
    </row>
    <row r="984" spans="23:23" ht="12.75">
      <c r="W984" s="59"/>
    </row>
    <row r="985" spans="23:23" ht="12.75">
      <c r="W985" s="59"/>
    </row>
    <row r="986" spans="23:23" ht="12.75">
      <c r="W986" s="59"/>
    </row>
    <row r="987" spans="23:23" ht="12.75">
      <c r="W987" s="59"/>
    </row>
  </sheetData>
  <mergeCells count="10">
    <mergeCell ref="V5:Y5"/>
    <mergeCell ref="Z5:AD5"/>
    <mergeCell ref="AE5:AK5"/>
    <mergeCell ref="A1:AD2"/>
    <mergeCell ref="A3:AD4"/>
    <mergeCell ref="A5:B5"/>
    <mergeCell ref="D5:F5"/>
    <mergeCell ref="G5:M5"/>
    <mergeCell ref="N5:P5"/>
    <mergeCell ref="Q5:U5"/>
  </mergeCells>
  <phoneticPr fontId="40" type="noConversion"/>
  <conditionalFormatting sqref="A7:A23">
    <cfRule type="notContainsBlanks" dxfId="1" priority="1">
      <formula>LEN(TRIM(A7))&gt;0</formula>
    </cfRule>
  </conditionalFormatting>
  <dataValidations count="2">
    <dataValidation type="list" allowBlank="1" showErrorMessage="1" sqref="A8:A23" xr:uid="{00000000-0002-0000-0900-000000000000}">
      <formula1>$AE$7:$AE$23</formula1>
    </dataValidation>
    <dataValidation type="list" allowBlank="1" showErrorMessage="1" sqref="A7" xr:uid="{00000000-0002-0000-0900-000001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R1017"/>
  <sheetViews>
    <sheetView workbookViewId="0">
      <pane xSplit="2" topLeftCell="P1" activePane="topRight" state="frozen"/>
      <selection pane="topRight" activeCell="AD12" sqref="AD12"/>
    </sheetView>
  </sheetViews>
  <sheetFormatPr defaultColWidth="12.5703125" defaultRowHeight="15.75" customHeight="1"/>
  <cols>
    <col min="1" max="1" width="18.42578125" customWidth="1"/>
    <col min="2" max="2" width="22.42578125" customWidth="1"/>
    <col min="31" max="31" width="33" customWidth="1"/>
  </cols>
  <sheetData>
    <row r="1" spans="1:44" ht="15">
      <c r="A1" s="1"/>
      <c r="B1" s="2"/>
      <c r="C1" s="2"/>
      <c r="D1" s="2"/>
      <c r="E1" s="2"/>
      <c r="F1" s="2"/>
      <c r="G1" s="2"/>
      <c r="H1" s="2"/>
      <c r="I1" s="2"/>
      <c r="J1" s="2"/>
      <c r="K1" s="2"/>
      <c r="L1" s="1" t="s">
        <v>0</v>
      </c>
      <c r="M1" s="2"/>
      <c r="N1" s="2"/>
      <c r="O1" s="2"/>
      <c r="P1" s="2"/>
      <c r="Q1" s="2"/>
      <c r="R1" s="2"/>
      <c r="S1" s="2"/>
      <c r="T1" s="2"/>
      <c r="U1" s="2"/>
      <c r="V1" s="2"/>
      <c r="W1" s="2"/>
      <c r="X1" s="2"/>
      <c r="Y1" s="2"/>
      <c r="Z1" s="2"/>
      <c r="AA1" s="2"/>
      <c r="AB1" s="2"/>
      <c r="AC1" s="2"/>
      <c r="AD1" s="2"/>
      <c r="AE1" s="3"/>
      <c r="AF1" s="3"/>
      <c r="AG1" s="4"/>
      <c r="AH1" s="4"/>
      <c r="AI1" s="4"/>
      <c r="AJ1" s="4"/>
      <c r="AK1" s="4"/>
      <c r="AL1" s="93"/>
      <c r="AM1" s="93"/>
      <c r="AN1" s="93"/>
      <c r="AO1" s="93"/>
      <c r="AP1" s="93"/>
      <c r="AQ1" s="93"/>
      <c r="AR1" s="93"/>
    </row>
    <row r="2" spans="1:44" ht="15">
      <c r="A2" s="5"/>
      <c r="B2" s="6"/>
      <c r="C2" s="6"/>
      <c r="D2" s="6"/>
      <c r="E2" s="6"/>
      <c r="F2" s="6"/>
      <c r="G2" s="6"/>
      <c r="H2" s="6"/>
      <c r="I2" s="6"/>
      <c r="J2" s="6"/>
      <c r="K2" s="6"/>
      <c r="L2" s="6"/>
      <c r="M2" s="6"/>
      <c r="N2" s="6"/>
      <c r="O2" s="6"/>
      <c r="P2" s="6"/>
      <c r="Q2" s="6"/>
      <c r="R2" s="6"/>
      <c r="S2" s="6"/>
      <c r="T2" s="6"/>
      <c r="U2" s="6"/>
      <c r="V2" s="6"/>
      <c r="W2" s="6"/>
      <c r="X2" s="6"/>
      <c r="Y2" s="6"/>
      <c r="Z2" s="6"/>
      <c r="AA2" s="6"/>
      <c r="AB2" s="6"/>
      <c r="AC2" s="6"/>
      <c r="AD2" s="6"/>
      <c r="AE2" s="3"/>
      <c r="AF2" s="3"/>
      <c r="AG2" s="4"/>
      <c r="AH2" s="4"/>
      <c r="AI2" s="4"/>
      <c r="AJ2" s="4"/>
      <c r="AK2" s="4"/>
      <c r="AL2" s="93"/>
      <c r="AM2" s="93"/>
      <c r="AN2" s="93"/>
      <c r="AO2" s="93"/>
      <c r="AP2" s="93"/>
      <c r="AQ2" s="93"/>
      <c r="AR2" s="93"/>
    </row>
    <row r="3" spans="1:44" ht="15">
      <c r="A3" s="5"/>
      <c r="B3" s="6"/>
      <c r="C3" s="6"/>
      <c r="D3" s="6"/>
      <c r="E3" s="6"/>
      <c r="F3" s="6"/>
      <c r="G3" s="6"/>
      <c r="H3" s="6"/>
      <c r="I3" s="6"/>
      <c r="J3" s="6"/>
      <c r="K3" s="6"/>
      <c r="L3" s="5" t="s">
        <v>1</v>
      </c>
      <c r="M3" s="6"/>
      <c r="N3" s="6"/>
      <c r="O3" s="6"/>
      <c r="P3" s="6"/>
      <c r="Q3" s="6"/>
      <c r="R3" s="6"/>
      <c r="S3" s="6"/>
      <c r="T3" s="6"/>
      <c r="U3" s="6"/>
      <c r="V3" s="6"/>
      <c r="W3" s="6"/>
      <c r="X3" s="6"/>
      <c r="Y3" s="6"/>
      <c r="Z3" s="6"/>
      <c r="AA3" s="6"/>
      <c r="AB3" s="6"/>
      <c r="AC3" s="6"/>
      <c r="AD3" s="7"/>
      <c r="AE3" s="8" t="s">
        <v>2</v>
      </c>
      <c r="AF3" s="3" t="s">
        <v>3</v>
      </c>
      <c r="AG3" s="4"/>
      <c r="AH3" s="4"/>
      <c r="AI3" s="4"/>
      <c r="AJ3" s="4"/>
      <c r="AK3" s="4"/>
      <c r="AL3" s="93"/>
      <c r="AM3" s="93"/>
      <c r="AN3" s="93"/>
      <c r="AO3" s="93"/>
      <c r="AP3" s="93"/>
      <c r="AQ3" s="93"/>
      <c r="AR3" s="93"/>
    </row>
    <row r="4" spans="1:44" ht="15">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1"/>
      <c r="AE4" s="8">
        <v>192.41</v>
      </c>
      <c r="AF4" s="3">
        <v>1385</v>
      </c>
      <c r="AG4" s="4"/>
      <c r="AH4" s="4"/>
      <c r="AI4" s="4"/>
      <c r="AJ4" s="4"/>
      <c r="AK4" s="4"/>
      <c r="AL4" s="93"/>
      <c r="AM4" s="93"/>
      <c r="AN4" s="93"/>
      <c r="AO4" s="93"/>
      <c r="AP4" s="93"/>
      <c r="AQ4" s="93"/>
      <c r="AR4" s="93"/>
    </row>
    <row r="5" spans="1:44" ht="15">
      <c r="A5" s="235" t="s">
        <v>4</v>
      </c>
      <c r="B5" s="236"/>
      <c r="C5" s="12" t="s">
        <v>4</v>
      </c>
      <c r="D5" s="237" t="s">
        <v>5</v>
      </c>
      <c r="E5" s="238"/>
      <c r="F5" s="236"/>
      <c r="G5" s="239" t="s">
        <v>4</v>
      </c>
      <c r="H5" s="238"/>
      <c r="I5" s="238"/>
      <c r="J5" s="238"/>
      <c r="K5" s="238"/>
      <c r="L5" s="238"/>
      <c r="M5" s="236"/>
      <c r="N5" s="240" t="s">
        <v>5</v>
      </c>
      <c r="O5" s="238"/>
      <c r="P5" s="236"/>
      <c r="Q5" s="241" t="s">
        <v>4</v>
      </c>
      <c r="R5" s="238"/>
      <c r="S5" s="238"/>
      <c r="T5" s="238"/>
      <c r="U5" s="236"/>
      <c r="V5" s="240" t="s">
        <v>5</v>
      </c>
      <c r="W5" s="238"/>
      <c r="X5" s="238"/>
      <c r="Y5" s="236"/>
      <c r="Z5" s="256" t="s">
        <v>4</v>
      </c>
      <c r="AA5" s="238"/>
      <c r="AB5" s="238"/>
      <c r="AC5" s="238"/>
      <c r="AD5" s="236"/>
      <c r="AE5" s="243" t="s">
        <v>6</v>
      </c>
      <c r="AF5" s="244"/>
      <c r="AG5" s="244"/>
      <c r="AH5" s="244"/>
      <c r="AI5" s="244"/>
      <c r="AJ5" s="244"/>
      <c r="AK5" s="245"/>
      <c r="AL5" s="52"/>
      <c r="AM5" s="52"/>
      <c r="AN5" s="52"/>
      <c r="AO5" s="52"/>
      <c r="AP5" s="52"/>
      <c r="AQ5" s="52"/>
      <c r="AR5" s="52"/>
    </row>
    <row r="6" spans="1:44">
      <c r="A6" s="13" t="s">
        <v>7</v>
      </c>
      <c r="B6" s="13" t="s">
        <v>8</v>
      </c>
      <c r="C6" s="14" t="s">
        <v>9</v>
      </c>
      <c r="D6" s="15" t="s">
        <v>10</v>
      </c>
      <c r="E6" s="15" t="s">
        <v>11</v>
      </c>
      <c r="F6" s="15" t="s">
        <v>12</v>
      </c>
      <c r="G6" s="16" t="s">
        <v>13</v>
      </c>
      <c r="H6" s="14" t="s">
        <v>14</v>
      </c>
      <c r="I6" s="18" t="s">
        <v>15</v>
      </c>
      <c r="J6" s="14" t="s">
        <v>16</v>
      </c>
      <c r="K6" s="14" t="s">
        <v>17</v>
      </c>
      <c r="L6" s="14" t="s">
        <v>18</v>
      </c>
      <c r="M6" s="14" t="s">
        <v>19</v>
      </c>
      <c r="N6" s="19" t="s">
        <v>20</v>
      </c>
      <c r="O6" s="19" t="s">
        <v>6</v>
      </c>
      <c r="P6" s="13" t="s">
        <v>21</v>
      </c>
      <c r="Q6" s="14" t="s">
        <v>22</v>
      </c>
      <c r="R6" s="14" t="s">
        <v>23</v>
      </c>
      <c r="S6" s="14" t="s">
        <v>24</v>
      </c>
      <c r="T6" s="14" t="s">
        <v>25</v>
      </c>
      <c r="U6" s="14" t="s">
        <v>26</v>
      </c>
      <c r="V6" s="13" t="s">
        <v>27</v>
      </c>
      <c r="W6" s="13" t="s">
        <v>28</v>
      </c>
      <c r="X6" s="123" t="s">
        <v>120</v>
      </c>
      <c r="Y6" s="13" t="s">
        <v>29</v>
      </c>
      <c r="Z6" s="124" t="s">
        <v>30</v>
      </c>
      <c r="AA6" s="21" t="s">
        <v>31</v>
      </c>
      <c r="AB6" s="21" t="s">
        <v>32</v>
      </c>
      <c r="AC6" s="21" t="s">
        <v>33</v>
      </c>
      <c r="AD6" s="22" t="s">
        <v>34</v>
      </c>
      <c r="AE6" s="23" t="s">
        <v>35</v>
      </c>
      <c r="AF6" s="24" t="s">
        <v>36</v>
      </c>
      <c r="AG6" s="23" t="s">
        <v>37</v>
      </c>
      <c r="AH6" s="23"/>
      <c r="AI6" s="23"/>
      <c r="AJ6" s="23"/>
      <c r="AK6" s="23"/>
      <c r="AL6" s="125"/>
      <c r="AM6" s="125"/>
      <c r="AN6" s="125"/>
      <c r="AO6" s="125"/>
      <c r="AP6" s="125"/>
      <c r="AQ6" s="125"/>
      <c r="AR6" s="125"/>
    </row>
    <row r="7" spans="1:44" ht="28.5" customHeight="1">
      <c r="A7" s="25"/>
      <c r="B7" s="25" t="s">
        <v>121</v>
      </c>
      <c r="C7" s="26" t="s">
        <v>39</v>
      </c>
      <c r="D7" s="27">
        <v>22</v>
      </c>
      <c r="E7" s="27">
        <v>7</v>
      </c>
      <c r="F7" s="27">
        <v>6</v>
      </c>
      <c r="G7" s="27">
        <f t="shared" ref="G7:G9" si="0">PRODUCT(D7*E7*F7)</f>
        <v>924</v>
      </c>
      <c r="H7" s="70">
        <f t="shared" ref="H7:H9" si="1">G7/1000000</f>
        <v>9.2400000000000002E-4</v>
      </c>
      <c r="I7" s="29">
        <f t="shared" ref="I7:I9" si="2">1/H7</f>
        <v>1082.2510822510822</v>
      </c>
      <c r="J7" s="30">
        <f t="shared" ref="J7:J9" si="3">80/I7</f>
        <v>7.3920000000000013E-2</v>
      </c>
      <c r="K7" s="31">
        <f t="shared" ref="K7:K9" si="4">27000/I7</f>
        <v>24.948000000000004</v>
      </c>
      <c r="L7" s="31">
        <f t="shared" ref="L7:L9" si="5">(J7*$AF$4)+K7</f>
        <v>127.32720000000003</v>
      </c>
      <c r="M7" s="32">
        <f t="shared" ref="M7:M9" si="6">T7/R7</f>
        <v>3.277060082297089E-2</v>
      </c>
      <c r="N7" s="34"/>
      <c r="O7" s="32">
        <f ca="1">SUMIF($AE$6:$AG$42,$A7,$AG$6:$AG$42)</f>
        <v>0</v>
      </c>
      <c r="P7" s="34">
        <v>21</v>
      </c>
      <c r="Q7" s="34">
        <f t="shared" ref="Q7:Q14" si="7">P7*1.15</f>
        <v>24.15</v>
      </c>
      <c r="R7" s="35">
        <f>Q7*$AE$4</f>
        <v>4646.7014999999992</v>
      </c>
      <c r="S7" s="35">
        <f t="shared" ref="S7:S9" ca="1" si="8">R7*O7</f>
        <v>0</v>
      </c>
      <c r="T7" s="35">
        <f t="shared" ref="T7:T9" si="9">L7+K7</f>
        <v>152.27520000000004</v>
      </c>
      <c r="U7" s="35">
        <f t="shared" ref="U7:U9" ca="1" si="10">R7+S7+T7</f>
        <v>4798.9766999999993</v>
      </c>
      <c r="V7" s="35">
        <v>22900</v>
      </c>
      <c r="W7" s="36">
        <v>6.6299999999999998E-2</v>
      </c>
      <c r="X7" s="37">
        <v>1800</v>
      </c>
      <c r="Y7" s="35"/>
      <c r="Z7" s="38">
        <f t="shared" ref="Z7:Z23" si="11">W7+(X7/V7)</f>
        <v>0.14490262008733623</v>
      </c>
      <c r="AA7" s="39">
        <f t="shared" ref="AA7:AA23" si="12">V7*Z7</f>
        <v>3318.2699999999995</v>
      </c>
      <c r="AB7" s="39">
        <f t="shared" ref="AB7:AB18" ca="1" si="13">(V7)/1.1*10%-(AA7+K7+S7+N7+U7)*10%</f>
        <v>1267.5987118181815</v>
      </c>
      <c r="AC7" s="39">
        <f t="shared" ref="AC7:AC23" ca="1" si="14">V7-(U7+AA7+AB7+N7)</f>
        <v>13515.15458818182</v>
      </c>
      <c r="AD7" s="40">
        <f t="shared" ref="AD7:AD23" ca="1" si="15">AC7/V7</f>
        <v>0.59018142306470833</v>
      </c>
      <c r="AE7" s="41" t="s">
        <v>122</v>
      </c>
      <c r="AF7" s="41"/>
      <c r="AG7" s="45">
        <v>7.0000000000000007E-2</v>
      </c>
      <c r="AH7" s="43"/>
      <c r="AI7" s="43"/>
      <c r="AJ7" s="44"/>
      <c r="AK7" s="44"/>
      <c r="AL7" s="122"/>
      <c r="AM7" s="122"/>
      <c r="AN7" s="122"/>
      <c r="AO7" s="122"/>
      <c r="AP7" s="122"/>
      <c r="AQ7" s="122"/>
      <c r="AR7" s="122"/>
    </row>
    <row r="8" spans="1:44" ht="28.5" customHeight="1">
      <c r="A8" s="25"/>
      <c r="B8" s="25" t="s">
        <v>123</v>
      </c>
      <c r="C8" s="26" t="s">
        <v>39</v>
      </c>
      <c r="D8" s="27">
        <v>22</v>
      </c>
      <c r="E8" s="27">
        <v>9</v>
      </c>
      <c r="F8" s="27">
        <v>9</v>
      </c>
      <c r="G8" s="27">
        <f t="shared" si="0"/>
        <v>1782</v>
      </c>
      <c r="H8" s="70">
        <f t="shared" si="1"/>
        <v>1.7819999999999999E-3</v>
      </c>
      <c r="I8" s="29">
        <f t="shared" si="2"/>
        <v>561.16722783389457</v>
      </c>
      <c r="J8" s="30">
        <f t="shared" si="3"/>
        <v>0.14255999999999999</v>
      </c>
      <c r="K8" s="31">
        <f t="shared" si="4"/>
        <v>48.113999999999997</v>
      </c>
      <c r="L8" s="31">
        <f t="shared" si="5"/>
        <v>245.55959999999999</v>
      </c>
      <c r="M8" s="32">
        <f t="shared" si="6"/>
        <v>4.2000295358554443E-2</v>
      </c>
      <c r="N8" s="34"/>
      <c r="O8" s="32">
        <f ca="1">SUMIF(헤몬스토어!$AE$6:$AG$30,$A8,헤몬스토어!$AG$6:$AG$30)</f>
        <v>0</v>
      </c>
      <c r="P8" s="34">
        <v>31.6</v>
      </c>
      <c r="Q8" s="34">
        <f t="shared" si="7"/>
        <v>36.339999999999996</v>
      </c>
      <c r="R8" s="35">
        <f>Q8*헤몬스토어!$AE$4</f>
        <v>6992.1793999999991</v>
      </c>
      <c r="S8" s="35">
        <f t="shared" ca="1" si="8"/>
        <v>0</v>
      </c>
      <c r="T8" s="35">
        <f t="shared" si="9"/>
        <v>293.67359999999996</v>
      </c>
      <c r="U8" s="35">
        <f t="shared" ca="1" si="10"/>
        <v>7285.8529999999992</v>
      </c>
      <c r="V8" s="35">
        <v>25900</v>
      </c>
      <c r="W8" s="36">
        <v>6.6299999999999998E-2</v>
      </c>
      <c r="X8" s="37">
        <v>1800</v>
      </c>
      <c r="Y8" s="35"/>
      <c r="Z8" s="38">
        <f t="shared" si="11"/>
        <v>0.1357980694980695</v>
      </c>
      <c r="AA8" s="39">
        <f t="shared" si="12"/>
        <v>3517.17</v>
      </c>
      <c r="AB8" s="39">
        <f t="shared" ca="1" si="13"/>
        <v>1269.4317545454546</v>
      </c>
      <c r="AC8" s="39">
        <f t="shared" ca="1" si="14"/>
        <v>13827.545245454547</v>
      </c>
      <c r="AD8" s="40">
        <f t="shared" ca="1" si="15"/>
        <v>0.5338820558090559</v>
      </c>
      <c r="AE8" s="41" t="s">
        <v>124</v>
      </c>
      <c r="AF8" s="41"/>
      <c r="AG8" s="45">
        <v>0.08</v>
      </c>
      <c r="AH8" s="43"/>
      <c r="AI8" s="43"/>
      <c r="AJ8" s="44"/>
      <c r="AK8" s="44"/>
      <c r="AL8" s="122"/>
      <c r="AM8" s="122"/>
      <c r="AN8" s="122"/>
      <c r="AO8" s="122"/>
      <c r="AP8" s="122"/>
      <c r="AQ8" s="122"/>
      <c r="AR8" s="122"/>
    </row>
    <row r="9" spans="1:44" ht="28.5" customHeight="1">
      <c r="A9" s="25"/>
      <c r="B9" s="46" t="s">
        <v>125</v>
      </c>
      <c r="C9" s="26" t="s">
        <v>39</v>
      </c>
      <c r="D9" s="27">
        <v>38</v>
      </c>
      <c r="E9" s="27">
        <v>40</v>
      </c>
      <c r="F9" s="27">
        <v>2</v>
      </c>
      <c r="G9" s="27">
        <f t="shared" si="0"/>
        <v>3040</v>
      </c>
      <c r="H9" s="126">
        <f t="shared" si="1"/>
        <v>3.0400000000000002E-3</v>
      </c>
      <c r="I9" s="29">
        <f t="shared" si="2"/>
        <v>328.9473684210526</v>
      </c>
      <c r="J9" s="30">
        <f t="shared" si="3"/>
        <v>0.24320000000000003</v>
      </c>
      <c r="K9" s="31">
        <f t="shared" si="4"/>
        <v>82.080000000000013</v>
      </c>
      <c r="L9" s="31">
        <f t="shared" si="5"/>
        <v>418.91200000000003</v>
      </c>
      <c r="M9" s="32">
        <f t="shared" si="6"/>
        <v>0.16172504302245372</v>
      </c>
      <c r="N9" s="34"/>
      <c r="O9" s="32">
        <f ca="1">SUMIF(헤몬스토어!$AE$6:$AG$30,$A9,헤몬스토어!$AG$6:$AG$30)</f>
        <v>0</v>
      </c>
      <c r="P9" s="34">
        <v>14</v>
      </c>
      <c r="Q9" s="34">
        <f t="shared" si="7"/>
        <v>16.099999999999998</v>
      </c>
      <c r="R9" s="35">
        <f>Q9*헤몬스토어!$AE$4</f>
        <v>3097.8009999999995</v>
      </c>
      <c r="S9" s="35">
        <f t="shared" ca="1" si="8"/>
        <v>0</v>
      </c>
      <c r="T9" s="35">
        <f t="shared" si="9"/>
        <v>500.99200000000008</v>
      </c>
      <c r="U9" s="35">
        <f t="shared" ca="1" si="10"/>
        <v>3598.7929999999997</v>
      </c>
      <c r="V9" s="35">
        <v>8900</v>
      </c>
      <c r="W9" s="36">
        <v>6.6299999999999998E-2</v>
      </c>
      <c r="X9" s="37">
        <v>1800</v>
      </c>
      <c r="Y9" s="35"/>
      <c r="Z9" s="38">
        <f t="shared" si="11"/>
        <v>0.26854719101123592</v>
      </c>
      <c r="AA9" s="39">
        <f t="shared" si="12"/>
        <v>2390.0699999999997</v>
      </c>
      <c r="AB9" s="39">
        <f t="shared" ca="1" si="13"/>
        <v>201.99660909090903</v>
      </c>
      <c r="AC9" s="39">
        <f t="shared" ca="1" si="14"/>
        <v>2709.1403909090914</v>
      </c>
      <c r="AD9" s="40">
        <f t="shared" ca="1" si="15"/>
        <v>0.30439779673135858</v>
      </c>
      <c r="AE9" s="41" t="s">
        <v>119</v>
      </c>
      <c r="AF9" s="41"/>
      <c r="AG9" s="45">
        <v>0.08</v>
      </c>
      <c r="AH9" s="43"/>
      <c r="AI9" s="43"/>
      <c r="AJ9" s="44"/>
      <c r="AK9" s="44"/>
      <c r="AL9" s="122"/>
      <c r="AM9" s="122"/>
      <c r="AN9" s="122"/>
      <c r="AO9" s="122"/>
      <c r="AP9" s="122"/>
      <c r="AQ9" s="122"/>
      <c r="AR9" s="122"/>
    </row>
    <row r="10" spans="1:44" ht="28.5" customHeight="1">
      <c r="A10" s="25"/>
      <c r="B10" s="46" t="s">
        <v>126</v>
      </c>
      <c r="C10" s="26"/>
      <c r="D10" s="27"/>
      <c r="E10" s="27"/>
      <c r="F10" s="27"/>
      <c r="G10" s="27"/>
      <c r="H10" s="126"/>
      <c r="I10" s="29"/>
      <c r="J10" s="30"/>
      <c r="K10" s="31"/>
      <c r="L10" s="31"/>
      <c r="M10" s="32"/>
      <c r="N10" s="34"/>
      <c r="O10" s="32"/>
      <c r="P10" s="34">
        <v>28</v>
      </c>
      <c r="Q10" s="34">
        <f t="shared" si="7"/>
        <v>32.199999999999996</v>
      </c>
      <c r="R10" s="35"/>
      <c r="S10" s="25"/>
      <c r="T10" s="35"/>
      <c r="U10" s="35">
        <f ca="1">U9*2</f>
        <v>7197.5859999999993</v>
      </c>
      <c r="V10" s="35">
        <v>16900</v>
      </c>
      <c r="W10" s="36">
        <v>6.6299999999999998E-2</v>
      </c>
      <c r="X10" s="37">
        <v>1800</v>
      </c>
      <c r="Y10" s="35"/>
      <c r="Z10" s="38">
        <f t="shared" si="11"/>
        <v>0.17280887573964498</v>
      </c>
      <c r="AA10" s="39">
        <f t="shared" si="12"/>
        <v>2920.4700000000003</v>
      </c>
      <c r="AB10" s="39">
        <f t="shared" ca="1" si="13"/>
        <v>524.55803636363612</v>
      </c>
      <c r="AC10" s="39">
        <f t="shared" ca="1" si="14"/>
        <v>6257.3859636363632</v>
      </c>
      <c r="AD10" s="40">
        <f t="shared" ca="1" si="15"/>
        <v>0.37025952447552446</v>
      </c>
      <c r="AE10" s="41" t="s">
        <v>119</v>
      </c>
      <c r="AF10" s="41"/>
      <c r="AG10" s="45">
        <v>0.08</v>
      </c>
      <c r="AH10" s="43"/>
      <c r="AI10" s="43"/>
      <c r="AJ10" s="44"/>
      <c r="AK10" s="44"/>
      <c r="AL10" s="122"/>
      <c r="AM10" s="122"/>
      <c r="AN10" s="122"/>
      <c r="AO10" s="122"/>
      <c r="AP10" s="122"/>
      <c r="AQ10" s="122"/>
      <c r="AR10" s="122"/>
    </row>
    <row r="11" spans="1:44" ht="28.5" customHeight="1">
      <c r="A11" s="25"/>
      <c r="B11" s="25" t="s">
        <v>127</v>
      </c>
      <c r="C11" s="26" t="s">
        <v>39</v>
      </c>
      <c r="D11" s="27">
        <v>16</v>
      </c>
      <c r="E11" s="27">
        <v>24</v>
      </c>
      <c r="F11" s="27">
        <v>17</v>
      </c>
      <c r="G11" s="27">
        <f t="shared" ref="G11:G12" si="16">PRODUCT(D11*E11*F11)</f>
        <v>6528</v>
      </c>
      <c r="H11" s="70">
        <f t="shared" ref="H11:H12" si="17">G11/1000000</f>
        <v>6.5279999999999999E-3</v>
      </c>
      <c r="I11" s="29">
        <f t="shared" ref="I11:I12" si="18">1/H11</f>
        <v>153.18627450980392</v>
      </c>
      <c r="J11" s="30">
        <f t="shared" ref="J11:J12" si="19">80/I11</f>
        <v>0.52224000000000004</v>
      </c>
      <c r="K11" s="31">
        <f t="shared" ref="K11:K12" si="20">27000/I11</f>
        <v>176.256</v>
      </c>
      <c r="L11" s="31">
        <f t="shared" ref="L11:L12" si="21">(J11*$AF$4)+K11</f>
        <v>899.55840000000001</v>
      </c>
      <c r="M11" s="32">
        <f t="shared" ref="M11:M12" si="22">T11/R11</f>
        <v>8.5297640419598836E-2</v>
      </c>
      <c r="N11" s="34"/>
      <c r="O11" s="32">
        <f ca="1">SUMIF(헤몬스토어!$AE$6:$AG$30,$A11,헤몬스토어!$AG$6:$AG$30)</f>
        <v>0</v>
      </c>
      <c r="P11" s="34">
        <v>57</v>
      </c>
      <c r="Q11" s="34">
        <f t="shared" si="7"/>
        <v>65.55</v>
      </c>
      <c r="R11" s="35">
        <f>Q11*헤몬스토어!$AE$4</f>
        <v>12612.475499999999</v>
      </c>
      <c r="S11" s="35">
        <f t="shared" ref="S11:S12" ca="1" si="23">R11*O11</f>
        <v>0</v>
      </c>
      <c r="T11" s="35">
        <f t="shared" ref="T11:T12" si="24">L11+K11</f>
        <v>1075.8144</v>
      </c>
      <c r="U11" s="35">
        <f t="shared" ref="U11:U12" ca="1" si="25">R11+S11+T11</f>
        <v>13688.289899999998</v>
      </c>
      <c r="V11" s="35">
        <v>39000</v>
      </c>
      <c r="W11" s="36">
        <v>6.6299999999999998E-2</v>
      </c>
      <c r="X11" s="37">
        <v>1800</v>
      </c>
      <c r="Y11" s="35"/>
      <c r="Z11" s="38">
        <f t="shared" si="11"/>
        <v>0.11245384615384615</v>
      </c>
      <c r="AA11" s="39">
        <f t="shared" si="12"/>
        <v>4385.7</v>
      </c>
      <c r="AB11" s="39">
        <f t="shared" ca="1" si="13"/>
        <v>1720.4299554545451</v>
      </c>
      <c r="AC11" s="39">
        <f t="shared" ca="1" si="14"/>
        <v>19205.580144545456</v>
      </c>
      <c r="AD11" s="40">
        <f t="shared" ca="1" si="15"/>
        <v>0.49245077293706296</v>
      </c>
      <c r="AE11" s="41" t="s">
        <v>119</v>
      </c>
      <c r="AF11" s="41"/>
      <c r="AG11" s="45">
        <v>0.08</v>
      </c>
      <c r="AH11" s="43"/>
      <c r="AI11" s="43"/>
      <c r="AJ11" s="44"/>
      <c r="AK11" s="44"/>
      <c r="AL11" s="122"/>
      <c r="AM11" s="122"/>
      <c r="AN11" s="122"/>
      <c r="AO11" s="122"/>
      <c r="AP11" s="122"/>
      <c r="AQ11" s="122"/>
      <c r="AR11" s="122"/>
    </row>
    <row r="12" spans="1:44" ht="28.5" customHeight="1">
      <c r="A12" s="25"/>
      <c r="B12" s="46" t="s">
        <v>128</v>
      </c>
      <c r="C12" s="26" t="s">
        <v>39</v>
      </c>
      <c r="D12" s="27">
        <v>53</v>
      </c>
      <c r="E12" s="27">
        <v>22</v>
      </c>
      <c r="F12" s="27">
        <v>4</v>
      </c>
      <c r="G12" s="27">
        <f t="shared" si="16"/>
        <v>4664</v>
      </c>
      <c r="H12" s="70">
        <f t="shared" si="17"/>
        <v>4.6639999999999997E-3</v>
      </c>
      <c r="I12" s="29">
        <f t="shared" si="18"/>
        <v>214.40823327615783</v>
      </c>
      <c r="J12" s="30">
        <f t="shared" si="19"/>
        <v>0.37311999999999995</v>
      </c>
      <c r="K12" s="31">
        <f t="shared" si="20"/>
        <v>125.92799999999998</v>
      </c>
      <c r="L12" s="31">
        <f t="shared" si="21"/>
        <v>642.69919999999991</v>
      </c>
      <c r="M12" s="32">
        <f t="shared" si="22"/>
        <v>0.45706364305722541</v>
      </c>
      <c r="N12" s="34"/>
      <c r="O12" s="32">
        <f ca="1">SUMIF(헤몬스토어!$AE$6:$AG$30,$A12,헤몬스토어!$AG$6:$AG$30)</f>
        <v>0</v>
      </c>
      <c r="P12" s="34">
        <v>7.6</v>
      </c>
      <c r="Q12" s="34">
        <f t="shared" si="7"/>
        <v>8.7399999999999984</v>
      </c>
      <c r="R12" s="35">
        <f>Q12*헤몬스토어!$AE$4</f>
        <v>1681.6633999999997</v>
      </c>
      <c r="S12" s="35">
        <f t="shared" ca="1" si="23"/>
        <v>0</v>
      </c>
      <c r="T12" s="35">
        <f t="shared" si="24"/>
        <v>768.6271999999999</v>
      </c>
      <c r="U12" s="35">
        <f t="shared" ca="1" si="25"/>
        <v>2450.2905999999994</v>
      </c>
      <c r="V12" s="35">
        <v>8900</v>
      </c>
      <c r="W12" s="36">
        <v>6.6299999999999998E-2</v>
      </c>
      <c r="X12" s="37">
        <v>1800</v>
      </c>
      <c r="Y12" s="35"/>
      <c r="Z12" s="38">
        <f t="shared" si="11"/>
        <v>0.26854719101123592</v>
      </c>
      <c r="AA12" s="39">
        <f t="shared" si="12"/>
        <v>2390.0699999999997</v>
      </c>
      <c r="AB12" s="39">
        <f t="shared" ca="1" si="13"/>
        <v>312.46204909090909</v>
      </c>
      <c r="AC12" s="39">
        <f ca="1">V12-(U12+AA12+AB12+N12)</f>
        <v>3747.1773509090917</v>
      </c>
      <c r="AD12" s="40">
        <f t="shared" ca="1" si="15"/>
        <v>0.42103116302349347</v>
      </c>
      <c r="AE12" s="41" t="s">
        <v>129</v>
      </c>
      <c r="AF12" s="41"/>
      <c r="AG12" s="45">
        <v>2.1000000000000001E-2</v>
      </c>
      <c r="AH12" s="43"/>
      <c r="AI12" s="43"/>
      <c r="AJ12" s="44"/>
      <c r="AK12" s="44"/>
      <c r="AL12" s="122"/>
      <c r="AM12" s="122"/>
      <c r="AN12" s="122"/>
      <c r="AO12" s="122"/>
      <c r="AP12" s="122"/>
      <c r="AQ12" s="122"/>
      <c r="AR12" s="122"/>
    </row>
    <row r="13" spans="1:44" ht="28.5" customHeight="1">
      <c r="A13" s="25"/>
      <c r="B13" s="46" t="s">
        <v>130</v>
      </c>
      <c r="C13" s="26" t="s">
        <v>39</v>
      </c>
      <c r="D13" s="27"/>
      <c r="E13" s="27"/>
      <c r="F13" s="27"/>
      <c r="G13" s="27"/>
      <c r="H13" s="70"/>
      <c r="I13" s="29"/>
      <c r="J13" s="30"/>
      <c r="K13" s="31"/>
      <c r="L13" s="31"/>
      <c r="M13" s="32"/>
      <c r="N13" s="34"/>
      <c r="O13" s="32">
        <f ca="1">SUMIF(헤몬스토어!$AE$6:$AG$30,$A13,헤몬스토어!$AG$6:$AG$30)</f>
        <v>0</v>
      </c>
      <c r="P13" s="34">
        <v>15.2</v>
      </c>
      <c r="Q13" s="34">
        <f t="shared" si="7"/>
        <v>17.479999999999997</v>
      </c>
      <c r="R13" s="35"/>
      <c r="S13" s="25"/>
      <c r="T13" s="35"/>
      <c r="U13" s="35">
        <f ca="1">U12*2</f>
        <v>4900.5811999999987</v>
      </c>
      <c r="V13" s="35">
        <v>16800</v>
      </c>
      <c r="W13" s="36">
        <v>6.6299999999999998E-2</v>
      </c>
      <c r="X13" s="37">
        <v>1800</v>
      </c>
      <c r="Y13" s="35"/>
      <c r="Z13" s="38">
        <f t="shared" si="11"/>
        <v>0.17344285714285712</v>
      </c>
      <c r="AA13" s="39">
        <f t="shared" si="12"/>
        <v>2913.8399999999997</v>
      </c>
      <c r="AB13" s="39">
        <f t="shared" ca="1" si="13"/>
        <v>745.83060727272732</v>
      </c>
      <c r="AC13" s="39">
        <f t="shared" ca="1" si="14"/>
        <v>8239.7481927272747</v>
      </c>
      <c r="AD13" s="40">
        <f t="shared" ca="1" si="15"/>
        <v>0.49046120194805209</v>
      </c>
      <c r="AE13" s="41"/>
      <c r="AF13" s="41"/>
      <c r="AG13" s="45"/>
      <c r="AH13" s="43"/>
      <c r="AI13" s="43"/>
      <c r="AJ13" s="44"/>
      <c r="AK13" s="44"/>
      <c r="AL13" s="122"/>
      <c r="AM13" s="122"/>
      <c r="AN13" s="122"/>
      <c r="AO13" s="122"/>
      <c r="AP13" s="122"/>
      <c r="AQ13" s="122"/>
      <c r="AR13" s="122"/>
    </row>
    <row r="14" spans="1:44" ht="28.5" customHeight="1">
      <c r="A14" s="25"/>
      <c r="B14" s="127" t="s">
        <v>131</v>
      </c>
      <c r="C14" s="26" t="s">
        <v>39</v>
      </c>
      <c r="D14" s="27">
        <v>11</v>
      </c>
      <c r="E14" s="27">
        <v>32</v>
      </c>
      <c r="F14" s="27">
        <v>11</v>
      </c>
      <c r="G14" s="27">
        <f>PRODUCT(D14*E14*F14)</f>
        <v>3872</v>
      </c>
      <c r="H14" s="70">
        <f>G14/1000000</f>
        <v>3.872E-3</v>
      </c>
      <c r="I14" s="29">
        <f>1/H14</f>
        <v>258.26446280991735</v>
      </c>
      <c r="J14" s="30">
        <f>80/I14</f>
        <v>0.30976000000000004</v>
      </c>
      <c r="K14" s="31">
        <f>27000/I14</f>
        <v>104.544</v>
      </c>
      <c r="L14" s="31">
        <f>(J14*$AF$4)+K14</f>
        <v>533.56160000000011</v>
      </c>
      <c r="M14" s="32">
        <f>T14/R14</f>
        <v>0.22183175941703367</v>
      </c>
      <c r="N14" s="33"/>
      <c r="O14" s="32">
        <f ca="1">SUMIF(헤몬스토어!$AE$6:$AG$30,$A14,헤몬스토어!$AG$6:$AG$30)</f>
        <v>0</v>
      </c>
      <c r="P14" s="34">
        <v>13</v>
      </c>
      <c r="Q14" s="34">
        <f t="shared" si="7"/>
        <v>14.95</v>
      </c>
      <c r="R14" s="35">
        <f>Q14*헤몬스토어!$AE$4</f>
        <v>2876.5294999999996</v>
      </c>
      <c r="S14" s="35">
        <f ca="1">R14*O14</f>
        <v>0</v>
      </c>
      <c r="T14" s="35">
        <f>L14+K14</f>
        <v>638.10560000000009</v>
      </c>
      <c r="U14" s="35">
        <f ca="1">R14+S14+T14</f>
        <v>3514.6350999999995</v>
      </c>
      <c r="V14" s="35">
        <v>14900</v>
      </c>
      <c r="W14" s="36">
        <v>6.6299999999999998E-2</v>
      </c>
      <c r="X14" s="37">
        <v>1800</v>
      </c>
      <c r="Y14" s="35"/>
      <c r="Z14" s="38">
        <f t="shared" si="11"/>
        <v>0.1871053691275168</v>
      </c>
      <c r="AA14" s="39">
        <f t="shared" si="12"/>
        <v>2787.8700000000003</v>
      </c>
      <c r="AB14" s="39">
        <f t="shared" ca="1" si="13"/>
        <v>713.84054454545446</v>
      </c>
      <c r="AC14" s="39">
        <f t="shared" ca="1" si="14"/>
        <v>7883.6543554545451</v>
      </c>
      <c r="AD14" s="40">
        <f t="shared" ca="1" si="15"/>
        <v>0.52910431915802314</v>
      </c>
      <c r="AE14" s="41"/>
      <c r="AF14" s="41"/>
      <c r="AG14" s="45"/>
      <c r="AH14" s="43"/>
      <c r="AI14" s="43"/>
      <c r="AJ14" s="44"/>
      <c r="AK14" s="44"/>
      <c r="AL14" s="122"/>
      <c r="AM14" s="122"/>
      <c r="AN14" s="122"/>
      <c r="AO14" s="122"/>
      <c r="AP14" s="122"/>
      <c r="AQ14" s="122"/>
      <c r="AR14" s="122"/>
    </row>
    <row r="15" spans="1:44" ht="28.5" customHeight="1">
      <c r="A15" s="128"/>
      <c r="B15" s="127" t="s">
        <v>132</v>
      </c>
      <c r="C15" s="26"/>
      <c r="D15" s="27"/>
      <c r="E15" s="27"/>
      <c r="F15" s="27"/>
      <c r="G15" s="27"/>
      <c r="H15" s="70"/>
      <c r="I15" s="29"/>
      <c r="J15" s="30"/>
      <c r="K15" s="31"/>
      <c r="L15" s="31"/>
      <c r="M15" s="32"/>
      <c r="N15" s="33"/>
      <c r="O15" s="32"/>
      <c r="P15" s="34"/>
      <c r="Q15" s="34"/>
      <c r="R15" s="35"/>
      <c r="S15" s="25"/>
      <c r="T15" s="35">
        <f t="shared" ref="T15:U15" ca="1" si="26">T14*2-S14</f>
        <v>1276.2112000000002</v>
      </c>
      <c r="U15" s="35">
        <f t="shared" ca="1" si="26"/>
        <v>6391.1645999999992</v>
      </c>
      <c r="V15" s="35">
        <v>27700</v>
      </c>
      <c r="W15" s="36">
        <v>6.6299999999999998E-2</v>
      </c>
      <c r="X15" s="37"/>
      <c r="Y15" s="35"/>
      <c r="Z15" s="38">
        <f t="shared" si="11"/>
        <v>6.6299999999999998E-2</v>
      </c>
      <c r="AA15" s="39">
        <f t="shared" si="12"/>
        <v>1836.51</v>
      </c>
      <c r="AB15" s="39">
        <f t="shared" ca="1" si="13"/>
        <v>1695.414358181818</v>
      </c>
      <c r="AC15" s="39">
        <f t="shared" ca="1" si="14"/>
        <v>17776.911041818184</v>
      </c>
      <c r="AD15" s="40">
        <f t="shared" ca="1" si="15"/>
        <v>0.64176574158188393</v>
      </c>
      <c r="AE15" s="129"/>
      <c r="AF15" s="129"/>
      <c r="AG15" s="130"/>
      <c r="AH15" s="131"/>
      <c r="AI15" s="131"/>
      <c r="AJ15" s="4"/>
      <c r="AK15" s="4"/>
      <c r="AL15" s="93"/>
      <c r="AM15" s="93"/>
      <c r="AN15" s="93"/>
      <c r="AO15" s="93"/>
      <c r="AP15" s="93"/>
      <c r="AQ15" s="93"/>
      <c r="AR15" s="93"/>
    </row>
    <row r="16" spans="1:44" ht="28.5" customHeight="1">
      <c r="A16" s="128"/>
      <c r="B16" s="127" t="s">
        <v>133</v>
      </c>
      <c r="C16" s="26" t="s">
        <v>39</v>
      </c>
      <c r="D16" s="27">
        <v>11</v>
      </c>
      <c r="E16" s="27">
        <v>32</v>
      </c>
      <c r="F16" s="27">
        <v>11</v>
      </c>
      <c r="G16" s="27">
        <f>PRODUCT(D16*E16*F16)</f>
        <v>3872</v>
      </c>
      <c r="H16" s="70">
        <f>G16/1000000</f>
        <v>3.872E-3</v>
      </c>
      <c r="I16" s="29">
        <f>1/H16</f>
        <v>258.26446280991735</v>
      </c>
      <c r="J16" s="30">
        <f>80/I16</f>
        <v>0.30976000000000004</v>
      </c>
      <c r="K16" s="31">
        <f>27000/I16</f>
        <v>104.544</v>
      </c>
      <c r="L16" s="31">
        <f>(J16*$AF$4)+K16</f>
        <v>533.56160000000011</v>
      </c>
      <c r="M16" s="32">
        <f>T16/R16</f>
        <v>0.22183175941703367</v>
      </c>
      <c r="N16" s="33"/>
      <c r="O16" s="32">
        <f ca="1">SUMIF(헤몬스토어!$AE$6:$AG$30,$A16,헤몬스토어!$AG$6:$AG$30)</f>
        <v>0</v>
      </c>
      <c r="P16" s="34">
        <v>13</v>
      </c>
      <c r="Q16" s="34">
        <f>P16*1.15</f>
        <v>14.95</v>
      </c>
      <c r="R16" s="35">
        <f>Q16*헤몬스토어!$AE$4</f>
        <v>2876.5294999999996</v>
      </c>
      <c r="S16" s="35">
        <f ca="1">R16*O16</f>
        <v>0</v>
      </c>
      <c r="T16" s="35">
        <f>L16+K16</f>
        <v>638.10560000000009</v>
      </c>
      <c r="U16" s="35">
        <f ca="1">R16+S16+T16</f>
        <v>3514.6350999999995</v>
      </c>
      <c r="V16" s="35">
        <v>14900</v>
      </c>
      <c r="W16" s="36">
        <v>6.6299999999999998E-2</v>
      </c>
      <c r="X16" s="37">
        <v>1800</v>
      </c>
      <c r="Y16" s="35"/>
      <c r="Z16" s="38">
        <f t="shared" si="11"/>
        <v>0.1871053691275168</v>
      </c>
      <c r="AA16" s="39">
        <f t="shared" si="12"/>
        <v>2787.8700000000003</v>
      </c>
      <c r="AB16" s="39">
        <f t="shared" ca="1" si="13"/>
        <v>713.84054454545446</v>
      </c>
      <c r="AC16" s="39">
        <f t="shared" ca="1" si="14"/>
        <v>7883.6543554545451</v>
      </c>
      <c r="AD16" s="40">
        <f t="shared" ca="1" si="15"/>
        <v>0.52910431915802314</v>
      </c>
      <c r="AE16" s="129"/>
      <c r="AF16" s="129"/>
      <c r="AG16" s="130"/>
      <c r="AH16" s="131"/>
      <c r="AI16" s="131"/>
      <c r="AJ16" s="4"/>
      <c r="AK16" s="4"/>
      <c r="AL16" s="93"/>
      <c r="AM16" s="93"/>
      <c r="AN16" s="93"/>
      <c r="AO16" s="93"/>
      <c r="AP16" s="93"/>
      <c r="AQ16" s="93"/>
      <c r="AR16" s="93"/>
    </row>
    <row r="17" spans="1:44" ht="28.5" customHeight="1">
      <c r="A17" s="128"/>
      <c r="B17" s="127" t="s">
        <v>134</v>
      </c>
      <c r="C17" s="26"/>
      <c r="D17" s="27"/>
      <c r="E17" s="27"/>
      <c r="F17" s="27"/>
      <c r="G17" s="27"/>
      <c r="H17" s="70"/>
      <c r="I17" s="29"/>
      <c r="J17" s="30"/>
      <c r="K17" s="31"/>
      <c r="L17" s="31"/>
      <c r="M17" s="32"/>
      <c r="N17" s="33"/>
      <c r="O17" s="32"/>
      <c r="P17" s="34"/>
      <c r="Q17" s="34"/>
      <c r="R17" s="35"/>
      <c r="S17" s="25"/>
      <c r="T17" s="35">
        <f t="shared" ref="T17:U17" ca="1" si="27">T16*2-S16</f>
        <v>1276.2112000000002</v>
      </c>
      <c r="U17" s="35">
        <f t="shared" ca="1" si="27"/>
        <v>6391.1645999999992</v>
      </c>
      <c r="V17" s="35">
        <v>27700</v>
      </c>
      <c r="W17" s="36">
        <v>6.6299999999999998E-2</v>
      </c>
      <c r="X17" s="37"/>
      <c r="Y17" s="35"/>
      <c r="Z17" s="38">
        <f t="shared" si="11"/>
        <v>6.6299999999999998E-2</v>
      </c>
      <c r="AA17" s="39">
        <f t="shared" si="12"/>
        <v>1836.51</v>
      </c>
      <c r="AB17" s="39">
        <f t="shared" ca="1" si="13"/>
        <v>1695.414358181818</v>
      </c>
      <c r="AC17" s="39">
        <f t="shared" ca="1" si="14"/>
        <v>17776.911041818184</v>
      </c>
      <c r="AD17" s="40">
        <f t="shared" ca="1" si="15"/>
        <v>0.64176574158188393</v>
      </c>
      <c r="AE17" s="129"/>
      <c r="AF17" s="129"/>
      <c r="AG17" s="130"/>
      <c r="AH17" s="131"/>
      <c r="AI17" s="131"/>
      <c r="AJ17" s="4"/>
      <c r="AK17" s="4"/>
      <c r="AL17" s="93"/>
      <c r="AM17" s="93"/>
      <c r="AN17" s="93"/>
      <c r="AO17" s="93"/>
      <c r="AP17" s="93"/>
      <c r="AQ17" s="93"/>
      <c r="AR17" s="93"/>
    </row>
    <row r="18" spans="1:44" ht="28.5" customHeight="1">
      <c r="A18" s="128"/>
      <c r="B18" s="25" t="s">
        <v>135</v>
      </c>
      <c r="C18" s="26" t="s">
        <v>39</v>
      </c>
      <c r="D18" s="27">
        <v>12</v>
      </c>
      <c r="E18" s="27">
        <v>8</v>
      </c>
      <c r="F18" s="27">
        <v>3</v>
      </c>
      <c r="G18" s="27">
        <f t="shared" ref="G18:G20" si="28">PRODUCT(D18*E18*F18)</f>
        <v>288</v>
      </c>
      <c r="H18" s="70">
        <f t="shared" ref="H18:H23" si="29">G18/1000000</f>
        <v>2.8800000000000001E-4</v>
      </c>
      <c r="I18" s="29">
        <f t="shared" ref="I18:I23" si="30">1/H18</f>
        <v>3472.2222222222222</v>
      </c>
      <c r="J18" s="30">
        <f t="shared" ref="J18:J23" si="31">80/I18</f>
        <v>2.3040000000000001E-2</v>
      </c>
      <c r="K18" s="31">
        <f t="shared" ref="K18:K23" si="32">27000/I18</f>
        <v>7.7759999999999998</v>
      </c>
      <c r="L18" s="31">
        <f t="shared" ref="L18:L22" si="33">(J18*$AF$4)+K18</f>
        <v>39.686400000000006</v>
      </c>
      <c r="M18" s="32" t="e">
        <f t="shared" ref="M18:M23" si="34">T18/R18</f>
        <v>#DIV/0!</v>
      </c>
      <c r="N18" s="33"/>
      <c r="O18" s="32"/>
      <c r="P18" s="34"/>
      <c r="Q18" s="34"/>
      <c r="R18" s="35">
        <f>Q18*헤몬스토어!$AE$4</f>
        <v>0</v>
      </c>
      <c r="S18" s="35">
        <f t="shared" ref="S18:S23" si="35">R18*O18</f>
        <v>0</v>
      </c>
      <c r="T18" s="35">
        <f t="shared" ref="T18:T23" si="36">L18+K18</f>
        <v>47.462400000000002</v>
      </c>
      <c r="U18" s="35">
        <f t="shared" ref="U18:U23" si="37">R18+S18+T18</f>
        <v>47.462400000000002</v>
      </c>
      <c r="V18" s="35">
        <v>24800</v>
      </c>
      <c r="W18" s="36">
        <v>6.6299999999999998E-2</v>
      </c>
      <c r="X18" s="37">
        <v>1800</v>
      </c>
      <c r="Y18" s="35"/>
      <c r="Z18" s="38">
        <f t="shared" si="11"/>
        <v>0.13888064516129034</v>
      </c>
      <c r="AA18" s="39">
        <f t="shared" si="12"/>
        <v>3444.2400000000002</v>
      </c>
      <c r="AB18" s="39">
        <f t="shared" si="13"/>
        <v>1904.5976145454545</v>
      </c>
      <c r="AC18" s="39">
        <f t="shared" si="14"/>
        <v>19403.699985454547</v>
      </c>
      <c r="AD18" s="40">
        <f t="shared" si="15"/>
        <v>0.78240725747800588</v>
      </c>
      <c r="AE18" s="129"/>
      <c r="AF18" s="129"/>
      <c r="AG18" s="130"/>
      <c r="AH18" s="131"/>
      <c r="AI18" s="131"/>
      <c r="AJ18" s="4"/>
      <c r="AK18" s="4"/>
      <c r="AL18" s="93"/>
      <c r="AM18" s="93"/>
      <c r="AN18" s="93"/>
      <c r="AO18" s="93"/>
      <c r="AP18" s="93"/>
      <c r="AQ18" s="93"/>
      <c r="AR18" s="93"/>
    </row>
    <row r="19" spans="1:44" ht="37.5" customHeight="1">
      <c r="A19" s="25"/>
      <c r="B19" s="25" t="s">
        <v>105</v>
      </c>
      <c r="C19" s="26" t="s">
        <v>39</v>
      </c>
      <c r="D19" s="27">
        <v>5</v>
      </c>
      <c r="E19" s="27">
        <v>5</v>
      </c>
      <c r="F19" s="72">
        <v>3</v>
      </c>
      <c r="G19" s="72">
        <f t="shared" si="28"/>
        <v>75</v>
      </c>
      <c r="H19" s="70">
        <f t="shared" si="29"/>
        <v>7.4999999999999993E-5</v>
      </c>
      <c r="I19" s="29">
        <f t="shared" si="30"/>
        <v>13333.333333333334</v>
      </c>
      <c r="J19" s="30">
        <f t="shared" si="31"/>
        <v>6.0000000000000001E-3</v>
      </c>
      <c r="K19" s="31">
        <f t="shared" si="32"/>
        <v>2.0249999999999999</v>
      </c>
      <c r="L19" s="31">
        <f t="shared" si="33"/>
        <v>10.335000000000001</v>
      </c>
      <c r="M19" s="32">
        <f t="shared" si="34"/>
        <v>2.7929489337759274E-2</v>
      </c>
      <c r="N19" s="33"/>
      <c r="O19" s="32">
        <f ca="1">SUMIF($AE$6:$AG$38,$A19,$AG$6:$AG$38)</f>
        <v>0</v>
      </c>
      <c r="P19" s="34">
        <v>2</v>
      </c>
      <c r="Q19" s="34">
        <f t="shared" ref="Q19:Q23" si="38">P19*1.15</f>
        <v>2.2999999999999998</v>
      </c>
      <c r="R19" s="35">
        <f t="shared" ref="R19:R23" si="39">Q19*$AE$4</f>
        <v>442.54299999999995</v>
      </c>
      <c r="S19" s="35">
        <f t="shared" ca="1" si="35"/>
        <v>0</v>
      </c>
      <c r="T19" s="35">
        <f t="shared" si="36"/>
        <v>12.360000000000001</v>
      </c>
      <c r="U19" s="35">
        <f t="shared" ca="1" si="37"/>
        <v>454.90299999999996</v>
      </c>
      <c r="V19" s="35">
        <v>5000</v>
      </c>
      <c r="W19" s="36">
        <v>6.6299999999999998E-2</v>
      </c>
      <c r="X19" s="37">
        <v>1800</v>
      </c>
      <c r="Y19" s="35"/>
      <c r="Z19" s="38">
        <f t="shared" si="11"/>
        <v>0.42630000000000001</v>
      </c>
      <c r="AA19" s="39">
        <f t="shared" si="12"/>
        <v>2131.5</v>
      </c>
      <c r="AB19" s="39">
        <f t="shared" ref="AB19:AB23" ca="1" si="40">(V19)/1.1*10%-(R19+AA19+K19+S19+N19+X19)*10%</f>
        <v>16.938654545454483</v>
      </c>
      <c r="AC19" s="39">
        <f t="shared" ca="1" si="14"/>
        <v>2396.6583454545457</v>
      </c>
      <c r="AD19" s="40">
        <f t="shared" ca="1" si="15"/>
        <v>0.47933166909090913</v>
      </c>
      <c r="AE19" s="41"/>
      <c r="AF19" s="41"/>
      <c r="AG19" s="42"/>
      <c r="AH19" s="43"/>
      <c r="AI19" s="43"/>
      <c r="AJ19" s="44"/>
      <c r="AK19" s="44"/>
      <c r="AL19" s="122"/>
      <c r="AM19" s="122"/>
      <c r="AN19" s="122"/>
      <c r="AO19" s="122"/>
      <c r="AP19" s="122"/>
      <c r="AQ19" s="122"/>
      <c r="AR19" s="122"/>
    </row>
    <row r="20" spans="1:44" ht="28.5" customHeight="1">
      <c r="A20" s="128"/>
      <c r="B20" s="132" t="s">
        <v>136</v>
      </c>
      <c r="C20" s="96" t="s">
        <v>39</v>
      </c>
      <c r="D20" s="133">
        <v>22</v>
      </c>
      <c r="E20" s="133">
        <v>32</v>
      </c>
      <c r="F20" s="133">
        <v>5</v>
      </c>
      <c r="G20" s="134">
        <f t="shared" si="28"/>
        <v>3520</v>
      </c>
      <c r="H20" s="135">
        <f t="shared" si="29"/>
        <v>3.5200000000000001E-3</v>
      </c>
      <c r="I20" s="136">
        <f t="shared" si="30"/>
        <v>284.09090909090907</v>
      </c>
      <c r="J20" s="137">
        <f t="shared" si="31"/>
        <v>0.28160000000000002</v>
      </c>
      <c r="K20" s="138">
        <f t="shared" si="32"/>
        <v>95.04</v>
      </c>
      <c r="L20" s="138">
        <f t="shared" si="33"/>
        <v>485.05600000000004</v>
      </c>
      <c r="M20" s="102">
        <f t="shared" si="34"/>
        <v>0.13798147714935108</v>
      </c>
      <c r="N20" s="139"/>
      <c r="O20" s="140"/>
      <c r="P20" s="141">
        <v>19</v>
      </c>
      <c r="Q20" s="142">
        <f t="shared" si="38"/>
        <v>21.849999999999998</v>
      </c>
      <c r="R20" s="143">
        <f t="shared" si="39"/>
        <v>4204.1584999999995</v>
      </c>
      <c r="S20" s="143">
        <f t="shared" si="35"/>
        <v>0</v>
      </c>
      <c r="T20" s="143">
        <f t="shared" si="36"/>
        <v>580.096</v>
      </c>
      <c r="U20" s="143">
        <f t="shared" si="37"/>
        <v>4784.2544999999991</v>
      </c>
      <c r="V20" s="144">
        <v>21900</v>
      </c>
      <c r="W20" s="145">
        <v>6.6299999999999998E-2</v>
      </c>
      <c r="X20" s="37">
        <v>1800</v>
      </c>
      <c r="Y20" s="146"/>
      <c r="Z20" s="38">
        <f t="shared" si="11"/>
        <v>0.1484917808219178</v>
      </c>
      <c r="AA20" s="39">
        <f t="shared" si="12"/>
        <v>3251.97</v>
      </c>
      <c r="AB20" s="39">
        <f t="shared" si="40"/>
        <v>1055.7922409090911</v>
      </c>
      <c r="AC20" s="39">
        <f t="shared" si="14"/>
        <v>12807.98325909091</v>
      </c>
      <c r="AD20" s="40">
        <f t="shared" si="15"/>
        <v>0.58483941822332919</v>
      </c>
      <c r="AE20" s="129" t="s">
        <v>66</v>
      </c>
      <c r="AF20" s="129"/>
      <c r="AG20" s="130">
        <v>2.1000000000000001E-2</v>
      </c>
      <c r="AH20" s="131"/>
      <c r="AI20" s="131"/>
      <c r="AJ20" s="4"/>
      <c r="AK20" s="4"/>
      <c r="AL20" s="93"/>
      <c r="AM20" s="93"/>
      <c r="AN20" s="93"/>
      <c r="AO20" s="93"/>
      <c r="AP20" s="93"/>
      <c r="AQ20" s="93"/>
      <c r="AR20" s="93"/>
    </row>
    <row r="21" spans="1:44" ht="28.5" customHeight="1">
      <c r="A21" s="128"/>
      <c r="B21" s="147" t="s">
        <v>137</v>
      </c>
      <c r="C21" s="96" t="s">
        <v>39</v>
      </c>
      <c r="D21" s="134">
        <v>3</v>
      </c>
      <c r="E21" s="134">
        <v>8</v>
      </c>
      <c r="F21" s="134">
        <v>3</v>
      </c>
      <c r="G21" s="148">
        <v>72</v>
      </c>
      <c r="H21" s="135">
        <f t="shared" si="29"/>
        <v>7.2000000000000002E-5</v>
      </c>
      <c r="I21" s="136">
        <f t="shared" si="30"/>
        <v>13888.888888888889</v>
      </c>
      <c r="J21" s="137">
        <f t="shared" si="31"/>
        <v>5.7600000000000004E-3</v>
      </c>
      <c r="K21" s="138">
        <f t="shared" si="32"/>
        <v>1.944</v>
      </c>
      <c r="L21" s="138">
        <f t="shared" si="33"/>
        <v>9.9216000000000015</v>
      </c>
      <c r="M21" s="102">
        <f t="shared" si="34"/>
        <v>7.1499492704663733E-3</v>
      </c>
      <c r="N21" s="139"/>
      <c r="O21" s="140"/>
      <c r="P21" s="141">
        <v>7.5</v>
      </c>
      <c r="Q21" s="142">
        <f t="shared" si="38"/>
        <v>8.625</v>
      </c>
      <c r="R21" s="143">
        <f t="shared" si="39"/>
        <v>1659.5362499999999</v>
      </c>
      <c r="S21" s="143">
        <f t="shared" si="35"/>
        <v>0</v>
      </c>
      <c r="T21" s="143">
        <f t="shared" si="36"/>
        <v>11.865600000000001</v>
      </c>
      <c r="U21" s="143">
        <f t="shared" si="37"/>
        <v>1671.40185</v>
      </c>
      <c r="V21" s="144">
        <v>4900</v>
      </c>
      <c r="W21" s="145">
        <v>6.6299999999999998E-2</v>
      </c>
      <c r="X21" s="92"/>
      <c r="Y21" s="146"/>
      <c r="Z21" s="38">
        <f t="shared" si="11"/>
        <v>6.6299999999999998E-2</v>
      </c>
      <c r="AA21" s="39">
        <f t="shared" si="12"/>
        <v>324.87</v>
      </c>
      <c r="AB21" s="39">
        <f t="shared" si="40"/>
        <v>246.81952045454543</v>
      </c>
      <c r="AC21" s="39">
        <f t="shared" si="14"/>
        <v>2656.9086295454545</v>
      </c>
      <c r="AD21" s="40">
        <f t="shared" si="15"/>
        <v>0.54222625092764376</v>
      </c>
      <c r="AE21" s="129" t="s">
        <v>122</v>
      </c>
      <c r="AF21" s="129"/>
      <c r="AG21" s="130">
        <v>7.0000000000000007E-2</v>
      </c>
      <c r="AH21" s="131"/>
      <c r="AI21" s="131"/>
      <c r="AJ21" s="4"/>
      <c r="AK21" s="4"/>
      <c r="AL21" s="93"/>
      <c r="AM21" s="93"/>
      <c r="AN21" s="93"/>
      <c r="AO21" s="93"/>
      <c r="AP21" s="93"/>
      <c r="AQ21" s="93"/>
      <c r="AR21" s="93"/>
    </row>
    <row r="22" spans="1:44" ht="28.5" customHeight="1">
      <c r="A22" s="128"/>
      <c r="B22" s="147" t="s">
        <v>138</v>
      </c>
      <c r="C22" s="96" t="s">
        <v>39</v>
      </c>
      <c r="D22" s="134">
        <v>3</v>
      </c>
      <c r="E22" s="134">
        <v>8</v>
      </c>
      <c r="F22" s="134">
        <v>3</v>
      </c>
      <c r="G22" s="148">
        <v>72</v>
      </c>
      <c r="H22" s="135">
        <f t="shared" si="29"/>
        <v>7.2000000000000002E-5</v>
      </c>
      <c r="I22" s="136">
        <f t="shared" si="30"/>
        <v>13888.888888888889</v>
      </c>
      <c r="J22" s="137">
        <f t="shared" si="31"/>
        <v>5.7600000000000004E-3</v>
      </c>
      <c r="K22" s="138">
        <f t="shared" si="32"/>
        <v>1.944</v>
      </c>
      <c r="L22" s="138">
        <f t="shared" si="33"/>
        <v>9.9216000000000015</v>
      </c>
      <c r="M22" s="102">
        <f t="shared" si="34"/>
        <v>7.1499492704663733E-3</v>
      </c>
      <c r="N22" s="139"/>
      <c r="O22" s="140"/>
      <c r="P22" s="141">
        <v>7.5</v>
      </c>
      <c r="Q22" s="142">
        <f t="shared" si="38"/>
        <v>8.625</v>
      </c>
      <c r="R22" s="143">
        <f t="shared" si="39"/>
        <v>1659.5362499999999</v>
      </c>
      <c r="S22" s="143">
        <f t="shared" si="35"/>
        <v>0</v>
      </c>
      <c r="T22" s="143">
        <f t="shared" si="36"/>
        <v>11.865600000000001</v>
      </c>
      <c r="U22" s="143">
        <f t="shared" si="37"/>
        <v>1671.40185</v>
      </c>
      <c r="V22" s="144">
        <v>4900</v>
      </c>
      <c r="W22" s="145">
        <v>6.6299999999999998E-2</v>
      </c>
      <c r="X22" s="37">
        <v>1800</v>
      </c>
      <c r="Y22" s="146"/>
      <c r="Z22" s="38">
        <f t="shared" si="11"/>
        <v>0.43364693877551019</v>
      </c>
      <c r="AA22" s="39">
        <f t="shared" si="12"/>
        <v>2124.87</v>
      </c>
      <c r="AB22" s="39">
        <f t="shared" si="40"/>
        <v>-113.18047954545449</v>
      </c>
      <c r="AC22" s="39">
        <f t="shared" si="14"/>
        <v>1216.9086295454545</v>
      </c>
      <c r="AD22" s="40">
        <f t="shared" si="15"/>
        <v>0.2483486999072356</v>
      </c>
      <c r="AE22" s="149" t="s">
        <v>70</v>
      </c>
      <c r="AF22" s="149"/>
      <c r="AG22" s="130">
        <v>0.08</v>
      </c>
      <c r="AH22" s="131"/>
      <c r="AI22" s="131"/>
      <c r="AJ22" s="4"/>
      <c r="AK22" s="4"/>
      <c r="AL22" s="93"/>
      <c r="AM22" s="93"/>
      <c r="AN22" s="93"/>
      <c r="AO22" s="93"/>
      <c r="AP22" s="93"/>
      <c r="AQ22" s="93"/>
      <c r="AR22" s="93"/>
    </row>
    <row r="23" spans="1:44" ht="28.5" customHeight="1">
      <c r="A23" s="150"/>
      <c r="B23" s="95" t="s">
        <v>118</v>
      </c>
      <c r="C23" s="151" t="s">
        <v>39</v>
      </c>
      <c r="D23" s="98">
        <v>30</v>
      </c>
      <c r="E23" s="98">
        <v>9</v>
      </c>
      <c r="F23" s="98">
        <v>9</v>
      </c>
      <c r="G23" s="98">
        <f>PRODUCT(D23*E23*F23)</f>
        <v>2430</v>
      </c>
      <c r="H23" s="99">
        <f t="shared" si="29"/>
        <v>2.4299999999999999E-3</v>
      </c>
      <c r="I23" s="152">
        <f t="shared" si="30"/>
        <v>411.52263374485597</v>
      </c>
      <c r="J23" s="153">
        <f t="shared" si="31"/>
        <v>0.19439999999999999</v>
      </c>
      <c r="K23" s="101">
        <f t="shared" si="32"/>
        <v>65.61</v>
      </c>
      <c r="L23" s="101">
        <f>(J23*$AH$4)+K23</f>
        <v>65.61</v>
      </c>
      <c r="M23" s="102">
        <f t="shared" si="34"/>
        <v>1.3791328331831006E-2</v>
      </c>
      <c r="N23" s="154"/>
      <c r="O23" s="103">
        <f ca="1">SUMIF($AG$6:$AI$28,$A23,$AI$6:$AI$28)</f>
        <v>0</v>
      </c>
      <c r="P23" s="104">
        <v>43</v>
      </c>
      <c r="Q23" s="34">
        <f t="shared" si="38"/>
        <v>49.449999999999996</v>
      </c>
      <c r="R23" s="35">
        <f t="shared" si="39"/>
        <v>9514.6744999999992</v>
      </c>
      <c r="S23" s="35">
        <f t="shared" ca="1" si="35"/>
        <v>0</v>
      </c>
      <c r="T23" s="35">
        <f t="shared" si="36"/>
        <v>131.22</v>
      </c>
      <c r="U23" s="35">
        <f t="shared" ca="1" si="37"/>
        <v>9645.8944999999985</v>
      </c>
      <c r="V23" s="144">
        <v>28900</v>
      </c>
      <c r="W23" s="36">
        <v>6.6299999999999998E-2</v>
      </c>
      <c r="X23" s="37">
        <v>1800</v>
      </c>
      <c r="Y23" s="155"/>
      <c r="Z23" s="38">
        <f t="shared" si="11"/>
        <v>0.12858373702422143</v>
      </c>
      <c r="AA23" s="39">
        <f t="shared" si="12"/>
        <v>3716.0699999999993</v>
      </c>
      <c r="AB23" s="39">
        <f t="shared" ca="1" si="40"/>
        <v>1117.6372772727275</v>
      </c>
      <c r="AC23" s="39">
        <f t="shared" ca="1" si="14"/>
        <v>14420.398222727274</v>
      </c>
      <c r="AD23" s="40">
        <f t="shared" ca="1" si="15"/>
        <v>0.49897571704938665</v>
      </c>
      <c r="AE23" s="156"/>
      <c r="AF23" s="157"/>
      <c r="AG23" s="158" t="s">
        <v>119</v>
      </c>
      <c r="AH23" s="159"/>
      <c r="AI23" s="118">
        <v>0.08</v>
      </c>
      <c r="AJ23" s="160"/>
      <c r="AK23" s="160"/>
      <c r="AL23" s="161"/>
      <c r="AM23" s="161"/>
      <c r="AN23" s="162"/>
      <c r="AO23" s="162"/>
      <c r="AP23" s="162"/>
      <c r="AQ23" s="162"/>
      <c r="AR23" s="162"/>
    </row>
    <row r="24" spans="1:44" ht="28.5" customHeight="1">
      <c r="A24" s="25"/>
      <c r="B24" s="37"/>
      <c r="C24" s="26"/>
      <c r="D24" s="72"/>
      <c r="E24" s="72"/>
      <c r="F24" s="72"/>
      <c r="G24" s="69"/>
      <c r="H24" s="70"/>
      <c r="I24" s="29"/>
      <c r="J24" s="30"/>
      <c r="K24" s="31"/>
      <c r="L24" s="31"/>
      <c r="M24" s="32"/>
      <c r="N24" s="32"/>
      <c r="O24" s="32"/>
      <c r="P24" s="34"/>
      <c r="Q24" s="34"/>
      <c r="R24" s="35"/>
      <c r="S24" s="73"/>
      <c r="T24" s="35"/>
      <c r="U24" s="35"/>
      <c r="V24" s="73"/>
      <c r="W24" s="36"/>
      <c r="X24" s="92"/>
      <c r="Y24" s="146"/>
      <c r="Z24" s="38"/>
      <c r="AA24" s="39"/>
      <c r="AB24" s="39"/>
      <c r="AC24" s="39"/>
      <c r="AD24" s="40"/>
      <c r="AE24" s="163"/>
      <c r="AF24" s="163"/>
      <c r="AG24" s="130"/>
      <c r="AH24" s="131"/>
      <c r="AI24" s="131"/>
      <c r="AJ24" s="4"/>
      <c r="AK24" s="4"/>
      <c r="AL24" s="93"/>
      <c r="AM24" s="93"/>
      <c r="AN24" s="93"/>
      <c r="AO24" s="93"/>
      <c r="AP24" s="93"/>
      <c r="AQ24" s="93"/>
      <c r="AR24" s="93"/>
    </row>
    <row r="25" spans="1:44" ht="28.5" customHeight="1">
      <c r="A25" s="25"/>
      <c r="B25" s="37"/>
      <c r="C25" s="26"/>
      <c r="D25" s="72"/>
      <c r="E25" s="72"/>
      <c r="F25" s="72"/>
      <c r="G25" s="69"/>
      <c r="H25" s="70"/>
      <c r="I25" s="29"/>
      <c r="J25" s="30"/>
      <c r="K25" s="31"/>
      <c r="L25" s="31"/>
      <c r="M25" s="32"/>
      <c r="N25" s="32"/>
      <c r="O25" s="32"/>
      <c r="P25" s="34"/>
      <c r="Q25" s="34"/>
      <c r="R25" s="35"/>
      <c r="S25" s="73"/>
      <c r="T25" s="35"/>
      <c r="U25" s="35"/>
      <c r="V25" s="73"/>
      <c r="W25" s="36"/>
      <c r="X25" s="92"/>
      <c r="Y25" s="146"/>
      <c r="Z25" s="38"/>
      <c r="AA25" s="39"/>
      <c r="AB25" s="39"/>
      <c r="AC25" s="39"/>
      <c r="AD25" s="40"/>
      <c r="AE25" s="129"/>
      <c r="AF25" s="129"/>
      <c r="AG25" s="130"/>
      <c r="AH25" s="131"/>
      <c r="AI25" s="131"/>
      <c r="AJ25" s="4"/>
      <c r="AK25" s="4"/>
      <c r="AL25" s="93"/>
      <c r="AM25" s="93"/>
      <c r="AN25" s="93"/>
      <c r="AO25" s="93"/>
      <c r="AP25" s="93"/>
      <c r="AQ25" s="93"/>
      <c r="AR25" s="93"/>
    </row>
    <row r="26" spans="1:44" ht="28.5" customHeight="1">
      <c r="A26" s="25"/>
      <c r="B26" s="37"/>
      <c r="C26" s="26"/>
      <c r="D26" s="72"/>
      <c r="E26" s="72"/>
      <c r="F26" s="72"/>
      <c r="G26" s="69"/>
      <c r="H26" s="70"/>
      <c r="I26" s="29"/>
      <c r="J26" s="30"/>
      <c r="K26" s="31"/>
      <c r="L26" s="31"/>
      <c r="M26" s="32"/>
      <c r="N26" s="32"/>
      <c r="O26" s="32"/>
      <c r="P26" s="34"/>
      <c r="Q26" s="34"/>
      <c r="R26" s="35"/>
      <c r="S26" s="73"/>
      <c r="T26" s="35"/>
      <c r="U26" s="35"/>
      <c r="V26" s="73"/>
      <c r="W26" s="36"/>
      <c r="X26" s="92"/>
      <c r="Y26" s="146"/>
      <c r="Z26" s="38"/>
      <c r="AA26" s="39"/>
      <c r="AB26" s="39"/>
      <c r="AC26" s="39"/>
      <c r="AD26" s="40"/>
      <c r="AE26" s="129"/>
      <c r="AF26" s="129"/>
      <c r="AG26" s="130"/>
      <c r="AH26" s="131"/>
      <c r="AI26" s="131"/>
      <c r="AJ26" s="4"/>
      <c r="AK26" s="4"/>
      <c r="AL26" s="93"/>
      <c r="AM26" s="93"/>
      <c r="AN26" s="93"/>
      <c r="AO26" s="93"/>
      <c r="AP26" s="93"/>
      <c r="AQ26" s="93"/>
      <c r="AR26" s="93"/>
    </row>
    <row r="27" spans="1:44" ht="28.5" customHeight="1">
      <c r="A27" s="25"/>
      <c r="B27" s="37"/>
      <c r="C27" s="26"/>
      <c r="D27" s="72"/>
      <c r="E27" s="72"/>
      <c r="F27" s="72"/>
      <c r="G27" s="69"/>
      <c r="H27" s="70"/>
      <c r="I27" s="29"/>
      <c r="J27" s="30"/>
      <c r="K27" s="31"/>
      <c r="L27" s="31"/>
      <c r="M27" s="32"/>
      <c r="N27" s="32"/>
      <c r="O27" s="32"/>
      <c r="P27" s="34"/>
      <c r="Q27" s="34"/>
      <c r="R27" s="35"/>
      <c r="S27" s="73"/>
      <c r="T27" s="35"/>
      <c r="U27" s="35"/>
      <c r="V27" s="73"/>
      <c r="W27" s="36"/>
      <c r="X27" s="92"/>
      <c r="Y27" s="146"/>
      <c r="Z27" s="38"/>
      <c r="AA27" s="39"/>
      <c r="AB27" s="39"/>
      <c r="AC27" s="39"/>
      <c r="AD27" s="40"/>
      <c r="AE27" s="129"/>
      <c r="AF27" s="129"/>
      <c r="AG27" s="130"/>
      <c r="AH27" s="131"/>
      <c r="AI27" s="131"/>
      <c r="AJ27" s="4"/>
      <c r="AK27" s="4"/>
      <c r="AL27" s="93"/>
      <c r="AM27" s="93"/>
      <c r="AN27" s="93"/>
      <c r="AO27" s="93"/>
      <c r="AP27" s="93"/>
      <c r="AQ27" s="93"/>
      <c r="AR27" s="93"/>
    </row>
    <row r="28" spans="1:44" ht="28.5" customHeight="1">
      <c r="A28" s="25"/>
      <c r="B28" s="37"/>
      <c r="C28" s="26"/>
      <c r="D28" s="72"/>
      <c r="E28" s="72"/>
      <c r="F28" s="72"/>
      <c r="G28" s="69"/>
      <c r="H28" s="70"/>
      <c r="I28" s="29"/>
      <c r="J28" s="30"/>
      <c r="K28" s="31"/>
      <c r="L28" s="31"/>
      <c r="M28" s="32"/>
      <c r="N28" s="32"/>
      <c r="O28" s="32"/>
      <c r="P28" s="34"/>
      <c r="Q28" s="34"/>
      <c r="R28" s="35"/>
      <c r="S28" s="73"/>
      <c r="T28" s="35"/>
      <c r="U28" s="35"/>
      <c r="V28" s="73"/>
      <c r="W28" s="36"/>
      <c r="X28" s="92"/>
      <c r="Y28" s="146"/>
      <c r="Z28" s="38"/>
      <c r="AA28" s="39"/>
      <c r="AB28" s="39"/>
      <c r="AC28" s="39"/>
      <c r="AD28" s="40"/>
      <c r="AE28" s="129"/>
      <c r="AF28" s="129"/>
      <c r="AG28" s="130"/>
      <c r="AH28" s="131"/>
      <c r="AI28" s="131"/>
      <c r="AJ28" s="4"/>
      <c r="AK28" s="4"/>
      <c r="AL28" s="93"/>
      <c r="AM28" s="93"/>
      <c r="AN28" s="93"/>
      <c r="AO28" s="93"/>
      <c r="AP28" s="93"/>
      <c r="AQ28" s="93"/>
      <c r="AR28" s="93"/>
    </row>
    <row r="29" spans="1:44" ht="28.5" customHeight="1">
      <c r="A29" s="25"/>
      <c r="B29" s="37"/>
      <c r="C29" s="26"/>
      <c r="D29" s="72"/>
      <c r="E29" s="72"/>
      <c r="F29" s="72"/>
      <c r="G29" s="69"/>
      <c r="H29" s="70"/>
      <c r="I29" s="29"/>
      <c r="J29" s="30"/>
      <c r="K29" s="31"/>
      <c r="L29" s="31"/>
      <c r="M29" s="32"/>
      <c r="N29" s="32"/>
      <c r="O29" s="32"/>
      <c r="P29" s="34"/>
      <c r="Q29" s="34"/>
      <c r="R29" s="35"/>
      <c r="S29" s="73"/>
      <c r="T29" s="35"/>
      <c r="U29" s="35"/>
      <c r="V29" s="73"/>
      <c r="W29" s="36"/>
      <c r="X29" s="92"/>
      <c r="Y29" s="146"/>
      <c r="Z29" s="38"/>
      <c r="AA29" s="39"/>
      <c r="AB29" s="39"/>
      <c r="AC29" s="39"/>
      <c r="AD29" s="40"/>
      <c r="AE29" s="129"/>
      <c r="AF29" s="129"/>
      <c r="AG29" s="130"/>
      <c r="AH29" s="131"/>
      <c r="AI29" s="131"/>
      <c r="AJ29" s="4"/>
      <c r="AK29" s="4"/>
      <c r="AL29" s="93"/>
      <c r="AM29" s="93"/>
      <c r="AN29" s="93"/>
      <c r="AO29" s="93"/>
      <c r="AP29" s="93"/>
      <c r="AQ29" s="93"/>
      <c r="AR29" s="93"/>
    </row>
    <row r="30" spans="1:44" ht="28.5" customHeight="1">
      <c r="A30" s="25">
        <v>9160468624</v>
      </c>
      <c r="B30" s="37" t="s">
        <v>139</v>
      </c>
      <c r="C30" s="26" t="s">
        <v>39</v>
      </c>
      <c r="D30" s="72">
        <v>5</v>
      </c>
      <c r="E30" s="72">
        <v>10</v>
      </c>
      <c r="F30" s="72">
        <v>6</v>
      </c>
      <c r="G30" s="69">
        <f t="shared" ref="G30:G47" si="41">PRODUCT(D30*E30*F30)</f>
        <v>300</v>
      </c>
      <c r="H30" s="70">
        <f t="shared" ref="H30:H47" si="42">G30/1000000</f>
        <v>2.9999999999999997E-4</v>
      </c>
      <c r="I30" s="29">
        <f t="shared" ref="I30:I47" si="43">1/H30</f>
        <v>3333.3333333333335</v>
      </c>
      <c r="J30" s="30">
        <f t="shared" ref="J30:J47" si="44">80/I30</f>
        <v>2.4E-2</v>
      </c>
      <c r="K30" s="31">
        <f t="shared" ref="K30:K47" si="45">27000/I30</f>
        <v>8.1</v>
      </c>
      <c r="L30" s="31">
        <f t="shared" ref="L30:L47" si="46">(J30*$AF$4)+K30</f>
        <v>41.34</v>
      </c>
      <c r="M30" s="32">
        <f t="shared" ref="M30:M47" si="47">T30/R30</f>
        <v>1.1759784984319694E-2</v>
      </c>
      <c r="N30" s="32"/>
      <c r="O30" s="32">
        <v>2.1000000000000001E-2</v>
      </c>
      <c r="P30" s="34">
        <v>19</v>
      </c>
      <c r="Q30" s="34">
        <f t="shared" ref="Q30:Q47" si="48">P30*1.15</f>
        <v>21.849999999999998</v>
      </c>
      <c r="R30" s="35">
        <f t="shared" ref="R30:R47" si="49">Q30*$AE$4</f>
        <v>4204.1584999999995</v>
      </c>
      <c r="S30" s="73">
        <v>0</v>
      </c>
      <c r="T30" s="35">
        <f t="shared" ref="T30:T47" si="50">L30+K30</f>
        <v>49.440000000000005</v>
      </c>
      <c r="U30" s="35">
        <f t="shared" ref="U30:U37" si="51">R30+S30+T30</f>
        <v>4253.5984999999991</v>
      </c>
      <c r="V30" s="73">
        <v>29000</v>
      </c>
      <c r="W30" s="36">
        <v>6.6299999999999998E-2</v>
      </c>
      <c r="X30" s="92">
        <v>1800</v>
      </c>
      <c r="Y30" s="146"/>
      <c r="Z30" s="38">
        <f t="shared" ref="Z30:Z47" si="52">W30+(X30/V30)</f>
        <v>0.12836896551724136</v>
      </c>
      <c r="AA30" s="39">
        <f t="shared" ref="AA30:AA47" si="53">V30*Z30</f>
        <v>3722.6999999999994</v>
      </c>
      <c r="AB30" s="39">
        <f t="shared" ref="AB30:AB47" si="54">(V30)/1.1*10%-(AA30+K30+S30+N30+U30)*10%</f>
        <v>1837.9237863636363</v>
      </c>
      <c r="AC30" s="39">
        <f t="shared" ref="AC30:AC47" si="55">V30-(U30+AA30+AB30+N30)</f>
        <v>19185.777713636366</v>
      </c>
      <c r="AD30" s="40">
        <f t="shared" ref="AD30:AD47" si="56">AC30/V30</f>
        <v>0.6615785418495298</v>
      </c>
      <c r="AE30" s="129" t="s">
        <v>124</v>
      </c>
      <c r="AF30" s="129"/>
      <c r="AG30" s="130">
        <v>0.08</v>
      </c>
      <c r="AH30" s="131"/>
      <c r="AI30" s="131"/>
      <c r="AJ30" s="4"/>
      <c r="AK30" s="4"/>
      <c r="AL30" s="93"/>
      <c r="AM30" s="93"/>
      <c r="AN30" s="93"/>
      <c r="AO30" s="93"/>
      <c r="AP30" s="93"/>
      <c r="AQ30" s="93"/>
      <c r="AR30" s="93"/>
    </row>
    <row r="31" spans="1:44" ht="28.5" customHeight="1">
      <c r="A31" s="25">
        <v>9489814582</v>
      </c>
      <c r="B31" s="37" t="s">
        <v>140</v>
      </c>
      <c r="C31" s="26" t="s">
        <v>39</v>
      </c>
      <c r="D31" s="72">
        <v>5</v>
      </c>
      <c r="E31" s="72">
        <v>10</v>
      </c>
      <c r="F31" s="72">
        <v>6</v>
      </c>
      <c r="G31" s="69">
        <f t="shared" si="41"/>
        <v>300</v>
      </c>
      <c r="H31" s="70">
        <f t="shared" si="42"/>
        <v>2.9999999999999997E-4</v>
      </c>
      <c r="I31" s="29">
        <f t="shared" si="43"/>
        <v>3333.3333333333335</v>
      </c>
      <c r="J31" s="30">
        <f t="shared" si="44"/>
        <v>2.4E-2</v>
      </c>
      <c r="K31" s="31">
        <f t="shared" si="45"/>
        <v>8.1</v>
      </c>
      <c r="L31" s="31">
        <f t="shared" si="46"/>
        <v>41.34</v>
      </c>
      <c r="M31" s="32">
        <f t="shared" si="47"/>
        <v>8.5936890270028529E-3</v>
      </c>
      <c r="N31" s="32"/>
      <c r="O31" s="32">
        <v>2.1000000000000001E-2</v>
      </c>
      <c r="P31" s="34">
        <v>26</v>
      </c>
      <c r="Q31" s="34">
        <f t="shared" si="48"/>
        <v>29.9</v>
      </c>
      <c r="R31" s="35">
        <f t="shared" si="49"/>
        <v>5753.0589999999993</v>
      </c>
      <c r="S31" s="73">
        <v>0</v>
      </c>
      <c r="T31" s="35">
        <f t="shared" si="50"/>
        <v>49.440000000000005</v>
      </c>
      <c r="U31" s="35">
        <f t="shared" si="51"/>
        <v>5802.4989999999989</v>
      </c>
      <c r="V31" s="73">
        <v>39000</v>
      </c>
      <c r="W31" s="36">
        <v>6.6299999999999998E-2</v>
      </c>
      <c r="X31" s="92">
        <v>1800</v>
      </c>
      <c r="Y31" s="146"/>
      <c r="Z31" s="38">
        <f t="shared" si="52"/>
        <v>0.11245384615384615</v>
      </c>
      <c r="AA31" s="39">
        <f t="shared" si="53"/>
        <v>4385.7</v>
      </c>
      <c r="AB31" s="39">
        <f t="shared" si="54"/>
        <v>2525.8246454545451</v>
      </c>
      <c r="AC31" s="39">
        <f t="shared" si="55"/>
        <v>26285.976354545455</v>
      </c>
      <c r="AD31" s="40">
        <f t="shared" si="56"/>
        <v>0.67399939370629369</v>
      </c>
      <c r="AE31" s="129" t="s">
        <v>129</v>
      </c>
      <c r="AF31" s="129"/>
      <c r="AG31" s="130">
        <v>2.1000000000000001E-2</v>
      </c>
      <c r="AH31" s="131"/>
      <c r="AI31" s="131"/>
      <c r="AJ31" s="4"/>
      <c r="AK31" s="4"/>
      <c r="AL31" s="93"/>
      <c r="AM31" s="93"/>
      <c r="AN31" s="93"/>
      <c r="AO31" s="93"/>
      <c r="AP31" s="93"/>
      <c r="AQ31" s="93"/>
      <c r="AR31" s="93"/>
    </row>
    <row r="32" spans="1:44" ht="28.5" customHeight="1">
      <c r="A32" s="25">
        <v>9489836034</v>
      </c>
      <c r="B32" s="37" t="s">
        <v>141</v>
      </c>
      <c r="C32" s="26" t="s">
        <v>39</v>
      </c>
      <c r="D32" s="72">
        <v>5</v>
      </c>
      <c r="E32" s="72">
        <v>10</v>
      </c>
      <c r="F32" s="72">
        <v>6</v>
      </c>
      <c r="G32" s="69">
        <f t="shared" si="41"/>
        <v>300</v>
      </c>
      <c r="H32" s="70">
        <f t="shared" si="42"/>
        <v>2.9999999999999997E-4</v>
      </c>
      <c r="I32" s="29">
        <f t="shared" si="43"/>
        <v>3333.3333333333335</v>
      </c>
      <c r="J32" s="30">
        <f t="shared" si="44"/>
        <v>2.4E-2</v>
      </c>
      <c r="K32" s="31">
        <f t="shared" si="45"/>
        <v>8.1</v>
      </c>
      <c r="L32" s="31">
        <f t="shared" si="46"/>
        <v>41.34</v>
      </c>
      <c r="M32" s="32">
        <f t="shared" si="47"/>
        <v>5.196184062838935E-3</v>
      </c>
      <c r="N32" s="32"/>
      <c r="O32" s="32">
        <v>2.1000000000000001E-2</v>
      </c>
      <c r="P32" s="34">
        <v>43</v>
      </c>
      <c r="Q32" s="34">
        <f t="shared" si="48"/>
        <v>49.449999999999996</v>
      </c>
      <c r="R32" s="35">
        <f t="shared" si="49"/>
        <v>9514.6744999999992</v>
      </c>
      <c r="S32" s="73">
        <v>0</v>
      </c>
      <c r="T32" s="35">
        <f t="shared" si="50"/>
        <v>49.440000000000005</v>
      </c>
      <c r="U32" s="35">
        <f t="shared" si="51"/>
        <v>9564.1144999999997</v>
      </c>
      <c r="V32" s="73">
        <v>56900</v>
      </c>
      <c r="W32" s="36">
        <v>6.6299999999999998E-2</v>
      </c>
      <c r="X32" s="92">
        <v>1800</v>
      </c>
      <c r="Y32" s="146"/>
      <c r="Z32" s="38">
        <f t="shared" si="52"/>
        <v>9.7934446397188041E-2</v>
      </c>
      <c r="AA32" s="39">
        <f t="shared" si="53"/>
        <v>5572.4699999999993</v>
      </c>
      <c r="AB32" s="39">
        <f t="shared" si="54"/>
        <v>3658.2588227272718</v>
      </c>
      <c r="AC32" s="39">
        <f t="shared" si="55"/>
        <v>38105.156677272731</v>
      </c>
      <c r="AD32" s="40">
        <f t="shared" si="56"/>
        <v>0.66968640909090915</v>
      </c>
      <c r="AE32" s="129" t="s">
        <v>119</v>
      </c>
      <c r="AF32" s="129"/>
      <c r="AG32" s="130">
        <v>0.08</v>
      </c>
      <c r="AH32" s="131"/>
      <c r="AI32" s="131"/>
      <c r="AJ32" s="4"/>
      <c r="AK32" s="4"/>
      <c r="AL32" s="93"/>
      <c r="AM32" s="93"/>
      <c r="AN32" s="93"/>
      <c r="AO32" s="93"/>
      <c r="AP32" s="93"/>
      <c r="AQ32" s="93"/>
      <c r="AR32" s="93"/>
    </row>
    <row r="33" spans="1:44" ht="28.5" customHeight="1">
      <c r="A33" s="25"/>
      <c r="B33" s="37" t="s">
        <v>142</v>
      </c>
      <c r="C33" s="26" t="s">
        <v>39</v>
      </c>
      <c r="D33" s="72">
        <v>5</v>
      </c>
      <c r="E33" s="72">
        <v>10</v>
      </c>
      <c r="F33" s="72">
        <v>6</v>
      </c>
      <c r="G33" s="69">
        <f t="shared" si="41"/>
        <v>300</v>
      </c>
      <c r="H33" s="70">
        <f t="shared" si="42"/>
        <v>2.9999999999999997E-4</v>
      </c>
      <c r="I33" s="29">
        <f t="shared" si="43"/>
        <v>3333.3333333333335</v>
      </c>
      <c r="J33" s="30">
        <f t="shared" si="44"/>
        <v>2.4E-2</v>
      </c>
      <c r="K33" s="31">
        <f t="shared" si="45"/>
        <v>8.1</v>
      </c>
      <c r="L33" s="31">
        <f t="shared" si="46"/>
        <v>41.34</v>
      </c>
      <c r="M33" s="32">
        <f t="shared" si="47"/>
        <v>1.1759784984319694E-2</v>
      </c>
      <c r="N33" s="32"/>
      <c r="O33" s="32">
        <v>2.1000000000000001E-2</v>
      </c>
      <c r="P33" s="34">
        <v>19</v>
      </c>
      <c r="Q33" s="34">
        <f t="shared" si="48"/>
        <v>21.849999999999998</v>
      </c>
      <c r="R33" s="35">
        <f t="shared" si="49"/>
        <v>4204.1584999999995</v>
      </c>
      <c r="S33" s="73">
        <v>0</v>
      </c>
      <c r="T33" s="35">
        <f t="shared" si="50"/>
        <v>49.440000000000005</v>
      </c>
      <c r="U33" s="35">
        <f t="shared" si="51"/>
        <v>4253.5984999999991</v>
      </c>
      <c r="V33" s="73">
        <v>29000</v>
      </c>
      <c r="W33" s="36">
        <v>6.6299999999999998E-2</v>
      </c>
      <c r="X33" s="92"/>
      <c r="Y33" s="146"/>
      <c r="Z33" s="38">
        <f t="shared" si="52"/>
        <v>6.6299999999999998E-2</v>
      </c>
      <c r="AA33" s="39">
        <f t="shared" si="53"/>
        <v>1922.7</v>
      </c>
      <c r="AB33" s="39">
        <f t="shared" si="54"/>
        <v>2017.9237863636361</v>
      </c>
      <c r="AC33" s="39">
        <f t="shared" si="55"/>
        <v>20805.777713636366</v>
      </c>
      <c r="AD33" s="40">
        <f t="shared" si="56"/>
        <v>0.71744061081504706</v>
      </c>
      <c r="AE33" s="129"/>
      <c r="AF33" s="129"/>
      <c r="AG33" s="130"/>
      <c r="AH33" s="131"/>
      <c r="AI33" s="131"/>
      <c r="AJ33" s="4"/>
      <c r="AK33" s="4"/>
      <c r="AL33" s="93"/>
      <c r="AM33" s="93"/>
      <c r="AN33" s="93"/>
      <c r="AO33" s="93"/>
      <c r="AP33" s="93"/>
      <c r="AQ33" s="93"/>
      <c r="AR33" s="93"/>
    </row>
    <row r="34" spans="1:44" ht="28.5" customHeight="1">
      <c r="A34" s="25"/>
      <c r="B34" s="37" t="s">
        <v>143</v>
      </c>
      <c r="C34" s="26" t="s">
        <v>39</v>
      </c>
      <c r="D34" s="72">
        <v>5</v>
      </c>
      <c r="E34" s="72">
        <v>10</v>
      </c>
      <c r="F34" s="72">
        <v>6</v>
      </c>
      <c r="G34" s="69">
        <f t="shared" si="41"/>
        <v>300</v>
      </c>
      <c r="H34" s="70">
        <f t="shared" si="42"/>
        <v>2.9999999999999997E-4</v>
      </c>
      <c r="I34" s="29">
        <f t="shared" si="43"/>
        <v>3333.3333333333335</v>
      </c>
      <c r="J34" s="30">
        <f t="shared" si="44"/>
        <v>2.4E-2</v>
      </c>
      <c r="K34" s="31">
        <f t="shared" si="45"/>
        <v>8.1</v>
      </c>
      <c r="L34" s="31">
        <f t="shared" si="46"/>
        <v>41.34</v>
      </c>
      <c r="M34" s="32">
        <f t="shared" si="47"/>
        <v>8.5936890270028529E-3</v>
      </c>
      <c r="N34" s="32"/>
      <c r="O34" s="32">
        <v>2.1000000000000001E-2</v>
      </c>
      <c r="P34" s="34">
        <v>26</v>
      </c>
      <c r="Q34" s="34">
        <f t="shared" si="48"/>
        <v>29.9</v>
      </c>
      <c r="R34" s="35">
        <f t="shared" si="49"/>
        <v>5753.0589999999993</v>
      </c>
      <c r="S34" s="73">
        <v>0</v>
      </c>
      <c r="T34" s="35">
        <f t="shared" si="50"/>
        <v>49.440000000000005</v>
      </c>
      <c r="U34" s="35">
        <f t="shared" si="51"/>
        <v>5802.4989999999989</v>
      </c>
      <c r="V34" s="73">
        <v>39000</v>
      </c>
      <c r="W34" s="36">
        <v>6.6299999999999998E-2</v>
      </c>
      <c r="X34" s="92"/>
      <c r="Y34" s="146"/>
      <c r="Z34" s="38">
        <f t="shared" si="52"/>
        <v>6.6299999999999998E-2</v>
      </c>
      <c r="AA34" s="39">
        <f t="shared" si="53"/>
        <v>2585.6999999999998</v>
      </c>
      <c r="AB34" s="39">
        <f t="shared" si="54"/>
        <v>2705.8246454545451</v>
      </c>
      <c r="AC34" s="39">
        <f t="shared" si="55"/>
        <v>27905.976354545455</v>
      </c>
      <c r="AD34" s="40">
        <f t="shared" si="56"/>
        <v>0.71553785524475522</v>
      </c>
      <c r="AE34" s="129"/>
      <c r="AF34" s="129"/>
      <c r="AG34" s="130"/>
      <c r="AH34" s="131"/>
      <c r="AI34" s="131"/>
      <c r="AJ34" s="4"/>
      <c r="AK34" s="4"/>
      <c r="AL34" s="93"/>
      <c r="AM34" s="93"/>
      <c r="AN34" s="93"/>
      <c r="AO34" s="93"/>
      <c r="AP34" s="93"/>
      <c r="AQ34" s="93"/>
      <c r="AR34" s="93"/>
    </row>
    <row r="35" spans="1:44" ht="28.5" customHeight="1">
      <c r="A35" s="25"/>
      <c r="B35" s="37" t="s">
        <v>144</v>
      </c>
      <c r="C35" s="26" t="s">
        <v>39</v>
      </c>
      <c r="D35" s="72">
        <v>5</v>
      </c>
      <c r="E35" s="72">
        <v>10</v>
      </c>
      <c r="F35" s="72">
        <v>6</v>
      </c>
      <c r="G35" s="69">
        <f t="shared" si="41"/>
        <v>300</v>
      </c>
      <c r="H35" s="70">
        <f t="shared" si="42"/>
        <v>2.9999999999999997E-4</v>
      </c>
      <c r="I35" s="29">
        <f t="shared" si="43"/>
        <v>3333.3333333333335</v>
      </c>
      <c r="J35" s="30">
        <f t="shared" si="44"/>
        <v>2.4E-2</v>
      </c>
      <c r="K35" s="31">
        <f t="shared" si="45"/>
        <v>8.1</v>
      </c>
      <c r="L35" s="31">
        <f t="shared" si="46"/>
        <v>41.34</v>
      </c>
      <c r="M35" s="32">
        <f t="shared" si="47"/>
        <v>5.196184062838935E-3</v>
      </c>
      <c r="N35" s="32"/>
      <c r="O35" s="32">
        <v>2.1000000000000001E-2</v>
      </c>
      <c r="P35" s="34">
        <v>43</v>
      </c>
      <c r="Q35" s="34">
        <f t="shared" si="48"/>
        <v>49.449999999999996</v>
      </c>
      <c r="R35" s="35">
        <f t="shared" si="49"/>
        <v>9514.6744999999992</v>
      </c>
      <c r="S35" s="73">
        <v>0</v>
      </c>
      <c r="T35" s="35">
        <f t="shared" si="50"/>
        <v>49.440000000000005</v>
      </c>
      <c r="U35" s="35">
        <f t="shared" si="51"/>
        <v>9564.1144999999997</v>
      </c>
      <c r="V35" s="73">
        <v>56900</v>
      </c>
      <c r="W35" s="36">
        <v>6.6299999999999998E-2</v>
      </c>
      <c r="X35" s="92"/>
      <c r="Y35" s="146"/>
      <c r="Z35" s="38">
        <f t="shared" si="52"/>
        <v>6.6299999999999998E-2</v>
      </c>
      <c r="AA35" s="39">
        <f t="shared" si="53"/>
        <v>3772.47</v>
      </c>
      <c r="AB35" s="39">
        <f t="shared" si="54"/>
        <v>3838.2588227272718</v>
      </c>
      <c r="AC35" s="39">
        <f t="shared" si="55"/>
        <v>39725.156677272731</v>
      </c>
      <c r="AD35" s="40">
        <f t="shared" si="56"/>
        <v>0.69815741084837835</v>
      </c>
      <c r="AE35" s="129"/>
      <c r="AF35" s="129"/>
      <c r="AG35" s="130"/>
      <c r="AH35" s="131"/>
      <c r="AI35" s="131"/>
      <c r="AJ35" s="4"/>
      <c r="AK35" s="4"/>
      <c r="AL35" s="93"/>
      <c r="AM35" s="93"/>
      <c r="AN35" s="93"/>
      <c r="AO35" s="93"/>
      <c r="AP35" s="93"/>
      <c r="AQ35" s="93"/>
      <c r="AR35" s="93"/>
    </row>
    <row r="36" spans="1:44" ht="28.5" customHeight="1">
      <c r="A36" s="25"/>
      <c r="B36" s="37" t="s">
        <v>145</v>
      </c>
      <c r="C36" s="26" t="s">
        <v>39</v>
      </c>
      <c r="D36" s="72">
        <v>3</v>
      </c>
      <c r="E36" s="72">
        <v>8</v>
      </c>
      <c r="F36" s="72">
        <v>3</v>
      </c>
      <c r="G36" s="69">
        <f t="shared" si="41"/>
        <v>72</v>
      </c>
      <c r="H36" s="70">
        <f t="shared" si="42"/>
        <v>7.2000000000000002E-5</v>
      </c>
      <c r="I36" s="29">
        <f t="shared" si="43"/>
        <v>13888.888888888889</v>
      </c>
      <c r="J36" s="30">
        <f t="shared" si="44"/>
        <v>5.7600000000000004E-3</v>
      </c>
      <c r="K36" s="31">
        <f t="shared" si="45"/>
        <v>1.944</v>
      </c>
      <c r="L36" s="31">
        <f t="shared" si="46"/>
        <v>9.9216000000000015</v>
      </c>
      <c r="M36" s="32">
        <f t="shared" si="47"/>
        <v>5.6446967924734534E-3</v>
      </c>
      <c r="N36" s="32"/>
      <c r="O36" s="32"/>
      <c r="P36" s="34">
        <v>9.5</v>
      </c>
      <c r="Q36" s="34">
        <f t="shared" si="48"/>
        <v>10.924999999999999</v>
      </c>
      <c r="R36" s="35">
        <f t="shared" si="49"/>
        <v>2102.0792499999998</v>
      </c>
      <c r="S36" s="73">
        <v>0</v>
      </c>
      <c r="T36" s="35">
        <f t="shared" si="50"/>
        <v>11.865600000000001</v>
      </c>
      <c r="U36" s="35">
        <f t="shared" si="51"/>
        <v>2113.9448499999999</v>
      </c>
      <c r="V36" s="73">
        <v>14900</v>
      </c>
      <c r="W36" s="36">
        <v>6.6299999999999998E-2</v>
      </c>
      <c r="X36" s="92"/>
      <c r="Y36" s="146"/>
      <c r="Z36" s="38">
        <f t="shared" si="52"/>
        <v>6.6299999999999998E-2</v>
      </c>
      <c r="AA36" s="39">
        <f t="shared" si="53"/>
        <v>987.87</v>
      </c>
      <c r="AB36" s="39">
        <f t="shared" si="54"/>
        <v>1044.1695695454546</v>
      </c>
      <c r="AC36" s="39">
        <f t="shared" si="55"/>
        <v>10754.015580454547</v>
      </c>
      <c r="AD36" s="40">
        <f t="shared" si="56"/>
        <v>0.72174601211104339</v>
      </c>
      <c r="AE36" s="129"/>
      <c r="AF36" s="129"/>
      <c r="AG36" s="130"/>
      <c r="AH36" s="131"/>
      <c r="AI36" s="131"/>
      <c r="AJ36" s="4"/>
      <c r="AK36" s="4"/>
      <c r="AL36" s="93"/>
      <c r="AM36" s="93"/>
      <c r="AN36" s="93"/>
      <c r="AO36" s="93"/>
      <c r="AP36" s="93"/>
      <c r="AQ36" s="93"/>
      <c r="AR36" s="93"/>
    </row>
    <row r="37" spans="1:44" ht="28.5" customHeight="1">
      <c r="A37" s="25"/>
      <c r="B37" s="25" t="s">
        <v>146</v>
      </c>
      <c r="C37" s="26" t="s">
        <v>39</v>
      </c>
      <c r="D37" s="27">
        <v>10</v>
      </c>
      <c r="E37" s="27">
        <v>86</v>
      </c>
      <c r="F37" s="27">
        <v>16</v>
      </c>
      <c r="G37" s="69">
        <f t="shared" si="41"/>
        <v>13760</v>
      </c>
      <c r="H37" s="70">
        <f t="shared" si="42"/>
        <v>1.376E-2</v>
      </c>
      <c r="I37" s="29">
        <f t="shared" si="43"/>
        <v>72.674418604651166</v>
      </c>
      <c r="J37" s="30">
        <f t="shared" si="44"/>
        <v>1.1008</v>
      </c>
      <c r="K37" s="31">
        <f t="shared" si="45"/>
        <v>371.52</v>
      </c>
      <c r="L37" s="31">
        <f t="shared" si="46"/>
        <v>1896.1279999999999</v>
      </c>
      <c r="M37" s="32">
        <f t="shared" si="47"/>
        <v>0.20914817593881233</v>
      </c>
      <c r="N37" s="32"/>
      <c r="O37" s="32"/>
      <c r="P37" s="34">
        <v>49</v>
      </c>
      <c r="Q37" s="34">
        <f t="shared" si="48"/>
        <v>56.349999999999994</v>
      </c>
      <c r="R37" s="35">
        <f t="shared" si="49"/>
        <v>10842.303499999998</v>
      </c>
      <c r="S37" s="73">
        <v>0</v>
      </c>
      <c r="T37" s="35">
        <f t="shared" si="50"/>
        <v>2267.6480000000001</v>
      </c>
      <c r="U37" s="35">
        <f t="shared" si="51"/>
        <v>13109.951499999999</v>
      </c>
      <c r="V37" s="73">
        <v>49000</v>
      </c>
      <c r="W37" s="36">
        <v>6.6299999999999998E-2</v>
      </c>
      <c r="X37" s="92">
        <v>2500</v>
      </c>
      <c r="Y37" s="146"/>
      <c r="Z37" s="38">
        <f t="shared" si="52"/>
        <v>0.11732040816326531</v>
      </c>
      <c r="AA37" s="39">
        <f t="shared" si="53"/>
        <v>5748.7</v>
      </c>
      <c r="AB37" s="39">
        <f t="shared" si="54"/>
        <v>2531.5283045454553</v>
      </c>
      <c r="AC37" s="39">
        <f t="shared" si="55"/>
        <v>27609.820195454544</v>
      </c>
      <c r="AD37" s="40">
        <f t="shared" si="56"/>
        <v>0.56346571827458258</v>
      </c>
      <c r="AE37" s="129"/>
      <c r="AF37" s="129"/>
      <c r="AG37" s="130"/>
      <c r="AH37" s="131"/>
      <c r="AI37" s="131"/>
      <c r="AJ37" s="4"/>
      <c r="AK37" s="4"/>
      <c r="AL37" s="93"/>
      <c r="AM37" s="93"/>
      <c r="AN37" s="93"/>
      <c r="AO37" s="93"/>
      <c r="AP37" s="93"/>
      <c r="AQ37" s="93"/>
      <c r="AR37" s="93"/>
    </row>
    <row r="38" spans="1:44" ht="28.5" customHeight="1">
      <c r="A38" s="25">
        <v>10434660679</v>
      </c>
      <c r="B38" s="25" t="s">
        <v>147</v>
      </c>
      <c r="C38" s="26" t="s">
        <v>39</v>
      </c>
      <c r="D38" s="27">
        <v>11</v>
      </c>
      <c r="E38" s="27">
        <v>101</v>
      </c>
      <c r="F38" s="27">
        <v>24</v>
      </c>
      <c r="G38" s="72">
        <f t="shared" si="41"/>
        <v>26664</v>
      </c>
      <c r="H38" s="70">
        <f t="shared" si="42"/>
        <v>2.6664E-2</v>
      </c>
      <c r="I38" s="29">
        <f t="shared" si="43"/>
        <v>37.503750375037505</v>
      </c>
      <c r="J38" s="30">
        <f t="shared" si="44"/>
        <v>2.1331199999999999</v>
      </c>
      <c r="K38" s="31">
        <f t="shared" si="45"/>
        <v>719.928</v>
      </c>
      <c r="L38" s="31">
        <f t="shared" si="46"/>
        <v>3674.2991999999999</v>
      </c>
      <c r="M38" s="32">
        <f t="shared" si="47"/>
        <v>0.16145515527414922</v>
      </c>
      <c r="N38" s="32"/>
      <c r="O38" s="32">
        <f t="shared" ref="O38:O39" ca="1" si="57">SUMIF($AE$6:$AG$43,$A38,$AG$6:$AG$43)</f>
        <v>0</v>
      </c>
      <c r="P38" s="34">
        <v>123</v>
      </c>
      <c r="Q38" s="34">
        <f t="shared" si="48"/>
        <v>141.44999999999999</v>
      </c>
      <c r="R38" s="35">
        <f t="shared" si="49"/>
        <v>27216.394499999999</v>
      </c>
      <c r="S38" s="35">
        <f t="shared" ref="S38:S47" ca="1" si="58">R38*O38</f>
        <v>0</v>
      </c>
      <c r="T38" s="35">
        <f t="shared" si="50"/>
        <v>4394.2272000000003</v>
      </c>
      <c r="U38" s="35">
        <f ca="1">R38+S38+T38+(U30*2)+헤몬라이프!U8+헤몬라이프!U9+헤몬라이프!U10+헤몬라이프!U11+헤몬라이프!U12+헤몬라이프!U13+헤몬라이프!U14+헤몬라이프!U15</f>
        <v>46271.132874999981</v>
      </c>
      <c r="V38" s="35">
        <v>149000</v>
      </c>
      <c r="W38" s="36">
        <v>6.6299999999999998E-2</v>
      </c>
      <c r="X38" s="37">
        <v>4400</v>
      </c>
      <c r="Y38" s="35"/>
      <c r="Z38" s="38">
        <f t="shared" si="52"/>
        <v>9.5830201342281873E-2</v>
      </c>
      <c r="AA38" s="39">
        <f t="shared" si="53"/>
        <v>14278.699999999999</v>
      </c>
      <c r="AB38" s="39">
        <f t="shared" ca="1" si="54"/>
        <v>7418.4784579545458</v>
      </c>
      <c r="AC38" s="39">
        <f t="shared" ca="1" si="55"/>
        <v>81031.68866704547</v>
      </c>
      <c r="AD38" s="40">
        <f t="shared" ca="1" si="56"/>
        <v>0.54383683669158034</v>
      </c>
      <c r="AE38" s="129" t="s">
        <v>148</v>
      </c>
      <c r="AF38" s="129"/>
      <c r="AG38" s="130">
        <v>1.7000000000000001E-2</v>
      </c>
      <c r="AH38" s="131"/>
      <c r="AI38" s="131"/>
      <c r="AJ38" s="4"/>
      <c r="AK38" s="4"/>
      <c r="AL38" s="93"/>
      <c r="AM38" s="93"/>
      <c r="AN38" s="93"/>
      <c r="AO38" s="93"/>
      <c r="AP38" s="93"/>
      <c r="AQ38" s="93"/>
      <c r="AR38" s="93"/>
    </row>
    <row r="39" spans="1:44" ht="28.5" customHeight="1">
      <c r="A39" s="25"/>
      <c r="B39" s="25" t="s">
        <v>149</v>
      </c>
      <c r="C39" s="26" t="s">
        <v>39</v>
      </c>
      <c r="D39" s="27">
        <v>11</v>
      </c>
      <c r="E39" s="27">
        <v>101</v>
      </c>
      <c r="F39" s="27">
        <v>24</v>
      </c>
      <c r="G39" s="72">
        <f t="shared" si="41"/>
        <v>26664</v>
      </c>
      <c r="H39" s="70">
        <f t="shared" si="42"/>
        <v>2.6664E-2</v>
      </c>
      <c r="I39" s="29">
        <f t="shared" si="43"/>
        <v>37.503750375037505</v>
      </c>
      <c r="J39" s="30">
        <f t="shared" si="44"/>
        <v>2.1331199999999999</v>
      </c>
      <c r="K39" s="31">
        <f t="shared" si="45"/>
        <v>719.928</v>
      </c>
      <c r="L39" s="31">
        <f t="shared" si="46"/>
        <v>3674.2991999999999</v>
      </c>
      <c r="M39" s="32">
        <f t="shared" si="47"/>
        <v>0.16145515527414922</v>
      </c>
      <c r="N39" s="32"/>
      <c r="O39" s="32">
        <f t="shared" ca="1" si="57"/>
        <v>0</v>
      </c>
      <c r="P39" s="34">
        <v>123</v>
      </c>
      <c r="Q39" s="34">
        <f t="shared" si="48"/>
        <v>141.44999999999999</v>
      </c>
      <c r="R39" s="35">
        <f t="shared" si="49"/>
        <v>27216.394499999999</v>
      </c>
      <c r="S39" s="35">
        <f t="shared" ca="1" si="58"/>
        <v>0</v>
      </c>
      <c r="T39" s="35">
        <f t="shared" si="50"/>
        <v>4394.2272000000003</v>
      </c>
      <c r="U39" s="35">
        <f ca="1">R39+S39+T39</f>
        <v>31610.6217</v>
      </c>
      <c r="V39" s="35">
        <v>79000</v>
      </c>
      <c r="W39" s="36">
        <v>6.6299999999999998E-2</v>
      </c>
      <c r="X39" s="37">
        <v>4400</v>
      </c>
      <c r="Y39" s="35"/>
      <c r="Z39" s="38">
        <f t="shared" si="52"/>
        <v>0.12199620253164556</v>
      </c>
      <c r="AA39" s="39">
        <f t="shared" si="53"/>
        <v>9637.6999999999989</v>
      </c>
      <c r="AB39" s="39">
        <f t="shared" ca="1" si="54"/>
        <v>2984.9932118181805</v>
      </c>
      <c r="AC39" s="39">
        <f t="shared" ca="1" si="55"/>
        <v>34766.685088181817</v>
      </c>
      <c r="AD39" s="40">
        <f t="shared" ca="1" si="56"/>
        <v>0.44008462136939008</v>
      </c>
      <c r="AE39" s="129"/>
      <c r="AF39" s="129"/>
      <c r="AG39" s="130"/>
      <c r="AH39" s="131"/>
      <c r="AI39" s="131"/>
      <c r="AJ39" s="4"/>
      <c r="AK39" s="4"/>
      <c r="AL39" s="93"/>
      <c r="AM39" s="93"/>
      <c r="AN39" s="93"/>
      <c r="AO39" s="93"/>
      <c r="AP39" s="93"/>
      <c r="AQ39" s="93"/>
      <c r="AR39" s="93"/>
    </row>
    <row r="40" spans="1:44" ht="28.5" customHeight="1">
      <c r="A40" s="128">
        <v>11979306367</v>
      </c>
      <c r="B40" s="132" t="s">
        <v>150</v>
      </c>
      <c r="C40" s="26" t="s">
        <v>39</v>
      </c>
      <c r="D40" s="164">
        <v>15</v>
      </c>
      <c r="E40" s="164">
        <v>30</v>
      </c>
      <c r="F40" s="164">
        <v>15</v>
      </c>
      <c r="G40" s="72">
        <f t="shared" si="41"/>
        <v>6750</v>
      </c>
      <c r="H40" s="70">
        <f t="shared" si="42"/>
        <v>6.7499999999999999E-3</v>
      </c>
      <c r="I40" s="29">
        <f t="shared" si="43"/>
        <v>148.14814814814815</v>
      </c>
      <c r="J40" s="30">
        <f t="shared" si="44"/>
        <v>0.54</v>
      </c>
      <c r="K40" s="31">
        <f t="shared" si="45"/>
        <v>182.25</v>
      </c>
      <c r="L40" s="31">
        <f t="shared" si="46"/>
        <v>930.15000000000009</v>
      </c>
      <c r="M40" s="32">
        <f t="shared" si="47"/>
        <v>6.2841351009958357E-2</v>
      </c>
      <c r="N40" s="165"/>
      <c r="O40" s="32">
        <v>0.08</v>
      </c>
      <c r="P40" s="34">
        <v>80</v>
      </c>
      <c r="Q40" s="34">
        <f t="shared" si="48"/>
        <v>92</v>
      </c>
      <c r="R40" s="35">
        <f t="shared" si="49"/>
        <v>17701.72</v>
      </c>
      <c r="S40" s="35">
        <f t="shared" si="58"/>
        <v>1416.1376</v>
      </c>
      <c r="T40" s="35">
        <f t="shared" si="50"/>
        <v>1112.4000000000001</v>
      </c>
      <c r="U40" s="35">
        <f>R40+S40+T40+U30+헤몬라이프!U16</f>
        <v>25491.443450000006</v>
      </c>
      <c r="V40" s="35">
        <v>58900</v>
      </c>
      <c r="W40" s="36">
        <v>6.6299999999999998E-2</v>
      </c>
      <c r="X40" s="92">
        <v>1800</v>
      </c>
      <c r="Y40" s="146"/>
      <c r="Z40" s="38">
        <f t="shared" si="52"/>
        <v>9.6860271646859078E-2</v>
      </c>
      <c r="AA40" s="39">
        <f t="shared" si="53"/>
        <v>5705.07</v>
      </c>
      <c r="AB40" s="39">
        <f t="shared" si="54"/>
        <v>2075.0553495454542</v>
      </c>
      <c r="AC40" s="39">
        <f t="shared" si="55"/>
        <v>25628.431200454543</v>
      </c>
      <c r="AD40" s="40">
        <f t="shared" si="56"/>
        <v>0.43511767742707202</v>
      </c>
      <c r="AE40" s="129" t="s">
        <v>114</v>
      </c>
      <c r="AF40" s="129"/>
      <c r="AG40" s="131">
        <v>0</v>
      </c>
      <c r="AH40" s="131"/>
      <c r="AI40" s="131"/>
      <c r="AJ40" s="4"/>
      <c r="AK40" s="4"/>
      <c r="AL40" s="93"/>
      <c r="AM40" s="93"/>
      <c r="AN40" s="93"/>
      <c r="AO40" s="93"/>
      <c r="AP40" s="93"/>
      <c r="AQ40" s="93"/>
      <c r="AR40" s="93"/>
    </row>
    <row r="41" spans="1:44" ht="28.5" customHeight="1">
      <c r="A41" s="128">
        <v>11235416939</v>
      </c>
      <c r="B41" s="132" t="s">
        <v>151</v>
      </c>
      <c r="C41" s="26" t="s">
        <v>39</v>
      </c>
      <c r="D41" s="164">
        <v>17</v>
      </c>
      <c r="E41" s="164">
        <v>39</v>
      </c>
      <c r="F41" s="164">
        <v>15</v>
      </c>
      <c r="G41" s="72">
        <f t="shared" si="41"/>
        <v>9945</v>
      </c>
      <c r="H41" s="70">
        <f t="shared" si="42"/>
        <v>9.9450000000000007E-3</v>
      </c>
      <c r="I41" s="29">
        <f t="shared" si="43"/>
        <v>100.55304172951232</v>
      </c>
      <c r="J41" s="30">
        <f t="shared" si="44"/>
        <v>0.79559999999999997</v>
      </c>
      <c r="K41" s="31">
        <f t="shared" si="45"/>
        <v>268.51499999999999</v>
      </c>
      <c r="L41" s="31">
        <f t="shared" si="46"/>
        <v>1370.4209999999998</v>
      </c>
      <c r="M41" s="32">
        <f t="shared" si="47"/>
        <v>9.7459218057549438E-2</v>
      </c>
      <c r="N41" s="165"/>
      <c r="O41" s="32">
        <v>0.08</v>
      </c>
      <c r="P41" s="34">
        <v>76</v>
      </c>
      <c r="Q41" s="34">
        <f t="shared" si="48"/>
        <v>87.399999999999991</v>
      </c>
      <c r="R41" s="35">
        <f t="shared" si="49"/>
        <v>16816.633999999998</v>
      </c>
      <c r="S41" s="35">
        <f t="shared" si="58"/>
        <v>1345.3307199999999</v>
      </c>
      <c r="T41" s="35">
        <f t="shared" si="50"/>
        <v>1638.9359999999997</v>
      </c>
      <c r="U41" s="35">
        <f>R41+S41+T41+U30+헤몬라이프!U15</f>
        <v>25218.536719999996</v>
      </c>
      <c r="V41" s="35">
        <v>52800</v>
      </c>
      <c r="W41" s="36">
        <v>6.6299999999999998E-2</v>
      </c>
      <c r="X41" s="92">
        <v>1800</v>
      </c>
      <c r="Y41" s="146"/>
      <c r="Z41" s="38">
        <f t="shared" si="52"/>
        <v>0.10039090909090909</v>
      </c>
      <c r="AA41" s="39">
        <f t="shared" si="53"/>
        <v>5300.6399999999994</v>
      </c>
      <c r="AB41" s="39">
        <f t="shared" si="54"/>
        <v>1586.6977559999991</v>
      </c>
      <c r="AC41" s="39">
        <f t="shared" si="55"/>
        <v>20694.125524000006</v>
      </c>
      <c r="AD41" s="40">
        <f t="shared" si="56"/>
        <v>0.39193419553030318</v>
      </c>
      <c r="AE41" s="129"/>
      <c r="AF41" s="129"/>
      <c r="AG41" s="131"/>
      <c r="AH41" s="131"/>
      <c r="AI41" s="131"/>
      <c r="AJ41" s="4"/>
      <c r="AK41" s="4"/>
      <c r="AL41" s="93"/>
      <c r="AM41" s="93"/>
      <c r="AN41" s="93"/>
      <c r="AO41" s="93"/>
      <c r="AP41" s="93"/>
      <c r="AQ41" s="93"/>
      <c r="AR41" s="93"/>
    </row>
    <row r="42" spans="1:44" ht="28.5" customHeight="1">
      <c r="A42" s="128">
        <v>9506014394</v>
      </c>
      <c r="B42" s="132" t="s">
        <v>152</v>
      </c>
      <c r="C42" s="26" t="s">
        <v>39</v>
      </c>
      <c r="D42" s="166">
        <v>20</v>
      </c>
      <c r="E42" s="166">
        <v>50</v>
      </c>
      <c r="F42" s="166">
        <v>16</v>
      </c>
      <c r="G42" s="72">
        <f t="shared" si="41"/>
        <v>16000</v>
      </c>
      <c r="H42" s="70">
        <f t="shared" si="42"/>
        <v>1.6E-2</v>
      </c>
      <c r="I42" s="29">
        <f t="shared" si="43"/>
        <v>62.5</v>
      </c>
      <c r="J42" s="30">
        <f t="shared" si="44"/>
        <v>1.28</v>
      </c>
      <c r="K42" s="31">
        <f t="shared" si="45"/>
        <v>432</v>
      </c>
      <c r="L42" s="31">
        <f t="shared" si="46"/>
        <v>2204.8000000000002</v>
      </c>
      <c r="M42" s="32">
        <f t="shared" si="47"/>
        <v>9.9636974226120043E-2</v>
      </c>
      <c r="N42" s="167"/>
      <c r="O42" s="32">
        <v>0.08</v>
      </c>
      <c r="P42" s="34">
        <v>119.6</v>
      </c>
      <c r="Q42" s="34">
        <f t="shared" si="48"/>
        <v>137.54</v>
      </c>
      <c r="R42" s="35">
        <f t="shared" si="49"/>
        <v>26464.071399999997</v>
      </c>
      <c r="S42" s="35">
        <f t="shared" si="58"/>
        <v>2117.125712</v>
      </c>
      <c r="T42" s="35">
        <f t="shared" si="50"/>
        <v>2636.8</v>
      </c>
      <c r="U42" s="35">
        <f>R42+S42+T42+U30+헤몬라이프!U15</f>
        <v>36635.633111999996</v>
      </c>
      <c r="V42" s="35">
        <v>89000</v>
      </c>
      <c r="W42" s="36">
        <v>6.6299999999999998E-2</v>
      </c>
      <c r="X42" s="92">
        <v>2500</v>
      </c>
      <c r="Y42" s="128"/>
      <c r="Z42" s="38">
        <f t="shared" si="52"/>
        <v>9.4389887640449435E-2</v>
      </c>
      <c r="AA42" s="39">
        <f t="shared" si="53"/>
        <v>8400.6999999999989</v>
      </c>
      <c r="AB42" s="39">
        <f t="shared" si="54"/>
        <v>3332.3632085090903</v>
      </c>
      <c r="AC42" s="39">
        <f t="shared" si="55"/>
        <v>40631.303679490913</v>
      </c>
      <c r="AD42" s="40">
        <f t="shared" si="56"/>
        <v>0.45653150201675186</v>
      </c>
      <c r="AE42" s="129"/>
      <c r="AF42" s="129"/>
      <c r="AG42" s="131"/>
      <c r="AH42" s="131"/>
      <c r="AI42" s="131"/>
      <c r="AJ42" s="4"/>
      <c r="AK42" s="4"/>
      <c r="AL42" s="93"/>
      <c r="AM42" s="93"/>
      <c r="AN42" s="93"/>
      <c r="AO42" s="93"/>
      <c r="AP42" s="93"/>
      <c r="AQ42" s="93"/>
      <c r="AR42" s="93"/>
    </row>
    <row r="43" spans="1:44" ht="28.5" customHeight="1">
      <c r="A43" s="168"/>
      <c r="B43" s="132" t="s">
        <v>153</v>
      </c>
      <c r="C43" s="26" t="s">
        <v>39</v>
      </c>
      <c r="D43" s="166">
        <v>20</v>
      </c>
      <c r="E43" s="166">
        <v>51</v>
      </c>
      <c r="F43" s="166">
        <v>22</v>
      </c>
      <c r="G43" s="72">
        <f t="shared" si="41"/>
        <v>22440</v>
      </c>
      <c r="H43" s="70">
        <f t="shared" si="42"/>
        <v>2.2440000000000002E-2</v>
      </c>
      <c r="I43" s="29">
        <f t="shared" si="43"/>
        <v>44.563279857397504</v>
      </c>
      <c r="J43" s="30">
        <f t="shared" si="44"/>
        <v>1.7952000000000001</v>
      </c>
      <c r="K43" s="31">
        <f t="shared" si="45"/>
        <v>605.88</v>
      </c>
      <c r="L43" s="31">
        <f t="shared" si="46"/>
        <v>3092.2320000000004</v>
      </c>
      <c r="M43" s="32">
        <f t="shared" si="47"/>
        <v>6.8180175497552925E-2</v>
      </c>
      <c r="N43" s="168"/>
      <c r="O43" s="32">
        <v>0.08</v>
      </c>
      <c r="P43" s="34">
        <v>245.13</v>
      </c>
      <c r="Q43" s="34">
        <f t="shared" si="48"/>
        <v>281.89949999999999</v>
      </c>
      <c r="R43" s="35">
        <f t="shared" si="49"/>
        <v>54240.282794999999</v>
      </c>
      <c r="S43" s="35">
        <f t="shared" si="58"/>
        <v>4339.2226235999997</v>
      </c>
      <c r="T43" s="35">
        <f t="shared" si="50"/>
        <v>3698.1120000000005</v>
      </c>
      <c r="U43" s="35">
        <f>R43+S43+T43+헤몬라이프!U15</f>
        <v>63441.654918599997</v>
      </c>
      <c r="V43" s="35"/>
      <c r="W43" s="36">
        <v>6.6299999999999998E-2</v>
      </c>
      <c r="X43" s="92">
        <v>2500</v>
      </c>
      <c r="Y43" s="128"/>
      <c r="Z43" s="38" t="e">
        <f t="shared" si="52"/>
        <v>#DIV/0!</v>
      </c>
      <c r="AA43" s="39" t="e">
        <f t="shared" si="53"/>
        <v>#DIV/0!</v>
      </c>
      <c r="AB43" s="39" t="e">
        <f t="shared" si="54"/>
        <v>#DIV/0!</v>
      </c>
      <c r="AC43" s="39" t="e">
        <f t="shared" si="55"/>
        <v>#DIV/0!</v>
      </c>
      <c r="AD43" s="40" t="e">
        <f t="shared" si="56"/>
        <v>#DIV/0!</v>
      </c>
      <c r="AE43" s="169"/>
      <c r="AF43" s="169"/>
      <c r="AG43" s="170"/>
      <c r="AH43" s="170"/>
      <c r="AI43" s="170"/>
      <c r="AJ43" s="4"/>
      <c r="AK43" s="4"/>
      <c r="AL43" s="93"/>
      <c r="AM43" s="93"/>
      <c r="AN43" s="93"/>
      <c r="AO43" s="93"/>
      <c r="AP43" s="93"/>
      <c r="AQ43" s="93"/>
      <c r="AR43" s="93"/>
    </row>
    <row r="44" spans="1:44" ht="28.5" customHeight="1">
      <c r="A44" s="128">
        <v>11191566998</v>
      </c>
      <c r="B44" s="132" t="s">
        <v>154</v>
      </c>
      <c r="C44" s="26" t="s">
        <v>39</v>
      </c>
      <c r="D44" s="166">
        <v>32</v>
      </c>
      <c r="E44" s="171">
        <v>40</v>
      </c>
      <c r="F44" s="171">
        <v>8</v>
      </c>
      <c r="G44" s="72">
        <f t="shared" si="41"/>
        <v>10240</v>
      </c>
      <c r="H44" s="70">
        <f t="shared" si="42"/>
        <v>1.0240000000000001E-2</v>
      </c>
      <c r="I44" s="29">
        <f t="shared" si="43"/>
        <v>97.656249999999986</v>
      </c>
      <c r="J44" s="30">
        <f t="shared" si="44"/>
        <v>0.81920000000000015</v>
      </c>
      <c r="K44" s="31">
        <f t="shared" si="45"/>
        <v>276.48</v>
      </c>
      <c r="L44" s="31">
        <f t="shared" si="46"/>
        <v>1411.0720000000001</v>
      </c>
      <c r="M44" s="32">
        <f t="shared" si="47"/>
        <v>0.27237901982729046</v>
      </c>
      <c r="N44" s="167"/>
      <c r="O44" s="32">
        <v>0.08</v>
      </c>
      <c r="P44" s="34">
        <v>28</v>
      </c>
      <c r="Q44" s="34">
        <f t="shared" si="48"/>
        <v>32.199999999999996</v>
      </c>
      <c r="R44" s="35">
        <f t="shared" si="49"/>
        <v>6195.601999999999</v>
      </c>
      <c r="S44" s="35">
        <f t="shared" si="58"/>
        <v>495.6481599999999</v>
      </c>
      <c r="T44" s="35">
        <f t="shared" si="50"/>
        <v>1687.5520000000001</v>
      </c>
      <c r="U44" s="35">
        <f>R44+S44+T44+공용!V24+U30+공용!V12</f>
        <v>28067.922409999999</v>
      </c>
      <c r="V44" s="35">
        <v>84900</v>
      </c>
      <c r="W44" s="36">
        <v>6.6299999999999998E-2</v>
      </c>
      <c r="X44" s="92">
        <v>1800</v>
      </c>
      <c r="Y44" s="128"/>
      <c r="Z44" s="38">
        <f t="shared" si="52"/>
        <v>8.7501413427561833E-2</v>
      </c>
      <c r="AA44" s="39">
        <f t="shared" si="53"/>
        <v>7428.87</v>
      </c>
      <c r="AB44" s="39">
        <f t="shared" si="54"/>
        <v>4091.2897611818175</v>
      </c>
      <c r="AC44" s="39">
        <f t="shared" si="55"/>
        <v>45311.917828818179</v>
      </c>
      <c r="AD44" s="40">
        <f t="shared" si="56"/>
        <v>0.53370927949138025</v>
      </c>
      <c r="AE44" s="129"/>
      <c r="AF44" s="129"/>
      <c r="AG44" s="131"/>
      <c r="AH44" s="131"/>
      <c r="AI44" s="131"/>
      <c r="AJ44" s="4"/>
      <c r="AK44" s="4"/>
      <c r="AL44" s="93"/>
      <c r="AM44" s="93"/>
      <c r="AN44" s="93"/>
      <c r="AO44" s="93"/>
      <c r="AP44" s="93"/>
      <c r="AQ44" s="93"/>
      <c r="AR44" s="93"/>
    </row>
    <row r="45" spans="1:44" ht="28.5" customHeight="1">
      <c r="A45" s="128">
        <v>11191145979</v>
      </c>
      <c r="B45" s="132" t="s">
        <v>89</v>
      </c>
      <c r="C45" s="128" t="s">
        <v>39</v>
      </c>
      <c r="D45" s="171">
        <v>21</v>
      </c>
      <c r="E45" s="171">
        <v>22</v>
      </c>
      <c r="F45" s="171">
        <v>8</v>
      </c>
      <c r="G45" s="72">
        <f t="shared" si="41"/>
        <v>3696</v>
      </c>
      <c r="H45" s="70">
        <f t="shared" si="42"/>
        <v>3.6960000000000001E-3</v>
      </c>
      <c r="I45" s="29">
        <f t="shared" si="43"/>
        <v>270.56277056277054</v>
      </c>
      <c r="J45" s="30">
        <f t="shared" si="44"/>
        <v>0.29568000000000005</v>
      </c>
      <c r="K45" s="31">
        <f t="shared" si="45"/>
        <v>99.792000000000016</v>
      </c>
      <c r="L45" s="31">
        <f t="shared" si="46"/>
        <v>509.30880000000013</v>
      </c>
      <c r="M45" s="32">
        <f t="shared" si="47"/>
        <v>7.864944197513013E-2</v>
      </c>
      <c r="N45" s="167"/>
      <c r="O45" s="32">
        <v>0.08</v>
      </c>
      <c r="P45" s="34">
        <v>35</v>
      </c>
      <c r="Q45" s="34">
        <f t="shared" si="48"/>
        <v>40.25</v>
      </c>
      <c r="R45" s="35">
        <f t="shared" si="49"/>
        <v>7744.5024999999996</v>
      </c>
      <c r="S45" s="35">
        <f t="shared" si="58"/>
        <v>619.56020000000001</v>
      </c>
      <c r="T45" s="35">
        <f t="shared" si="50"/>
        <v>609.10080000000016</v>
      </c>
      <c r="U45" s="35">
        <f>R45+S45+T45+U30+공용!V12</f>
        <v>14224.427749999999</v>
      </c>
      <c r="V45" s="35">
        <v>44900</v>
      </c>
      <c r="W45" s="36">
        <v>6.6299999999999998E-2</v>
      </c>
      <c r="X45" s="92">
        <v>1800</v>
      </c>
      <c r="Y45" s="128"/>
      <c r="Z45" s="38">
        <f t="shared" si="52"/>
        <v>0.1063890868596882</v>
      </c>
      <c r="AA45" s="39">
        <f t="shared" si="53"/>
        <v>4776.87</v>
      </c>
      <c r="AB45" s="39">
        <f t="shared" si="54"/>
        <v>2109.7531868181823</v>
      </c>
      <c r="AC45" s="39">
        <f t="shared" si="55"/>
        <v>23788.949063181819</v>
      </c>
      <c r="AD45" s="40">
        <f t="shared" si="56"/>
        <v>0.52982069183033009</v>
      </c>
      <c r="AE45" s="129"/>
      <c r="AF45" s="129"/>
      <c r="AG45" s="131"/>
      <c r="AH45" s="131"/>
      <c r="AI45" s="131"/>
      <c r="AJ45" s="4"/>
      <c r="AK45" s="4"/>
      <c r="AL45" s="93"/>
      <c r="AM45" s="93"/>
      <c r="AN45" s="93"/>
      <c r="AO45" s="93"/>
      <c r="AP45" s="93"/>
      <c r="AQ45" s="93"/>
      <c r="AR45" s="93"/>
    </row>
    <row r="46" spans="1:44" ht="28.5" customHeight="1">
      <c r="A46" s="128">
        <v>9455028086</v>
      </c>
      <c r="B46" s="132" t="s">
        <v>155</v>
      </c>
      <c r="C46" s="128" t="s">
        <v>39</v>
      </c>
      <c r="D46" s="171">
        <v>24</v>
      </c>
      <c r="E46" s="171">
        <v>30</v>
      </c>
      <c r="F46" s="171">
        <v>8</v>
      </c>
      <c r="G46" s="72">
        <f t="shared" si="41"/>
        <v>5760</v>
      </c>
      <c r="H46" s="70">
        <f t="shared" si="42"/>
        <v>5.7600000000000004E-3</v>
      </c>
      <c r="I46" s="29">
        <f t="shared" si="43"/>
        <v>173.61111111111111</v>
      </c>
      <c r="J46" s="30">
        <f t="shared" si="44"/>
        <v>0.46079999999999999</v>
      </c>
      <c r="K46" s="31">
        <f t="shared" si="45"/>
        <v>155.52000000000001</v>
      </c>
      <c r="L46" s="31">
        <f t="shared" si="46"/>
        <v>793.72799999999995</v>
      </c>
      <c r="M46" s="32">
        <f t="shared" si="47"/>
        <v>8.7550399230200485E-2</v>
      </c>
      <c r="N46" s="167"/>
      <c r="O46" s="32">
        <v>0.08</v>
      </c>
      <c r="P46" s="34">
        <v>49</v>
      </c>
      <c r="Q46" s="34">
        <f t="shared" si="48"/>
        <v>56.349999999999994</v>
      </c>
      <c r="R46" s="35">
        <f t="shared" si="49"/>
        <v>10842.303499999998</v>
      </c>
      <c r="S46" s="35">
        <f t="shared" si="58"/>
        <v>867.38427999999988</v>
      </c>
      <c r="T46" s="35">
        <f t="shared" si="50"/>
        <v>949.24799999999993</v>
      </c>
      <c r="U46" s="35">
        <f>R46+S46+T46+U30+공용!V12</f>
        <v>17910.200029999996</v>
      </c>
      <c r="V46" s="35">
        <v>49800</v>
      </c>
      <c r="W46" s="36">
        <v>6.6299999999999998E-2</v>
      </c>
      <c r="X46" s="92">
        <v>1800</v>
      </c>
      <c r="Y46" s="128"/>
      <c r="Z46" s="38">
        <f t="shared" si="52"/>
        <v>0.10244457831325302</v>
      </c>
      <c r="AA46" s="39">
        <f t="shared" si="53"/>
        <v>5101.74</v>
      </c>
      <c r="AB46" s="39">
        <f t="shared" si="54"/>
        <v>2123.7882962727272</v>
      </c>
      <c r="AC46" s="39">
        <f t="shared" si="55"/>
        <v>24664.271673727275</v>
      </c>
      <c r="AD46" s="40">
        <f t="shared" si="56"/>
        <v>0.49526649947243523</v>
      </c>
      <c r="AE46" s="129"/>
      <c r="AF46" s="129"/>
      <c r="AG46" s="131"/>
      <c r="AH46" s="131"/>
      <c r="AI46" s="131"/>
      <c r="AJ46" s="4"/>
      <c r="AK46" s="4"/>
      <c r="AL46" s="93"/>
      <c r="AM46" s="93"/>
      <c r="AN46" s="93"/>
      <c r="AO46" s="93"/>
      <c r="AP46" s="93"/>
      <c r="AQ46" s="93"/>
      <c r="AR46" s="93"/>
    </row>
    <row r="47" spans="1:44" ht="28.5" customHeight="1">
      <c r="A47" s="128"/>
      <c r="B47" s="132" t="s">
        <v>156</v>
      </c>
      <c r="C47" s="128" t="s">
        <v>39</v>
      </c>
      <c r="D47" s="171">
        <v>24</v>
      </c>
      <c r="E47" s="171">
        <v>32</v>
      </c>
      <c r="F47" s="171">
        <v>6</v>
      </c>
      <c r="G47" s="72">
        <f t="shared" si="41"/>
        <v>4608</v>
      </c>
      <c r="H47" s="70">
        <f t="shared" si="42"/>
        <v>4.6080000000000001E-3</v>
      </c>
      <c r="I47" s="29">
        <f t="shared" si="43"/>
        <v>217.01388888888889</v>
      </c>
      <c r="J47" s="30">
        <f t="shared" si="44"/>
        <v>0.36864000000000002</v>
      </c>
      <c r="K47" s="31">
        <f t="shared" si="45"/>
        <v>124.416</v>
      </c>
      <c r="L47" s="31">
        <f t="shared" si="46"/>
        <v>634.9824000000001</v>
      </c>
      <c r="M47" s="32">
        <f t="shared" si="47"/>
        <v>3.9447995974986882E-2</v>
      </c>
      <c r="N47" s="167"/>
      <c r="O47" s="167"/>
      <c r="P47" s="167">
        <v>87</v>
      </c>
      <c r="Q47" s="34">
        <f t="shared" si="48"/>
        <v>100.05</v>
      </c>
      <c r="R47" s="35">
        <f t="shared" si="49"/>
        <v>19250.620500000001</v>
      </c>
      <c r="S47" s="35">
        <f t="shared" si="58"/>
        <v>0</v>
      </c>
      <c r="T47" s="35">
        <f t="shared" si="50"/>
        <v>759.39840000000004</v>
      </c>
      <c r="U47" s="35">
        <f>R47+S47+T47+U31+공용!V13</f>
        <v>27916.541150000001</v>
      </c>
      <c r="V47" s="35">
        <v>79000</v>
      </c>
      <c r="W47" s="36">
        <v>6.6299999999999998E-2</v>
      </c>
      <c r="X47" s="92">
        <v>1800</v>
      </c>
      <c r="Y47" s="128"/>
      <c r="Z47" s="38">
        <f t="shared" si="52"/>
        <v>8.9084810126582273E-2</v>
      </c>
      <c r="AA47" s="39">
        <f t="shared" si="53"/>
        <v>7037.7</v>
      </c>
      <c r="AB47" s="39">
        <f t="shared" si="54"/>
        <v>3673.9524668181812</v>
      </c>
      <c r="AC47" s="39">
        <f t="shared" si="55"/>
        <v>40371.806383181814</v>
      </c>
      <c r="AD47" s="40">
        <f t="shared" si="56"/>
        <v>0.51103552383774453</v>
      </c>
      <c r="AE47" s="129"/>
      <c r="AF47" s="129"/>
      <c r="AG47" s="131"/>
      <c r="AH47" s="131"/>
      <c r="AI47" s="131"/>
      <c r="AJ47" s="4"/>
      <c r="AK47" s="4"/>
      <c r="AL47" s="93"/>
      <c r="AM47" s="93"/>
      <c r="AN47" s="93"/>
      <c r="AO47" s="93"/>
      <c r="AP47" s="93"/>
      <c r="AQ47" s="93"/>
      <c r="AR47" s="93"/>
    </row>
    <row r="48" spans="1:44" ht="28.5" customHeight="1">
      <c r="A48" s="128"/>
      <c r="B48" s="132"/>
      <c r="C48" s="128"/>
      <c r="D48" s="171"/>
      <c r="E48" s="171"/>
      <c r="F48" s="171"/>
      <c r="G48" s="171"/>
      <c r="H48" s="167"/>
      <c r="I48" s="172"/>
      <c r="J48" s="167"/>
      <c r="K48" s="167"/>
      <c r="L48" s="167"/>
      <c r="M48" s="167"/>
      <c r="N48" s="167"/>
      <c r="O48" s="167"/>
      <c r="P48" s="167"/>
      <c r="Q48" s="167"/>
      <c r="R48" s="128"/>
      <c r="S48" s="128"/>
      <c r="T48" s="128"/>
      <c r="U48" s="128"/>
      <c r="V48" s="128"/>
      <c r="W48" s="36">
        <v>6.6299999999999998E-2</v>
      </c>
      <c r="X48" s="92">
        <v>1800</v>
      </c>
      <c r="Y48" s="128"/>
      <c r="Z48" s="38"/>
      <c r="AA48" s="173"/>
      <c r="AB48" s="173"/>
      <c r="AC48" s="173"/>
      <c r="AD48" s="174"/>
      <c r="AE48" s="129"/>
      <c r="AF48" s="129"/>
      <c r="AG48" s="131"/>
      <c r="AH48" s="131"/>
      <c r="AI48" s="131"/>
      <c r="AJ48" s="4"/>
      <c r="AK48" s="4"/>
      <c r="AL48" s="93"/>
      <c r="AM48" s="93"/>
      <c r="AN48" s="93"/>
      <c r="AO48" s="93"/>
      <c r="AP48" s="93"/>
      <c r="AQ48" s="93"/>
      <c r="AR48" s="93"/>
    </row>
    <row r="49" spans="1:44" ht="28.5" customHeight="1">
      <c r="A49" s="128"/>
      <c r="B49" s="132"/>
      <c r="C49" s="128"/>
      <c r="D49" s="171"/>
      <c r="E49" s="171"/>
      <c r="F49" s="171"/>
      <c r="G49" s="171"/>
      <c r="H49" s="167"/>
      <c r="I49" s="172"/>
      <c r="J49" s="167"/>
      <c r="K49" s="167"/>
      <c r="L49" s="167"/>
      <c r="M49" s="167"/>
      <c r="N49" s="167"/>
      <c r="O49" s="167"/>
      <c r="P49" s="167"/>
      <c r="Q49" s="167"/>
      <c r="R49" s="128"/>
      <c r="S49" s="128"/>
      <c r="T49" s="128"/>
      <c r="U49" s="128"/>
      <c r="V49" s="128"/>
      <c r="W49" s="36">
        <v>6.6299999999999998E-2</v>
      </c>
      <c r="X49" s="92">
        <v>1800</v>
      </c>
      <c r="Y49" s="128"/>
      <c r="Z49" s="38"/>
      <c r="AA49" s="173"/>
      <c r="AB49" s="173"/>
      <c r="AC49" s="173"/>
      <c r="AD49" s="174"/>
      <c r="AE49" s="129"/>
      <c r="AF49" s="129"/>
      <c r="AG49" s="131"/>
      <c r="AH49" s="131"/>
      <c r="AI49" s="131"/>
      <c r="AJ49" s="4"/>
      <c r="AK49" s="4"/>
      <c r="AL49" s="93"/>
      <c r="AM49" s="93"/>
      <c r="AN49" s="93"/>
      <c r="AO49" s="93"/>
      <c r="AP49" s="93"/>
      <c r="AQ49" s="93"/>
      <c r="AR49" s="93"/>
    </row>
    <row r="50" spans="1:44" ht="28.5" customHeight="1">
      <c r="A50" s="128"/>
      <c r="B50" s="132" t="s">
        <v>157</v>
      </c>
      <c r="C50" s="26" t="s">
        <v>39</v>
      </c>
      <c r="D50" s="27">
        <v>12</v>
      </c>
      <c r="E50" s="27">
        <v>21</v>
      </c>
      <c r="F50" s="27">
        <v>8</v>
      </c>
      <c r="G50" s="72">
        <f>PRODUCT(D50*E50*F50)</f>
        <v>2016</v>
      </c>
      <c r="H50" s="70">
        <f>G50/1000000</f>
        <v>2.016E-3</v>
      </c>
      <c r="I50" s="29">
        <f>1/H50</f>
        <v>496.03174603174602</v>
      </c>
      <c r="J50" s="30">
        <f>80/I50</f>
        <v>0.16128000000000001</v>
      </c>
      <c r="K50" s="31">
        <f>27000/I50</f>
        <v>54.432000000000002</v>
      </c>
      <c r="L50" s="31">
        <f>(J50*$AF$4)+K50</f>
        <v>277.8048</v>
      </c>
      <c r="M50" s="32">
        <f>T50/R50</f>
        <v>5.5610716548071801E-2</v>
      </c>
      <c r="N50" s="33"/>
      <c r="O50" s="32">
        <f ca="1">SUMIF($AE$6:$AG$43,$A50,$AG$6:$AG$43)</f>
        <v>0</v>
      </c>
      <c r="P50" s="34">
        <v>27</v>
      </c>
      <c r="Q50" s="34">
        <f>P50*1.15</f>
        <v>31.049999999999997</v>
      </c>
      <c r="R50" s="35">
        <f>Q50*$AE$4</f>
        <v>5974.3304999999991</v>
      </c>
      <c r="S50" s="35">
        <f ca="1">R50*O50</f>
        <v>0</v>
      </c>
      <c r="T50" s="35">
        <f>L50+K50</f>
        <v>332.23680000000002</v>
      </c>
      <c r="U50" s="35">
        <f ca="1">R50+S50+T50</f>
        <v>6306.5672999999988</v>
      </c>
      <c r="V50" s="35">
        <v>20900</v>
      </c>
      <c r="W50" s="36">
        <v>6.6299999999999998E-2</v>
      </c>
      <c r="X50" s="37">
        <v>1800</v>
      </c>
      <c r="Y50" s="35"/>
      <c r="Z50" s="38">
        <f t="shared" ref="Z50:Z53" si="59">W50+(X50/V50)</f>
        <v>0.1524244019138756</v>
      </c>
      <c r="AA50" s="39">
        <f t="shared" ref="AA50:AA53" si="60">V50*Z50</f>
        <v>3185.67</v>
      </c>
      <c r="AB50" s="39">
        <f t="shared" ref="AB50:AB53" ca="1" si="61">(V50)/1.1*10%-(R50+AA50+K50+S50+N50+X50)*10%</f>
        <v>798.55674999999997</v>
      </c>
      <c r="AC50" s="39">
        <f t="shared" ref="AC50:AC53" ca="1" si="62">V50-(U50+AA50+AB50+N50)</f>
        <v>10609.205950000001</v>
      </c>
      <c r="AD50" s="40">
        <f t="shared" ref="AD50:AD53" ca="1" si="63">AC50/V50</f>
        <v>0.50761750956937801</v>
      </c>
      <c r="AE50" s="129"/>
      <c r="AF50" s="129"/>
      <c r="AG50" s="131"/>
      <c r="AH50" s="131"/>
      <c r="AI50" s="131"/>
      <c r="AJ50" s="4"/>
      <c r="AK50" s="4"/>
      <c r="AL50" s="93"/>
      <c r="AM50" s="93"/>
      <c r="AN50" s="93"/>
      <c r="AO50" s="93"/>
      <c r="AP50" s="93"/>
      <c r="AQ50" s="93"/>
      <c r="AR50" s="93"/>
    </row>
    <row r="51" spans="1:44" ht="28.5" customHeight="1">
      <c r="A51" s="128"/>
      <c r="B51" s="132" t="s">
        <v>158</v>
      </c>
      <c r="C51" s="26"/>
      <c r="D51" s="27"/>
      <c r="E51" s="27"/>
      <c r="F51" s="27"/>
      <c r="G51" s="72"/>
      <c r="H51" s="70"/>
      <c r="I51" s="29"/>
      <c r="J51" s="30"/>
      <c r="K51" s="31"/>
      <c r="L51" s="31"/>
      <c r="M51" s="32"/>
      <c r="N51" s="33"/>
      <c r="O51" s="32"/>
      <c r="P51" s="34"/>
      <c r="Q51" s="34"/>
      <c r="R51" s="35"/>
      <c r="S51" s="25"/>
      <c r="T51" s="35"/>
      <c r="U51" s="35">
        <f ca="1">U50*2</f>
        <v>12613.134599999998</v>
      </c>
      <c r="V51" s="35">
        <v>40400</v>
      </c>
      <c r="W51" s="36">
        <v>6.6299999999999998E-2</v>
      </c>
      <c r="X51" s="37">
        <v>1800</v>
      </c>
      <c r="Y51" s="35"/>
      <c r="Z51" s="38">
        <f t="shared" si="59"/>
        <v>0.11085445544554455</v>
      </c>
      <c r="AA51" s="39">
        <f t="shared" si="60"/>
        <v>4478.5199999999995</v>
      </c>
      <c r="AB51" s="39">
        <f t="shared" si="61"/>
        <v>3044.8752727272731</v>
      </c>
      <c r="AC51" s="39">
        <f t="shared" ca="1" si="62"/>
        <v>20263.470127272729</v>
      </c>
      <c r="AD51" s="40">
        <f t="shared" ca="1" si="63"/>
        <v>0.50157104275427544</v>
      </c>
      <c r="AE51" s="129"/>
      <c r="AF51" s="129"/>
      <c r="AG51" s="131"/>
      <c r="AH51" s="131"/>
      <c r="AI51" s="131"/>
      <c r="AJ51" s="4"/>
      <c r="AK51" s="4"/>
      <c r="AL51" s="93"/>
      <c r="AM51" s="93"/>
      <c r="AN51" s="93"/>
      <c r="AO51" s="93"/>
      <c r="AP51" s="93"/>
      <c r="AQ51" s="93"/>
      <c r="AR51" s="93"/>
    </row>
    <row r="52" spans="1:44" ht="28.5" customHeight="1">
      <c r="A52" s="128"/>
      <c r="B52" s="132" t="s">
        <v>159</v>
      </c>
      <c r="C52" s="26" t="s">
        <v>39</v>
      </c>
      <c r="D52" s="27">
        <v>13</v>
      </c>
      <c r="E52" s="27">
        <v>8</v>
      </c>
      <c r="F52" s="27">
        <v>10</v>
      </c>
      <c r="G52" s="72">
        <f t="shared" ref="G52:G53" si="64">PRODUCT(D52*E52*F52)</f>
        <v>1040</v>
      </c>
      <c r="H52" s="70">
        <f t="shared" ref="H52:H53" si="65">G52/1000000</f>
        <v>1.0399999999999999E-3</v>
      </c>
      <c r="I52" s="29">
        <f t="shared" ref="I52:I53" si="66">1/H52</f>
        <v>961.53846153846166</v>
      </c>
      <c r="J52" s="30">
        <f t="shared" ref="J52:J53" si="67">80/I52</f>
        <v>8.3199999999999996E-2</v>
      </c>
      <c r="K52" s="31">
        <f t="shared" ref="K52:K53" si="68">27000/I52</f>
        <v>28.079999999999995</v>
      </c>
      <c r="L52" s="31">
        <f t="shared" ref="L52:L53" si="69">(J52*$AF$4)+K52</f>
        <v>143.31199999999998</v>
      </c>
      <c r="M52" s="32">
        <f t="shared" ref="M52:M53" si="70">T52/R52</f>
        <v>1.6480379524124619E-2</v>
      </c>
      <c r="N52" s="33"/>
      <c r="O52" s="32">
        <f t="shared" ref="O52:O53" ca="1" si="71">SUMIF($AE$6:$AG$43,$A52,$AG$6:$AG$43)</f>
        <v>0</v>
      </c>
      <c r="P52" s="34">
        <v>47</v>
      </c>
      <c r="Q52" s="34">
        <f t="shared" ref="Q52:Q53" si="72">P52*1.15</f>
        <v>54.05</v>
      </c>
      <c r="R52" s="35">
        <f t="shared" ref="R52:R53" si="73">Q52*$AE$4</f>
        <v>10399.760499999999</v>
      </c>
      <c r="S52" s="35">
        <f t="shared" ref="S52:S53" ca="1" si="74">R52*O52</f>
        <v>0</v>
      </c>
      <c r="T52" s="35">
        <f t="shared" ref="T52:T53" si="75">L52+K52</f>
        <v>171.39199999999997</v>
      </c>
      <c r="U52" s="35">
        <f ca="1">R52+S52+T52</f>
        <v>10571.152499999998</v>
      </c>
      <c r="V52" s="35">
        <v>37900</v>
      </c>
      <c r="W52" s="36">
        <v>6.6299999999999998E-2</v>
      </c>
      <c r="X52" s="37">
        <v>1800</v>
      </c>
      <c r="Y52" s="35"/>
      <c r="Z52" s="38">
        <f t="shared" si="59"/>
        <v>0.1137934036939314</v>
      </c>
      <c r="AA52" s="39">
        <f t="shared" si="60"/>
        <v>4312.7700000000004</v>
      </c>
      <c r="AB52" s="39">
        <f t="shared" ca="1" si="61"/>
        <v>1791.393495454545</v>
      </c>
      <c r="AC52" s="39">
        <f t="shared" ca="1" si="62"/>
        <v>21224.684004545456</v>
      </c>
      <c r="AD52" s="40">
        <f t="shared" ca="1" si="63"/>
        <v>0.56001804761333651</v>
      </c>
      <c r="AE52" s="129"/>
      <c r="AF52" s="129"/>
      <c r="AG52" s="131"/>
      <c r="AH52" s="131"/>
      <c r="AI52" s="131"/>
      <c r="AJ52" s="4"/>
      <c r="AK52" s="4"/>
      <c r="AL52" s="93"/>
      <c r="AM52" s="93"/>
      <c r="AN52" s="93"/>
      <c r="AO52" s="93"/>
      <c r="AP52" s="93"/>
      <c r="AQ52" s="93"/>
      <c r="AR52" s="93"/>
    </row>
    <row r="53" spans="1:44" ht="28.5" customHeight="1">
      <c r="A53" s="128"/>
      <c r="B53" s="132" t="s">
        <v>103</v>
      </c>
      <c r="C53" s="26" t="s">
        <v>39</v>
      </c>
      <c r="D53" s="27">
        <v>25</v>
      </c>
      <c r="E53" s="27">
        <v>10</v>
      </c>
      <c r="F53" s="72">
        <v>25</v>
      </c>
      <c r="G53" s="72">
        <f t="shared" si="64"/>
        <v>6250</v>
      </c>
      <c r="H53" s="70">
        <f t="shared" si="65"/>
        <v>6.2500000000000003E-3</v>
      </c>
      <c r="I53" s="29">
        <f t="shared" si="66"/>
        <v>160</v>
      </c>
      <c r="J53" s="30">
        <f t="shared" si="67"/>
        <v>0.5</v>
      </c>
      <c r="K53" s="31">
        <f t="shared" si="68"/>
        <v>168.75</v>
      </c>
      <c r="L53" s="31">
        <f t="shared" si="69"/>
        <v>861.25</v>
      </c>
      <c r="M53" s="32">
        <f t="shared" si="70"/>
        <v>0.24499552050666026</v>
      </c>
      <c r="N53" s="33"/>
      <c r="O53" s="32">
        <f t="shared" ca="1" si="71"/>
        <v>0</v>
      </c>
      <c r="P53" s="34">
        <v>19</v>
      </c>
      <c r="Q53" s="34">
        <f t="shared" si="72"/>
        <v>21.849999999999998</v>
      </c>
      <c r="R53" s="35">
        <f t="shared" si="73"/>
        <v>4204.1584999999995</v>
      </c>
      <c r="S53" s="35">
        <f t="shared" ca="1" si="74"/>
        <v>0</v>
      </c>
      <c r="T53" s="35">
        <f t="shared" si="75"/>
        <v>1030</v>
      </c>
      <c r="U53" s="35">
        <f ca="1">R53+S53+T53+공용!V12+(공용!V7*2)</f>
        <v>14832.915906999999</v>
      </c>
      <c r="V53" s="35">
        <v>49800</v>
      </c>
      <c r="W53" s="36">
        <v>6.6299999999999998E-2</v>
      </c>
      <c r="X53" s="37">
        <v>1800</v>
      </c>
      <c r="Y53" s="35"/>
      <c r="Z53" s="38">
        <f t="shared" si="59"/>
        <v>0.10244457831325302</v>
      </c>
      <c r="AA53" s="39">
        <f t="shared" si="60"/>
        <v>5101.74</v>
      </c>
      <c r="AB53" s="39">
        <f t="shared" ca="1" si="61"/>
        <v>3399.8078772727267</v>
      </c>
      <c r="AC53" s="39">
        <f t="shared" ca="1" si="62"/>
        <v>26465.536215727272</v>
      </c>
      <c r="AD53" s="40">
        <f t="shared" ca="1" si="63"/>
        <v>0.53143647019532669</v>
      </c>
      <c r="AE53" s="129"/>
      <c r="AF53" s="129"/>
      <c r="AG53" s="131"/>
      <c r="AH53" s="131"/>
      <c r="AI53" s="131"/>
      <c r="AJ53" s="4"/>
      <c r="AK53" s="4"/>
      <c r="AL53" s="93"/>
      <c r="AM53" s="93"/>
      <c r="AN53" s="93"/>
      <c r="AO53" s="93"/>
      <c r="AP53" s="93"/>
      <c r="AQ53" s="93"/>
      <c r="AR53" s="93"/>
    </row>
    <row r="54" spans="1:44" ht="28.5" customHeight="1">
      <c r="A54" s="128"/>
      <c r="B54" s="132"/>
      <c r="C54" s="128"/>
      <c r="D54" s="171"/>
      <c r="E54" s="171"/>
      <c r="F54" s="171"/>
      <c r="G54" s="171"/>
      <c r="H54" s="167"/>
      <c r="I54" s="172"/>
      <c r="J54" s="167"/>
      <c r="K54" s="167"/>
      <c r="L54" s="167"/>
      <c r="M54" s="167"/>
      <c r="N54" s="167"/>
      <c r="O54" s="167"/>
      <c r="P54" s="167"/>
      <c r="Q54" s="167"/>
      <c r="R54" s="128"/>
      <c r="S54" s="128"/>
      <c r="T54" s="128"/>
      <c r="U54" s="128"/>
      <c r="V54" s="128"/>
      <c r="W54" s="36">
        <v>6.6299999999999998E-2</v>
      </c>
      <c r="X54" s="92"/>
      <c r="Y54" s="128"/>
      <c r="Z54" s="38"/>
      <c r="AA54" s="173"/>
      <c r="AB54" s="173"/>
      <c r="AC54" s="173"/>
      <c r="AD54" s="174"/>
      <c r="AE54" s="129"/>
      <c r="AF54" s="129"/>
      <c r="AG54" s="131"/>
      <c r="AH54" s="131"/>
      <c r="AI54" s="131"/>
      <c r="AJ54" s="4"/>
      <c r="AK54" s="4"/>
      <c r="AL54" s="93"/>
      <c r="AM54" s="93"/>
      <c r="AN54" s="93"/>
      <c r="AO54" s="93"/>
      <c r="AP54" s="93"/>
      <c r="AQ54" s="93"/>
      <c r="AR54" s="93"/>
    </row>
    <row r="55" spans="1:44" ht="28.5" customHeight="1">
      <c r="A55" s="128"/>
      <c r="B55" s="132"/>
      <c r="C55" s="128"/>
      <c r="D55" s="171"/>
      <c r="E55" s="171"/>
      <c r="F55" s="171"/>
      <c r="G55" s="171"/>
      <c r="H55" s="167"/>
      <c r="I55" s="172"/>
      <c r="J55" s="167"/>
      <c r="K55" s="167"/>
      <c r="L55" s="167"/>
      <c r="M55" s="167"/>
      <c r="N55" s="167"/>
      <c r="O55" s="167"/>
      <c r="P55" s="167"/>
      <c r="Q55" s="167"/>
      <c r="R55" s="128"/>
      <c r="S55" s="128"/>
      <c r="T55" s="128"/>
      <c r="U55" s="128"/>
      <c r="V55" s="128"/>
      <c r="W55" s="36">
        <v>6.6299999999999998E-2</v>
      </c>
      <c r="X55" s="92"/>
      <c r="Y55" s="128"/>
      <c r="Z55" s="38"/>
      <c r="AA55" s="173"/>
      <c r="AB55" s="173"/>
      <c r="AC55" s="173"/>
      <c r="AD55" s="174"/>
      <c r="AE55" s="129"/>
      <c r="AF55" s="129"/>
      <c r="AG55" s="131"/>
      <c r="AH55" s="131"/>
      <c r="AI55" s="131"/>
      <c r="AJ55" s="4"/>
      <c r="AK55" s="4"/>
      <c r="AL55" s="93"/>
      <c r="AM55" s="93"/>
      <c r="AN55" s="93"/>
      <c r="AO55" s="93"/>
      <c r="AP55" s="93"/>
      <c r="AQ55" s="93"/>
      <c r="AR55" s="93"/>
    </row>
    <row r="56" spans="1:44" ht="28.5" customHeight="1">
      <c r="A56" s="128"/>
      <c r="B56" s="132" t="s">
        <v>160</v>
      </c>
      <c r="C56" s="26" t="s">
        <v>39</v>
      </c>
      <c r="D56" s="27">
        <v>18</v>
      </c>
      <c r="E56" s="27">
        <v>13</v>
      </c>
      <c r="F56" s="27">
        <v>4</v>
      </c>
      <c r="G56" s="72">
        <f>PRODUCT(D56*E56*F56)</f>
        <v>936</v>
      </c>
      <c r="H56" s="70">
        <f>G56/1000000</f>
        <v>9.3599999999999998E-4</v>
      </c>
      <c r="I56" s="29">
        <f>1/H56</f>
        <v>1068.3760683760684</v>
      </c>
      <c r="J56" s="30">
        <f>80/I56</f>
        <v>7.4880000000000002E-2</v>
      </c>
      <c r="K56" s="31">
        <f>27000/I56</f>
        <v>25.272000000000002</v>
      </c>
      <c r="L56" s="31">
        <f>(J56*$AF$4)+K56</f>
        <v>128.98079999999999</v>
      </c>
      <c r="M56" s="32">
        <f>T56/R56</f>
        <v>3.0309567559585707E-2</v>
      </c>
      <c r="N56" s="33"/>
      <c r="O56" s="32">
        <f ca="1">SUMIF($AE$6:$AG$43,$A56,$AG$6:$AG$43)</f>
        <v>0</v>
      </c>
      <c r="P56" s="34">
        <v>23</v>
      </c>
      <c r="Q56" s="34">
        <f>P56*1.15</f>
        <v>26.45</v>
      </c>
      <c r="R56" s="35">
        <f>Q56*$AE$4</f>
        <v>5089.2444999999998</v>
      </c>
      <c r="S56" s="35">
        <f ca="1">R56*O56</f>
        <v>0</v>
      </c>
      <c r="T56" s="35">
        <f>L56+K56</f>
        <v>154.25279999999998</v>
      </c>
      <c r="U56" s="35">
        <f ca="1">R56+S56+T56</f>
        <v>5243.4973</v>
      </c>
      <c r="V56" s="35">
        <v>22800</v>
      </c>
      <c r="W56" s="36">
        <v>6.6299999999999998E-2</v>
      </c>
      <c r="X56" s="37">
        <v>1800</v>
      </c>
      <c r="Y56" s="35"/>
      <c r="Z56" s="38">
        <f>W56+(X56/V56)</f>
        <v>0.14524736842105263</v>
      </c>
      <c r="AA56" s="39">
        <f>V56*Z56</f>
        <v>3311.64</v>
      </c>
      <c r="AB56" s="39">
        <f ca="1">(V56)/1.1*10%-(R56+AA56+K56+S56+N56+X56)*10%</f>
        <v>1050.1116227272723</v>
      </c>
      <c r="AC56" s="39">
        <f ca="1">V56-(U56+AA56+AB56+N56)</f>
        <v>13194.751077272727</v>
      </c>
      <c r="AD56" s="40">
        <f ca="1">AC56/V56</f>
        <v>0.57871715251196176</v>
      </c>
      <c r="AE56" s="129"/>
      <c r="AF56" s="129"/>
      <c r="AG56" s="131"/>
      <c r="AH56" s="131"/>
      <c r="AI56" s="131"/>
      <c r="AJ56" s="4"/>
      <c r="AK56" s="4"/>
      <c r="AL56" s="93"/>
      <c r="AM56" s="93"/>
      <c r="AN56" s="93"/>
      <c r="AO56" s="93"/>
      <c r="AP56" s="93"/>
      <c r="AQ56" s="93"/>
      <c r="AR56" s="93"/>
    </row>
    <row r="57" spans="1:44" ht="28.5" customHeight="1">
      <c r="A57" s="128"/>
      <c r="B57" s="132"/>
      <c r="C57" s="128"/>
      <c r="D57" s="171"/>
      <c r="E57" s="171"/>
      <c r="F57" s="171"/>
      <c r="G57" s="171"/>
      <c r="H57" s="167"/>
      <c r="I57" s="172"/>
      <c r="J57" s="167"/>
      <c r="K57" s="167"/>
      <c r="L57" s="167"/>
      <c r="M57" s="167"/>
      <c r="N57" s="167"/>
      <c r="O57" s="167"/>
      <c r="P57" s="167"/>
      <c r="Q57" s="167"/>
      <c r="R57" s="128"/>
      <c r="S57" s="128"/>
      <c r="T57" s="128"/>
      <c r="U57" s="128"/>
      <c r="V57" s="128"/>
      <c r="W57" s="36">
        <v>6.6299999999999998E-2</v>
      </c>
      <c r="X57" s="92"/>
      <c r="Y57" s="128"/>
      <c r="Z57" s="38"/>
      <c r="AA57" s="173"/>
      <c r="AB57" s="173"/>
      <c r="AC57" s="173"/>
      <c r="AD57" s="174"/>
      <c r="AE57" s="129"/>
      <c r="AF57" s="129"/>
      <c r="AG57" s="131"/>
      <c r="AH57" s="131"/>
      <c r="AI57" s="131"/>
      <c r="AJ57" s="4"/>
      <c r="AK57" s="4"/>
      <c r="AL57" s="93"/>
      <c r="AM57" s="93"/>
      <c r="AN57" s="93"/>
      <c r="AO57" s="93"/>
      <c r="AP57" s="93"/>
      <c r="AQ57" s="93"/>
      <c r="AR57" s="93"/>
    </row>
    <row r="58" spans="1:44" ht="28.5" customHeight="1">
      <c r="A58" s="128"/>
      <c r="B58" s="132"/>
      <c r="C58" s="128"/>
      <c r="D58" s="171"/>
      <c r="E58" s="171"/>
      <c r="F58" s="171"/>
      <c r="G58" s="171"/>
      <c r="H58" s="167"/>
      <c r="I58" s="172"/>
      <c r="J58" s="167"/>
      <c r="K58" s="167"/>
      <c r="L58" s="167"/>
      <c r="M58" s="167"/>
      <c r="N58" s="167"/>
      <c r="O58" s="167"/>
      <c r="P58" s="167"/>
      <c r="Q58" s="167"/>
      <c r="R58" s="128"/>
      <c r="S58" s="128"/>
      <c r="T58" s="128"/>
      <c r="U58" s="128"/>
      <c r="V58" s="128"/>
      <c r="W58" s="36">
        <v>6.6299999999999998E-2</v>
      </c>
      <c r="X58" s="92"/>
      <c r="Y58" s="128"/>
      <c r="Z58" s="38"/>
      <c r="AA58" s="173"/>
      <c r="AB58" s="173"/>
      <c r="AC58" s="173"/>
      <c r="AD58" s="174"/>
      <c r="AE58" s="129"/>
      <c r="AF58" s="129"/>
      <c r="AG58" s="131"/>
      <c r="AH58" s="131"/>
      <c r="AI58" s="131"/>
      <c r="AJ58" s="4"/>
      <c r="AK58" s="4"/>
      <c r="AL58" s="93"/>
      <c r="AM58" s="93"/>
      <c r="AN58" s="93"/>
      <c r="AO58" s="93"/>
      <c r="AP58" s="93"/>
      <c r="AQ58" s="93"/>
      <c r="AR58" s="93"/>
    </row>
    <row r="59" spans="1:44" ht="28.5" customHeight="1">
      <c r="A59" s="128"/>
      <c r="B59" s="132"/>
      <c r="C59" s="128"/>
      <c r="D59" s="171"/>
      <c r="E59" s="171"/>
      <c r="F59" s="171"/>
      <c r="G59" s="171"/>
      <c r="H59" s="167"/>
      <c r="I59" s="172"/>
      <c r="J59" s="167"/>
      <c r="K59" s="167"/>
      <c r="L59" s="167"/>
      <c r="M59" s="167"/>
      <c r="N59" s="167"/>
      <c r="O59" s="167"/>
      <c r="P59" s="167"/>
      <c r="Q59" s="167"/>
      <c r="R59" s="128"/>
      <c r="S59" s="128"/>
      <c r="T59" s="128"/>
      <c r="U59" s="128"/>
      <c r="V59" s="128"/>
      <c r="W59" s="36">
        <v>6.6299999999999998E-2</v>
      </c>
      <c r="X59" s="92"/>
      <c r="Y59" s="128"/>
      <c r="Z59" s="38"/>
      <c r="AA59" s="173"/>
      <c r="AB59" s="173"/>
      <c r="AC59" s="173"/>
      <c r="AD59" s="174"/>
      <c r="AE59" s="129"/>
      <c r="AF59" s="129"/>
      <c r="AG59" s="131"/>
      <c r="AH59" s="131"/>
      <c r="AI59" s="131"/>
      <c r="AJ59" s="4"/>
      <c r="AK59" s="4"/>
      <c r="AL59" s="93"/>
      <c r="AM59" s="93"/>
      <c r="AN59" s="93"/>
      <c r="AO59" s="93"/>
      <c r="AP59" s="93"/>
      <c r="AQ59" s="93"/>
      <c r="AR59" s="93"/>
    </row>
    <row r="60" spans="1:44" ht="28.5" customHeight="1">
      <c r="A60" s="128"/>
      <c r="B60" s="132" t="s">
        <v>161</v>
      </c>
      <c r="C60" s="26" t="s">
        <v>39</v>
      </c>
      <c r="D60" s="27">
        <v>8</v>
      </c>
      <c r="E60" s="27">
        <v>12.5</v>
      </c>
      <c r="F60" s="27">
        <v>3</v>
      </c>
      <c r="G60" s="72">
        <f t="shared" ref="G60:G62" si="76">PRODUCT(D60*E60*F60)</f>
        <v>300</v>
      </c>
      <c r="H60" s="70">
        <f t="shared" ref="H60:H62" si="77">G60/1000000</f>
        <v>2.9999999999999997E-4</v>
      </c>
      <c r="I60" s="29">
        <f t="shared" ref="I60:I62" si="78">1/H60</f>
        <v>3333.3333333333335</v>
      </c>
      <c r="J60" s="30">
        <f t="shared" ref="J60:J62" si="79">80/I60</f>
        <v>2.4E-2</v>
      </c>
      <c r="K60" s="31">
        <f t="shared" ref="K60:K62" si="80">27000/I60</f>
        <v>8.1</v>
      </c>
      <c r="L60" s="31">
        <f t="shared" ref="L60:L62" si="81">(J60*$AF$4)+K60</f>
        <v>41.34</v>
      </c>
      <c r="M60" s="32">
        <f t="shared" ref="M60:M62" si="82">T60/R60</f>
        <v>2.3274574448132732E-2</v>
      </c>
      <c r="N60" s="33"/>
      <c r="O60" s="32">
        <f ca="1">SUMIF($AE$6:$AG$43,$A60,$AG$6:$AG$43)</f>
        <v>0</v>
      </c>
      <c r="P60" s="34">
        <v>9.6</v>
      </c>
      <c r="Q60" s="34">
        <f t="shared" ref="Q60:Q62" si="83">P60*1.15</f>
        <v>11.04</v>
      </c>
      <c r="R60" s="35">
        <f t="shared" ref="R60:R62" si="84">Q60*$AE$4</f>
        <v>2124.2063999999996</v>
      </c>
      <c r="S60" s="35">
        <f t="shared" ref="S60:S62" ca="1" si="85">R60*O60</f>
        <v>0</v>
      </c>
      <c r="T60" s="35">
        <f t="shared" ref="T60:T62" si="86">L60+K60</f>
        <v>49.440000000000005</v>
      </c>
      <c r="U60" s="35">
        <f t="shared" ref="U60:U62" ca="1" si="87">R60+S60+T60</f>
        <v>2173.6463999999996</v>
      </c>
      <c r="V60" s="35">
        <v>17800</v>
      </c>
      <c r="W60" s="36">
        <v>6.6299999999999998E-2</v>
      </c>
      <c r="X60" s="37">
        <v>1800</v>
      </c>
      <c r="Y60" s="35"/>
      <c r="Z60" s="38">
        <f t="shared" ref="Z60:Z62" si="88">W60+(X60/V60)</f>
        <v>0.16742359550561797</v>
      </c>
      <c r="AA60" s="39">
        <f t="shared" ref="AA60:AA62" si="89">V60*Z60</f>
        <v>2980.14</v>
      </c>
      <c r="AB60" s="39">
        <f t="shared" ref="AB60:AB62" ca="1" si="90">(V60)/1.1*10%-(R60+AA60+K60+S60+N60+X60)*10%</f>
        <v>926.93717818181801</v>
      </c>
      <c r="AC60" s="39">
        <f t="shared" ref="AC60:AC62" ca="1" si="91">V60-(U60+AA60+AB60+N60)</f>
        <v>11719.276421818184</v>
      </c>
      <c r="AD60" s="40">
        <f t="shared" ref="AD60:AD62" ca="1" si="92">AC60/V60</f>
        <v>0.65838631583248219</v>
      </c>
      <c r="AE60" s="129"/>
      <c r="AF60" s="129"/>
      <c r="AG60" s="131"/>
      <c r="AH60" s="131"/>
      <c r="AI60" s="131"/>
      <c r="AJ60" s="4"/>
      <c r="AK60" s="4"/>
      <c r="AL60" s="93"/>
      <c r="AM60" s="93"/>
      <c r="AN60" s="93"/>
      <c r="AO60" s="93"/>
      <c r="AP60" s="93"/>
      <c r="AQ60" s="93"/>
      <c r="AR60" s="93"/>
    </row>
    <row r="61" spans="1:44" ht="28.5" customHeight="1">
      <c r="A61" s="128"/>
      <c r="B61" s="132" t="s">
        <v>162</v>
      </c>
      <c r="C61" s="26" t="s">
        <v>39</v>
      </c>
      <c r="D61" s="27">
        <v>12</v>
      </c>
      <c r="E61" s="27">
        <v>21</v>
      </c>
      <c r="F61" s="27">
        <v>10</v>
      </c>
      <c r="G61" s="72">
        <f t="shared" si="76"/>
        <v>2520</v>
      </c>
      <c r="H61" s="70">
        <f t="shared" si="77"/>
        <v>2.5200000000000001E-3</v>
      </c>
      <c r="I61" s="29">
        <f t="shared" si="78"/>
        <v>396.82539682539681</v>
      </c>
      <c r="J61" s="30">
        <f t="shared" si="79"/>
        <v>0.2016</v>
      </c>
      <c r="K61" s="31">
        <f t="shared" si="80"/>
        <v>68.040000000000006</v>
      </c>
      <c r="L61" s="31">
        <f t="shared" si="81"/>
        <v>347.25600000000003</v>
      </c>
      <c r="M61" s="32">
        <f t="shared" si="82"/>
        <v>9.8782193868285434E-2</v>
      </c>
      <c r="N61" s="33"/>
      <c r="O61" s="32">
        <v>2.1000000000000001E-2</v>
      </c>
      <c r="P61" s="34">
        <v>19</v>
      </c>
      <c r="Q61" s="34">
        <f t="shared" si="83"/>
        <v>21.849999999999998</v>
      </c>
      <c r="R61" s="35">
        <f t="shared" si="84"/>
        <v>4204.1584999999995</v>
      </c>
      <c r="S61" s="35">
        <f t="shared" si="85"/>
        <v>88.287328500000001</v>
      </c>
      <c r="T61" s="35">
        <f t="shared" si="86"/>
        <v>415.29600000000005</v>
      </c>
      <c r="U61" s="35">
        <f t="shared" si="87"/>
        <v>4707.7418284999994</v>
      </c>
      <c r="V61" s="35">
        <v>17900</v>
      </c>
      <c r="W61" s="36">
        <v>6.6299999999999998E-2</v>
      </c>
      <c r="X61" s="37">
        <v>1800</v>
      </c>
      <c r="Y61" s="35"/>
      <c r="Z61" s="38">
        <f t="shared" si="88"/>
        <v>0.1668586592178771</v>
      </c>
      <c r="AA61" s="39">
        <f t="shared" si="89"/>
        <v>2986.77</v>
      </c>
      <c r="AB61" s="39">
        <f t="shared" si="90"/>
        <v>712.54714442272723</v>
      </c>
      <c r="AC61" s="39">
        <f t="shared" si="91"/>
        <v>9492.9410270772732</v>
      </c>
      <c r="AD61" s="40">
        <f t="shared" si="92"/>
        <v>0.53033190095403759</v>
      </c>
      <c r="AE61" s="129"/>
      <c r="AF61" s="129"/>
      <c r="AG61" s="131"/>
      <c r="AH61" s="131"/>
      <c r="AI61" s="131"/>
      <c r="AJ61" s="4"/>
      <c r="AK61" s="4"/>
      <c r="AL61" s="93"/>
      <c r="AM61" s="93"/>
      <c r="AN61" s="93"/>
      <c r="AO61" s="93"/>
      <c r="AP61" s="93"/>
      <c r="AQ61" s="93"/>
      <c r="AR61" s="93"/>
    </row>
    <row r="62" spans="1:44" ht="28.5" customHeight="1">
      <c r="A62" s="128"/>
      <c r="B62" s="132" t="s">
        <v>113</v>
      </c>
      <c r="C62" s="26" t="s">
        <v>39</v>
      </c>
      <c r="D62" s="171">
        <v>15</v>
      </c>
      <c r="E62" s="171">
        <v>18</v>
      </c>
      <c r="F62" s="171">
        <v>2</v>
      </c>
      <c r="G62" s="72">
        <f t="shared" si="76"/>
        <v>540</v>
      </c>
      <c r="H62" s="70">
        <f t="shared" si="77"/>
        <v>5.4000000000000001E-4</v>
      </c>
      <c r="I62" s="29">
        <f t="shared" si="78"/>
        <v>1851.8518518518517</v>
      </c>
      <c r="J62" s="30">
        <f t="shared" si="79"/>
        <v>4.3200000000000002E-2</v>
      </c>
      <c r="K62" s="31">
        <f t="shared" si="80"/>
        <v>14.58</v>
      </c>
      <c r="L62" s="31">
        <f t="shared" si="81"/>
        <v>74.412000000000006</v>
      </c>
      <c r="M62" s="32">
        <f t="shared" si="82"/>
        <v>8.0436929292746692E-2</v>
      </c>
      <c r="N62" s="167"/>
      <c r="O62" s="32">
        <f ca="1">SUMIF($AE$6:$AG$43,$A62,$AG$6:$AG$43)</f>
        <v>0</v>
      </c>
      <c r="P62" s="34">
        <v>5</v>
      </c>
      <c r="Q62" s="34">
        <f t="shared" si="83"/>
        <v>5.75</v>
      </c>
      <c r="R62" s="35">
        <f t="shared" si="84"/>
        <v>1106.3575000000001</v>
      </c>
      <c r="S62" s="35">
        <f t="shared" ca="1" si="85"/>
        <v>0</v>
      </c>
      <c r="T62" s="35">
        <f t="shared" si="86"/>
        <v>88.992000000000004</v>
      </c>
      <c r="U62" s="35">
        <f t="shared" ca="1" si="87"/>
        <v>1195.3495</v>
      </c>
      <c r="V62" s="35">
        <v>17800</v>
      </c>
      <c r="W62" s="36">
        <v>6.6299999999999998E-2</v>
      </c>
      <c r="X62" s="92">
        <v>1800</v>
      </c>
      <c r="Y62" s="128"/>
      <c r="Z62" s="38">
        <f t="shared" si="88"/>
        <v>0.16742359550561797</v>
      </c>
      <c r="AA62" s="39">
        <f t="shared" si="89"/>
        <v>2980.14</v>
      </c>
      <c r="AB62" s="39">
        <f t="shared" ca="1" si="90"/>
        <v>1028.0740681818179</v>
      </c>
      <c r="AC62" s="39">
        <f t="shared" ca="1" si="91"/>
        <v>12596.436431818183</v>
      </c>
      <c r="AD62" s="40">
        <f t="shared" ca="1" si="92"/>
        <v>0.70766496807967327</v>
      </c>
      <c r="AE62" s="129"/>
      <c r="AF62" s="129"/>
      <c r="AG62" s="131"/>
      <c r="AH62" s="131"/>
      <c r="AI62" s="131"/>
      <c r="AJ62" s="4"/>
      <c r="AK62" s="4"/>
      <c r="AL62" s="93"/>
      <c r="AM62" s="93"/>
      <c r="AN62" s="93"/>
      <c r="AO62" s="93"/>
      <c r="AP62" s="93"/>
      <c r="AQ62" s="93"/>
      <c r="AR62" s="93"/>
    </row>
    <row r="63" spans="1:44" ht="28.5" customHeight="1">
      <c r="A63" s="128"/>
      <c r="B63" s="132"/>
      <c r="C63" s="128"/>
      <c r="D63" s="171"/>
      <c r="E63" s="171"/>
      <c r="F63" s="171"/>
      <c r="G63" s="171"/>
      <c r="H63" s="167"/>
      <c r="I63" s="172"/>
      <c r="J63" s="167"/>
      <c r="K63" s="167"/>
      <c r="L63" s="167"/>
      <c r="M63" s="167"/>
      <c r="N63" s="167"/>
      <c r="O63" s="167"/>
      <c r="P63" s="167"/>
      <c r="Q63" s="167"/>
      <c r="R63" s="128"/>
      <c r="S63" s="128"/>
      <c r="T63" s="128"/>
      <c r="U63" s="128"/>
      <c r="V63" s="128"/>
      <c r="W63" s="36">
        <v>6.6299999999999998E-2</v>
      </c>
      <c r="X63" s="92"/>
      <c r="Y63" s="128"/>
      <c r="Z63" s="38"/>
      <c r="AA63" s="173"/>
      <c r="AB63" s="173"/>
      <c r="AC63" s="173"/>
      <c r="AD63" s="174"/>
      <c r="AE63" s="129"/>
      <c r="AF63" s="129"/>
      <c r="AG63" s="131"/>
      <c r="AH63" s="131"/>
      <c r="AI63" s="131"/>
      <c r="AJ63" s="4"/>
      <c r="AK63" s="4"/>
      <c r="AL63" s="93"/>
      <c r="AM63" s="93"/>
      <c r="AN63" s="93"/>
      <c r="AO63" s="93"/>
      <c r="AP63" s="93"/>
      <c r="AQ63" s="93"/>
      <c r="AR63" s="93"/>
    </row>
    <row r="64" spans="1:44" ht="28.5" customHeight="1">
      <c r="A64" s="128"/>
      <c r="B64" s="132"/>
      <c r="C64" s="128"/>
      <c r="D64" s="171"/>
      <c r="E64" s="171"/>
      <c r="F64" s="171"/>
      <c r="G64" s="171"/>
      <c r="H64" s="167"/>
      <c r="I64" s="172"/>
      <c r="J64" s="167"/>
      <c r="K64" s="167"/>
      <c r="L64" s="167"/>
      <c r="M64" s="167"/>
      <c r="N64" s="167"/>
      <c r="O64" s="167"/>
      <c r="P64" s="167"/>
      <c r="Q64" s="167"/>
      <c r="R64" s="128"/>
      <c r="S64" s="128"/>
      <c r="T64" s="128"/>
      <c r="U64" s="128"/>
      <c r="V64" s="128"/>
      <c r="W64" s="36">
        <v>6.6299999999999998E-2</v>
      </c>
      <c r="X64" s="92"/>
      <c r="Y64" s="128"/>
      <c r="Z64" s="38"/>
      <c r="AA64" s="173"/>
      <c r="AB64" s="173"/>
      <c r="AC64" s="173"/>
      <c r="AD64" s="174"/>
      <c r="AE64" s="129"/>
      <c r="AF64" s="129"/>
      <c r="AG64" s="131"/>
      <c r="AH64" s="131"/>
      <c r="AI64" s="131"/>
      <c r="AJ64" s="4"/>
      <c r="AK64" s="4"/>
      <c r="AL64" s="93"/>
      <c r="AM64" s="93"/>
      <c r="AN64" s="93"/>
      <c r="AO64" s="93"/>
      <c r="AP64" s="93"/>
      <c r="AQ64" s="93"/>
      <c r="AR64" s="93"/>
    </row>
    <row r="65" spans="1:44" ht="28.5" customHeight="1">
      <c r="A65" s="128"/>
      <c r="B65" s="132"/>
      <c r="C65" s="128"/>
      <c r="D65" s="171"/>
      <c r="E65" s="171"/>
      <c r="F65" s="171"/>
      <c r="G65" s="171"/>
      <c r="H65" s="167"/>
      <c r="I65" s="172"/>
      <c r="J65" s="167"/>
      <c r="K65" s="167"/>
      <c r="L65" s="167"/>
      <c r="M65" s="167"/>
      <c r="N65" s="167"/>
      <c r="O65" s="167"/>
      <c r="P65" s="167"/>
      <c r="Q65" s="167"/>
      <c r="R65" s="128"/>
      <c r="S65" s="128"/>
      <c r="T65" s="128"/>
      <c r="U65" s="128"/>
      <c r="V65" s="128"/>
      <c r="W65" s="36">
        <v>6.6299999999999998E-2</v>
      </c>
      <c r="X65" s="92"/>
      <c r="Y65" s="128"/>
      <c r="Z65" s="38"/>
      <c r="AA65" s="173"/>
      <c r="AB65" s="173"/>
      <c r="AC65" s="173"/>
      <c r="AD65" s="174"/>
      <c r="AE65" s="129"/>
      <c r="AF65" s="129"/>
      <c r="AG65" s="131"/>
      <c r="AH65" s="131"/>
      <c r="AI65" s="131"/>
      <c r="AJ65" s="4"/>
      <c r="AK65" s="4"/>
      <c r="AL65" s="93"/>
      <c r="AM65" s="93"/>
      <c r="AN65" s="93"/>
      <c r="AO65" s="93"/>
      <c r="AP65" s="93"/>
      <c r="AQ65" s="93"/>
      <c r="AR65" s="93"/>
    </row>
    <row r="66" spans="1:44" ht="28.5" customHeight="1">
      <c r="A66" s="128"/>
      <c r="B66" s="132"/>
      <c r="C66" s="128"/>
      <c r="D66" s="171"/>
      <c r="E66" s="171"/>
      <c r="F66" s="171"/>
      <c r="G66" s="171"/>
      <c r="H66" s="167"/>
      <c r="I66" s="172"/>
      <c r="J66" s="167"/>
      <c r="K66" s="167"/>
      <c r="L66" s="167"/>
      <c r="M66" s="167"/>
      <c r="N66" s="167"/>
      <c r="O66" s="167"/>
      <c r="P66" s="167"/>
      <c r="Q66" s="167"/>
      <c r="R66" s="128"/>
      <c r="S66" s="128"/>
      <c r="T66" s="128"/>
      <c r="U66" s="128"/>
      <c r="V66" s="128"/>
      <c r="W66" s="36">
        <v>6.6299999999999998E-2</v>
      </c>
      <c r="X66" s="92"/>
      <c r="Y66" s="128"/>
      <c r="Z66" s="38"/>
      <c r="AA66" s="173"/>
      <c r="AB66" s="173"/>
      <c r="AC66" s="173"/>
      <c r="AD66" s="174"/>
      <c r="AE66" s="129"/>
      <c r="AF66" s="129"/>
      <c r="AG66" s="131"/>
      <c r="AH66" s="131"/>
      <c r="AI66" s="131"/>
      <c r="AJ66" s="4"/>
      <c r="AK66" s="4"/>
      <c r="AL66" s="93"/>
      <c r="AM66" s="93"/>
      <c r="AN66" s="93"/>
      <c r="AO66" s="93"/>
      <c r="AP66" s="93"/>
      <c r="AQ66" s="93"/>
      <c r="AR66" s="93"/>
    </row>
    <row r="67" spans="1:44" ht="28.5" customHeight="1">
      <c r="A67" s="128"/>
      <c r="B67" s="132" t="s">
        <v>163</v>
      </c>
      <c r="C67" s="26" t="s">
        <v>39</v>
      </c>
      <c r="D67" s="27">
        <v>12</v>
      </c>
      <c r="E67" s="27">
        <v>8</v>
      </c>
      <c r="F67" s="27">
        <v>3</v>
      </c>
      <c r="G67" s="72">
        <f t="shared" ref="G67:G68" si="93">PRODUCT(D67*E67*F67)</f>
        <v>288</v>
      </c>
      <c r="H67" s="70">
        <f t="shared" ref="H67:H68" si="94">G67/1000000</f>
        <v>2.8800000000000001E-4</v>
      </c>
      <c r="I67" s="29">
        <f t="shared" ref="I67:I68" si="95">1/H67</f>
        <v>3472.2222222222222</v>
      </c>
      <c r="J67" s="30">
        <f t="shared" ref="J67:J68" si="96">80/I67</f>
        <v>2.3040000000000001E-2</v>
      </c>
      <c r="K67" s="31">
        <f t="shared" ref="K67:K68" si="97">27000/I67</f>
        <v>7.7759999999999998</v>
      </c>
      <c r="L67" s="31">
        <f t="shared" ref="L67:L68" si="98">(J67*$AF$4)+K67</f>
        <v>39.686400000000006</v>
      </c>
      <c r="M67" s="32">
        <f t="shared" ref="M67:M68" si="99">T67/R67</f>
        <v>1.649988293184548E-2</v>
      </c>
      <c r="N67" s="33"/>
      <c r="O67" s="32">
        <v>0</v>
      </c>
      <c r="P67" s="34">
        <v>13</v>
      </c>
      <c r="Q67" s="34">
        <f t="shared" ref="Q67:Q68" si="100">P67*1.15</f>
        <v>14.95</v>
      </c>
      <c r="R67" s="35">
        <f t="shared" ref="R67:R68" si="101">Q67*$AE$4</f>
        <v>2876.5294999999996</v>
      </c>
      <c r="S67" s="35">
        <f t="shared" ref="S67:S68" si="102">R67*O67</f>
        <v>0</v>
      </c>
      <c r="T67" s="35">
        <f t="shared" ref="T67:T68" si="103">L67+K67</f>
        <v>47.462400000000002</v>
      </c>
      <c r="U67" s="35">
        <f t="shared" ref="U67:U68" si="104">R67+S67+T67</f>
        <v>2923.9918999999995</v>
      </c>
      <c r="V67" s="35">
        <v>14800</v>
      </c>
      <c r="W67" s="36">
        <v>6.6299999999999998E-2</v>
      </c>
      <c r="X67" s="37">
        <v>1800</v>
      </c>
      <c r="Y67" s="35"/>
      <c r="Z67" s="38">
        <f t="shared" ref="Z67:Z68" si="105">W67+(X67/V67)</f>
        <v>0.18792162162162163</v>
      </c>
      <c r="AA67" s="39">
        <f t="shared" ref="AA67:AA68" si="106">V67*Z67</f>
        <v>2781.2400000000002</v>
      </c>
      <c r="AB67" s="39">
        <f t="shared" ref="AB67:AB68" si="107">(V67)/1.1*10%-(R67+AA67+K67+S67+N67+X67)*10%</f>
        <v>598.89999545454543</v>
      </c>
      <c r="AC67" s="39">
        <f t="shared" ref="AC67:AC68" si="108">V67-(U67+AA67+AB67+N67)</f>
        <v>8495.8681045454541</v>
      </c>
      <c r="AD67" s="40">
        <f t="shared" ref="AD67:AD68" si="109">AC67/V67</f>
        <v>0.57404514219901714</v>
      </c>
      <c r="AE67" s="129"/>
      <c r="AF67" s="129"/>
      <c r="AG67" s="131"/>
      <c r="AH67" s="131"/>
      <c r="AI67" s="131"/>
      <c r="AJ67" s="4"/>
      <c r="AK67" s="4"/>
      <c r="AL67" s="93"/>
      <c r="AM67" s="93"/>
      <c r="AN67" s="93"/>
      <c r="AO67" s="93"/>
      <c r="AP67" s="93"/>
      <c r="AQ67" s="93"/>
      <c r="AR67" s="93"/>
    </row>
    <row r="68" spans="1:44" ht="28.5" customHeight="1">
      <c r="A68" s="128"/>
      <c r="B68" s="132" t="s">
        <v>164</v>
      </c>
      <c r="C68" s="26" t="s">
        <v>39</v>
      </c>
      <c r="D68" s="27">
        <v>9</v>
      </c>
      <c r="E68" s="27">
        <v>12</v>
      </c>
      <c r="F68" s="27">
        <v>3</v>
      </c>
      <c r="G68" s="72">
        <f t="shared" si="93"/>
        <v>324</v>
      </c>
      <c r="H68" s="70">
        <f t="shared" si="94"/>
        <v>3.2400000000000001E-4</v>
      </c>
      <c r="I68" s="29">
        <f t="shared" si="95"/>
        <v>3086.4197530864194</v>
      </c>
      <c r="J68" s="30">
        <f t="shared" si="96"/>
        <v>2.5920000000000002E-2</v>
      </c>
      <c r="K68" s="31">
        <f t="shared" si="97"/>
        <v>8.7480000000000011</v>
      </c>
      <c r="L68" s="31">
        <f t="shared" si="98"/>
        <v>44.647199999999998</v>
      </c>
      <c r="M68" s="32">
        <f t="shared" si="99"/>
        <v>7.0973761140658859E-3</v>
      </c>
      <c r="N68" s="33"/>
      <c r="O68" s="32">
        <v>0</v>
      </c>
      <c r="P68" s="34">
        <v>34</v>
      </c>
      <c r="Q68" s="34">
        <f t="shared" si="100"/>
        <v>39.099999999999994</v>
      </c>
      <c r="R68" s="35">
        <f t="shared" si="101"/>
        <v>7523.2309999999989</v>
      </c>
      <c r="S68" s="35">
        <f t="shared" si="102"/>
        <v>0</v>
      </c>
      <c r="T68" s="35">
        <f t="shared" si="103"/>
        <v>53.395200000000003</v>
      </c>
      <c r="U68" s="35">
        <f t="shared" si="104"/>
        <v>7576.6261999999988</v>
      </c>
      <c r="V68" s="35">
        <v>19900</v>
      </c>
      <c r="W68" s="36">
        <v>6.6299999999999998E-2</v>
      </c>
      <c r="X68" s="37">
        <v>1800</v>
      </c>
      <c r="Y68" s="35"/>
      <c r="Z68" s="38">
        <f t="shared" si="105"/>
        <v>0.15675226130653266</v>
      </c>
      <c r="AA68" s="39">
        <f t="shared" si="106"/>
        <v>3119.37</v>
      </c>
      <c r="AB68" s="39">
        <f t="shared" si="107"/>
        <v>563.95600909090899</v>
      </c>
      <c r="AC68" s="39">
        <f t="shared" si="108"/>
        <v>8640.0477909090932</v>
      </c>
      <c r="AD68" s="40">
        <f t="shared" si="109"/>
        <v>0.43417325582457755</v>
      </c>
      <c r="AE68" s="129"/>
      <c r="AF68" s="129"/>
      <c r="AG68" s="131"/>
      <c r="AH68" s="131"/>
      <c r="AI68" s="131"/>
      <c r="AJ68" s="4"/>
      <c r="AK68" s="4"/>
      <c r="AL68" s="93"/>
      <c r="AM68" s="93"/>
      <c r="AN68" s="93"/>
      <c r="AO68" s="93"/>
      <c r="AP68" s="93"/>
      <c r="AQ68" s="93"/>
      <c r="AR68" s="93"/>
    </row>
    <row r="69" spans="1:44" ht="28.5" customHeight="1">
      <c r="A69" s="128"/>
      <c r="B69" s="132"/>
      <c r="C69" s="128"/>
      <c r="D69" s="171"/>
      <c r="E69" s="171"/>
      <c r="F69" s="171"/>
      <c r="G69" s="171"/>
      <c r="H69" s="167"/>
      <c r="I69" s="172"/>
      <c r="J69" s="167"/>
      <c r="K69" s="167"/>
      <c r="L69" s="167"/>
      <c r="M69" s="167"/>
      <c r="N69" s="167"/>
      <c r="O69" s="167"/>
      <c r="P69" s="167"/>
      <c r="Q69" s="167"/>
      <c r="R69" s="128"/>
      <c r="S69" s="128"/>
      <c r="T69" s="128"/>
      <c r="U69" s="128"/>
      <c r="V69" s="128"/>
      <c r="W69" s="36">
        <v>6.6299999999999998E-2</v>
      </c>
      <c r="X69" s="92"/>
      <c r="Y69" s="128"/>
      <c r="Z69" s="38"/>
      <c r="AA69" s="173"/>
      <c r="AB69" s="173"/>
      <c r="AC69" s="173"/>
      <c r="AD69" s="174"/>
      <c r="AE69" s="129"/>
      <c r="AF69" s="129"/>
      <c r="AG69" s="131"/>
      <c r="AH69" s="131"/>
      <c r="AI69" s="131"/>
      <c r="AJ69" s="4"/>
      <c r="AK69" s="4"/>
      <c r="AL69" s="93"/>
      <c r="AM69" s="93"/>
      <c r="AN69" s="93"/>
      <c r="AO69" s="93"/>
      <c r="AP69" s="93"/>
      <c r="AQ69" s="93"/>
      <c r="AR69" s="93"/>
    </row>
    <row r="70" spans="1:44" ht="28.5" customHeight="1">
      <c r="A70" s="128"/>
      <c r="B70" s="132"/>
      <c r="C70" s="128"/>
      <c r="D70" s="171"/>
      <c r="E70" s="171"/>
      <c r="F70" s="171"/>
      <c r="G70" s="171"/>
      <c r="H70" s="167"/>
      <c r="I70" s="172"/>
      <c r="J70" s="167"/>
      <c r="K70" s="167"/>
      <c r="L70" s="167"/>
      <c r="M70" s="167"/>
      <c r="N70" s="167"/>
      <c r="O70" s="167"/>
      <c r="P70" s="167"/>
      <c r="Q70" s="167"/>
      <c r="R70" s="128"/>
      <c r="S70" s="128"/>
      <c r="T70" s="128"/>
      <c r="U70" s="128"/>
      <c r="V70" s="128"/>
      <c r="W70" s="36">
        <v>6.6299999999999998E-2</v>
      </c>
      <c r="X70" s="92"/>
      <c r="Y70" s="128"/>
      <c r="Z70" s="175"/>
      <c r="AA70" s="173"/>
      <c r="AB70" s="173"/>
      <c r="AC70" s="173"/>
      <c r="AD70" s="174"/>
      <c r="AE70" s="129"/>
      <c r="AF70" s="129"/>
      <c r="AG70" s="131"/>
      <c r="AH70" s="131"/>
      <c r="AI70" s="131"/>
      <c r="AJ70" s="4"/>
      <c r="AK70" s="4"/>
      <c r="AL70" s="93"/>
      <c r="AM70" s="93"/>
      <c r="AN70" s="93"/>
      <c r="AO70" s="93"/>
      <c r="AP70" s="93"/>
      <c r="AQ70" s="93"/>
      <c r="AR70" s="93"/>
    </row>
    <row r="71" spans="1:44" ht="28.5" customHeight="1">
      <c r="A71" s="128"/>
      <c r="B71" s="132" t="s">
        <v>115</v>
      </c>
      <c r="C71" s="128" t="s">
        <v>39</v>
      </c>
      <c r="D71" s="176">
        <v>20</v>
      </c>
      <c r="E71" s="176">
        <v>14</v>
      </c>
      <c r="F71" s="176">
        <v>5</v>
      </c>
      <c r="G71" s="72">
        <f t="shared" ref="G71:G73" si="110">PRODUCT(D71*E71*F71)</f>
        <v>1400</v>
      </c>
      <c r="H71" s="70">
        <f t="shared" ref="H71:H73" si="111">G71/1000000</f>
        <v>1.4E-3</v>
      </c>
      <c r="I71" s="29">
        <f t="shared" ref="I71:I73" si="112">1/H71</f>
        <v>714.28571428571433</v>
      </c>
      <c r="J71" s="30">
        <f t="shared" ref="J71:J73" si="113">80/I71</f>
        <v>0.11199999999999999</v>
      </c>
      <c r="K71" s="31">
        <f t="shared" ref="K71:K73" si="114">27000/I71</f>
        <v>37.799999999999997</v>
      </c>
      <c r="L71" s="31">
        <f t="shared" ref="L71:L73" si="115">(J71*$AF$4)+K71</f>
        <v>192.91999999999996</v>
      </c>
      <c r="M71" s="32">
        <f t="shared" ref="M71:M73" si="116">T71/R71</f>
        <v>6.5168808454771632E-2</v>
      </c>
      <c r="N71" s="167"/>
      <c r="O71" s="32">
        <v>0</v>
      </c>
      <c r="P71" s="34">
        <v>16</v>
      </c>
      <c r="Q71" s="34">
        <f t="shared" ref="Q71:Q73" si="117">P71*1.15</f>
        <v>18.399999999999999</v>
      </c>
      <c r="R71" s="35">
        <f t="shared" ref="R71:R73" si="118">Q71*$AE$4</f>
        <v>3540.3439999999996</v>
      </c>
      <c r="S71" s="35">
        <f t="shared" ref="S71:S73" si="119">R71*O71</f>
        <v>0</v>
      </c>
      <c r="T71" s="35">
        <f t="shared" ref="T71:T73" si="120">L71+K71</f>
        <v>230.71999999999997</v>
      </c>
      <c r="U71" s="35">
        <f t="shared" ref="U71:U73" si="121">R71+S71+T71</f>
        <v>3771.0639999999994</v>
      </c>
      <c r="V71" s="128">
        <v>26900</v>
      </c>
      <c r="W71" s="36">
        <v>6.6299999999999998E-2</v>
      </c>
      <c r="X71" s="92">
        <v>1800</v>
      </c>
      <c r="Y71" s="128"/>
      <c r="Z71" s="38">
        <f t="shared" ref="Z71:Z73" si="122">W71+(X71/V71)</f>
        <v>0.13321449814126393</v>
      </c>
      <c r="AA71" s="39">
        <f t="shared" ref="AA71:AA73" si="123">V71*Z71</f>
        <v>3583.47</v>
      </c>
      <c r="AB71" s="39">
        <f t="shared" ref="AB71:AB73" si="124">(V71)/1.1*10%-(R71+AA71+K71+S71+N71+X71)*10%</f>
        <v>1549.2931454545455</v>
      </c>
      <c r="AC71" s="39">
        <f t="shared" ref="AC71:AC73" si="125">V71-(U71+AA71+AB71+N71)</f>
        <v>17996.172854545453</v>
      </c>
      <c r="AD71" s="40">
        <f t="shared" ref="AD71:AD73" si="126">AC71/V71</f>
        <v>0.6690027083474146</v>
      </c>
      <c r="AE71" s="129"/>
      <c r="AF71" s="129"/>
      <c r="AG71" s="131"/>
      <c r="AH71" s="131"/>
      <c r="AI71" s="131"/>
      <c r="AJ71" s="4"/>
      <c r="AK71" s="4"/>
      <c r="AL71" s="93"/>
      <c r="AM71" s="93"/>
      <c r="AN71" s="93"/>
      <c r="AO71" s="93"/>
      <c r="AP71" s="93"/>
      <c r="AQ71" s="93"/>
      <c r="AR71" s="93"/>
    </row>
    <row r="72" spans="1:44" ht="28.5" customHeight="1">
      <c r="A72" s="128"/>
      <c r="B72" s="132" t="s">
        <v>116</v>
      </c>
      <c r="C72" s="128" t="s">
        <v>39</v>
      </c>
      <c r="D72" s="176">
        <v>23</v>
      </c>
      <c r="E72" s="176">
        <v>13</v>
      </c>
      <c r="F72" s="176">
        <v>8</v>
      </c>
      <c r="G72" s="72">
        <f t="shared" si="110"/>
        <v>2392</v>
      </c>
      <c r="H72" s="70">
        <f t="shared" si="111"/>
        <v>2.392E-3</v>
      </c>
      <c r="I72" s="29">
        <f t="shared" si="112"/>
        <v>418.0602006688963</v>
      </c>
      <c r="J72" s="30">
        <f t="shared" si="113"/>
        <v>0.19136</v>
      </c>
      <c r="K72" s="31">
        <f t="shared" si="114"/>
        <v>64.584000000000003</v>
      </c>
      <c r="L72" s="31">
        <f t="shared" si="115"/>
        <v>329.61759999999998</v>
      </c>
      <c r="M72" s="32">
        <f t="shared" si="116"/>
        <v>5.9384300885262378E-2</v>
      </c>
      <c r="N72" s="167"/>
      <c r="O72" s="32">
        <v>0</v>
      </c>
      <c r="P72" s="34">
        <v>30</v>
      </c>
      <c r="Q72" s="34">
        <f t="shared" si="117"/>
        <v>34.5</v>
      </c>
      <c r="R72" s="35">
        <f t="shared" si="118"/>
        <v>6638.1449999999995</v>
      </c>
      <c r="S72" s="35">
        <f t="shared" si="119"/>
        <v>0</v>
      </c>
      <c r="T72" s="35">
        <f t="shared" si="120"/>
        <v>394.20159999999998</v>
      </c>
      <c r="U72" s="35">
        <f t="shared" si="121"/>
        <v>7032.3465999999999</v>
      </c>
      <c r="V72" s="128">
        <v>29800</v>
      </c>
      <c r="W72" s="36">
        <v>6.6299999999999998E-2</v>
      </c>
      <c r="X72" s="92">
        <v>1800</v>
      </c>
      <c r="Y72" s="128"/>
      <c r="Z72" s="38">
        <f t="shared" si="122"/>
        <v>0.12670268456375838</v>
      </c>
      <c r="AA72" s="39">
        <f t="shared" si="123"/>
        <v>3775.74</v>
      </c>
      <c r="AB72" s="39">
        <f t="shared" si="124"/>
        <v>1481.244009090909</v>
      </c>
      <c r="AC72" s="39">
        <f t="shared" si="125"/>
        <v>17510.66939090909</v>
      </c>
      <c r="AD72" s="40">
        <f t="shared" si="126"/>
        <v>0.58760635539963391</v>
      </c>
      <c r="AE72" s="129"/>
      <c r="AF72" s="129"/>
      <c r="AG72" s="131"/>
      <c r="AH72" s="131"/>
      <c r="AI72" s="131"/>
      <c r="AJ72" s="4"/>
      <c r="AK72" s="4"/>
      <c r="AL72" s="93"/>
      <c r="AM72" s="93"/>
      <c r="AN72" s="93"/>
      <c r="AO72" s="93"/>
      <c r="AP72" s="93"/>
      <c r="AQ72" s="93"/>
      <c r="AR72" s="93"/>
    </row>
    <row r="73" spans="1:44" ht="28.5" customHeight="1">
      <c r="A73" s="128"/>
      <c r="B73" s="132" t="s">
        <v>117</v>
      </c>
      <c r="C73" s="128" t="s">
        <v>39</v>
      </c>
      <c r="D73" s="176">
        <v>19</v>
      </c>
      <c r="E73" s="176">
        <v>7</v>
      </c>
      <c r="F73" s="176">
        <v>4</v>
      </c>
      <c r="G73" s="72">
        <f t="shared" si="110"/>
        <v>532</v>
      </c>
      <c r="H73" s="70">
        <f t="shared" si="111"/>
        <v>5.3200000000000003E-4</v>
      </c>
      <c r="I73" s="29">
        <f t="shared" si="112"/>
        <v>1879.6992481203006</v>
      </c>
      <c r="J73" s="30">
        <f t="shared" si="113"/>
        <v>4.2560000000000001E-2</v>
      </c>
      <c r="K73" s="31">
        <f t="shared" si="114"/>
        <v>14.364000000000001</v>
      </c>
      <c r="L73" s="31">
        <f t="shared" si="115"/>
        <v>73.309600000000003</v>
      </c>
      <c r="M73" s="32">
        <f t="shared" si="116"/>
        <v>2.3307432670883036E-2</v>
      </c>
      <c r="N73" s="167"/>
      <c r="O73" s="32">
        <v>0</v>
      </c>
      <c r="P73" s="34">
        <v>17</v>
      </c>
      <c r="Q73" s="34">
        <f t="shared" si="117"/>
        <v>19.549999999999997</v>
      </c>
      <c r="R73" s="35">
        <f t="shared" si="118"/>
        <v>3761.6154999999994</v>
      </c>
      <c r="S73" s="35">
        <f t="shared" si="119"/>
        <v>0</v>
      </c>
      <c r="T73" s="35">
        <f t="shared" si="120"/>
        <v>87.673600000000008</v>
      </c>
      <c r="U73" s="35">
        <f t="shared" si="121"/>
        <v>3849.2890999999995</v>
      </c>
      <c r="V73" s="128">
        <v>16800</v>
      </c>
      <c r="W73" s="36">
        <v>6.6299999999999998E-2</v>
      </c>
      <c r="X73" s="92">
        <v>1800</v>
      </c>
      <c r="Y73" s="128"/>
      <c r="Z73" s="38">
        <f t="shared" si="122"/>
        <v>0.17344285714285712</v>
      </c>
      <c r="AA73" s="39">
        <f t="shared" si="123"/>
        <v>2913.8399999999997</v>
      </c>
      <c r="AB73" s="39">
        <f t="shared" si="124"/>
        <v>678.29077727272738</v>
      </c>
      <c r="AC73" s="39">
        <f t="shared" si="125"/>
        <v>9358.5801227272732</v>
      </c>
      <c r="AD73" s="40">
        <f t="shared" si="126"/>
        <v>0.55705834063852822</v>
      </c>
      <c r="AE73" s="129"/>
      <c r="AF73" s="129"/>
      <c r="AG73" s="131"/>
      <c r="AH73" s="131"/>
      <c r="AI73" s="131"/>
      <c r="AJ73" s="4"/>
      <c r="AK73" s="4"/>
      <c r="AL73" s="93"/>
      <c r="AM73" s="93"/>
      <c r="AN73" s="93"/>
      <c r="AO73" s="93"/>
      <c r="AP73" s="93"/>
      <c r="AQ73" s="93"/>
      <c r="AR73" s="93"/>
    </row>
    <row r="74" spans="1:44" ht="28.5" customHeight="1">
      <c r="A74" s="128"/>
      <c r="B74" s="132"/>
      <c r="C74" s="128"/>
      <c r="D74" s="171"/>
      <c r="E74" s="171"/>
      <c r="F74" s="171"/>
      <c r="G74" s="171"/>
      <c r="H74" s="167"/>
      <c r="I74" s="172"/>
      <c r="J74" s="167"/>
      <c r="K74" s="167"/>
      <c r="L74" s="167"/>
      <c r="M74" s="167"/>
      <c r="N74" s="167"/>
      <c r="O74" s="167"/>
      <c r="P74" s="167"/>
      <c r="Q74" s="167"/>
      <c r="R74" s="128"/>
      <c r="S74" s="128"/>
      <c r="T74" s="128"/>
      <c r="U74" s="128"/>
      <c r="V74" s="128"/>
      <c r="W74" s="36">
        <v>6.6299999999999998E-2</v>
      </c>
      <c r="X74" s="92"/>
      <c r="Y74" s="128"/>
      <c r="Z74" s="175"/>
      <c r="AA74" s="173"/>
      <c r="AB74" s="173"/>
      <c r="AC74" s="173"/>
      <c r="AD74" s="174"/>
      <c r="AE74" s="129"/>
      <c r="AF74" s="129"/>
      <c r="AG74" s="131"/>
      <c r="AH74" s="131"/>
      <c r="AI74" s="131"/>
      <c r="AJ74" s="4"/>
      <c r="AK74" s="4"/>
      <c r="AL74" s="93"/>
      <c r="AM74" s="93"/>
      <c r="AN74" s="93"/>
      <c r="AO74" s="93"/>
      <c r="AP74" s="93"/>
      <c r="AQ74" s="93"/>
      <c r="AR74" s="93"/>
    </row>
    <row r="75" spans="1:44" ht="28.5" customHeight="1">
      <c r="A75" s="128"/>
      <c r="B75" s="132"/>
      <c r="C75" s="128"/>
      <c r="D75" s="171"/>
      <c r="E75" s="171"/>
      <c r="F75" s="171"/>
      <c r="G75" s="171"/>
      <c r="H75" s="167"/>
      <c r="I75" s="172"/>
      <c r="J75" s="167"/>
      <c r="K75" s="167"/>
      <c r="L75" s="167"/>
      <c r="M75" s="167"/>
      <c r="N75" s="167"/>
      <c r="O75" s="167"/>
      <c r="P75" s="167"/>
      <c r="Q75" s="167"/>
      <c r="R75" s="128"/>
      <c r="S75" s="128"/>
      <c r="T75" s="128"/>
      <c r="U75" s="128"/>
      <c r="V75" s="128"/>
      <c r="W75" s="36">
        <v>6.6299999999999998E-2</v>
      </c>
      <c r="X75" s="92"/>
      <c r="Y75" s="128"/>
      <c r="Z75" s="175"/>
      <c r="AA75" s="173"/>
      <c r="AB75" s="173"/>
      <c r="AC75" s="173"/>
      <c r="AD75" s="174"/>
      <c r="AE75" s="129"/>
      <c r="AF75" s="129"/>
      <c r="AG75" s="131"/>
      <c r="AH75" s="131"/>
      <c r="AI75" s="131"/>
      <c r="AJ75" s="4"/>
      <c r="AK75" s="4"/>
      <c r="AL75" s="93"/>
      <c r="AM75" s="93"/>
      <c r="AN75" s="93"/>
      <c r="AO75" s="93"/>
      <c r="AP75" s="93"/>
      <c r="AQ75" s="93"/>
      <c r="AR75" s="93"/>
    </row>
    <row r="76" spans="1:44" ht="28.5" customHeight="1">
      <c r="A76" s="128"/>
      <c r="B76" s="132"/>
      <c r="C76" s="128"/>
      <c r="D76" s="171"/>
      <c r="E76" s="171"/>
      <c r="F76" s="171"/>
      <c r="G76" s="171"/>
      <c r="H76" s="167"/>
      <c r="I76" s="172"/>
      <c r="J76" s="167"/>
      <c r="K76" s="167"/>
      <c r="L76" s="167"/>
      <c r="M76" s="167"/>
      <c r="N76" s="167"/>
      <c r="O76" s="167"/>
      <c r="P76" s="167"/>
      <c r="Q76" s="167"/>
      <c r="R76" s="128"/>
      <c r="S76" s="128"/>
      <c r="T76" s="128"/>
      <c r="U76" s="128"/>
      <c r="V76" s="128"/>
      <c r="W76" s="36">
        <v>6.6299999999999998E-2</v>
      </c>
      <c r="X76" s="92"/>
      <c r="Y76" s="128"/>
      <c r="Z76" s="175"/>
      <c r="AA76" s="173"/>
      <c r="AB76" s="173"/>
      <c r="AC76" s="173"/>
      <c r="AD76" s="174"/>
      <c r="AE76" s="129"/>
      <c r="AF76" s="129"/>
      <c r="AG76" s="131"/>
      <c r="AH76" s="131"/>
      <c r="AI76" s="131"/>
      <c r="AJ76" s="4"/>
      <c r="AK76" s="4"/>
      <c r="AL76" s="93"/>
      <c r="AM76" s="93"/>
      <c r="AN76" s="93"/>
      <c r="AO76" s="93"/>
      <c r="AP76" s="93"/>
      <c r="AQ76" s="93"/>
      <c r="AR76" s="93"/>
    </row>
    <row r="77" spans="1:44" ht="28.5" customHeight="1">
      <c r="A77" s="128"/>
      <c r="B77" s="132"/>
      <c r="C77" s="128"/>
      <c r="D77" s="171"/>
      <c r="E77" s="171"/>
      <c r="F77" s="171"/>
      <c r="G77" s="171"/>
      <c r="H77" s="167"/>
      <c r="I77" s="172"/>
      <c r="J77" s="167"/>
      <c r="K77" s="167"/>
      <c r="L77" s="167"/>
      <c r="M77" s="167"/>
      <c r="N77" s="167"/>
      <c r="O77" s="167"/>
      <c r="P77" s="167"/>
      <c r="Q77" s="167"/>
      <c r="R77" s="128"/>
      <c r="S77" s="128"/>
      <c r="T77" s="128"/>
      <c r="U77" s="128"/>
      <c r="V77" s="128"/>
      <c r="W77" s="36">
        <v>6.6299999999999998E-2</v>
      </c>
      <c r="X77" s="92"/>
      <c r="Y77" s="128"/>
      <c r="Z77" s="175"/>
      <c r="AA77" s="173"/>
      <c r="AB77" s="173"/>
      <c r="AC77" s="173"/>
      <c r="AD77" s="174"/>
      <c r="AE77" s="129"/>
      <c r="AF77" s="129"/>
      <c r="AG77" s="131"/>
      <c r="AH77" s="131"/>
      <c r="AI77" s="131"/>
      <c r="AJ77" s="4"/>
      <c r="AK77" s="4"/>
      <c r="AL77" s="93"/>
      <c r="AM77" s="93"/>
      <c r="AN77" s="93"/>
      <c r="AO77" s="93"/>
      <c r="AP77" s="93"/>
      <c r="AQ77" s="93"/>
      <c r="AR77" s="93"/>
    </row>
    <row r="78" spans="1:44" ht="28.5" customHeight="1">
      <c r="A78" s="128"/>
      <c r="B78" s="132"/>
      <c r="C78" s="128"/>
      <c r="D78" s="171"/>
      <c r="E78" s="171"/>
      <c r="F78" s="171"/>
      <c r="G78" s="171"/>
      <c r="H78" s="167"/>
      <c r="I78" s="172"/>
      <c r="J78" s="167"/>
      <c r="K78" s="167"/>
      <c r="L78" s="167"/>
      <c r="M78" s="167"/>
      <c r="N78" s="167"/>
      <c r="O78" s="167"/>
      <c r="P78" s="167"/>
      <c r="Q78" s="167"/>
      <c r="R78" s="128"/>
      <c r="S78" s="128"/>
      <c r="T78" s="128"/>
      <c r="U78" s="128"/>
      <c r="V78" s="128"/>
      <c r="W78" s="36">
        <v>6.6299999999999998E-2</v>
      </c>
      <c r="X78" s="92"/>
      <c r="Y78" s="128"/>
      <c r="Z78" s="175"/>
      <c r="AA78" s="173"/>
      <c r="AB78" s="173"/>
      <c r="AC78" s="173"/>
      <c r="AD78" s="174"/>
      <c r="AE78" s="129"/>
      <c r="AF78" s="129"/>
      <c r="AG78" s="131"/>
      <c r="AH78" s="131"/>
      <c r="AI78" s="131"/>
      <c r="AJ78" s="4"/>
      <c r="AK78" s="4"/>
      <c r="AL78" s="93"/>
      <c r="AM78" s="93"/>
      <c r="AN78" s="93"/>
      <c r="AO78" s="93"/>
      <c r="AP78" s="93"/>
      <c r="AQ78" s="93"/>
      <c r="AR78" s="93"/>
    </row>
    <row r="79" spans="1:44" ht="28.5" customHeight="1">
      <c r="A79" s="128"/>
      <c r="B79" s="132"/>
      <c r="C79" s="128"/>
      <c r="D79" s="171"/>
      <c r="E79" s="171"/>
      <c r="F79" s="171"/>
      <c r="G79" s="171"/>
      <c r="H79" s="167"/>
      <c r="I79" s="172"/>
      <c r="J79" s="167"/>
      <c r="K79" s="167"/>
      <c r="L79" s="167"/>
      <c r="M79" s="167"/>
      <c r="N79" s="167"/>
      <c r="O79" s="167"/>
      <c r="P79" s="167"/>
      <c r="Q79" s="167"/>
      <c r="R79" s="128"/>
      <c r="S79" s="128"/>
      <c r="T79" s="128"/>
      <c r="U79" s="128"/>
      <c r="V79" s="128"/>
      <c r="W79" s="36">
        <v>6.6299999999999998E-2</v>
      </c>
      <c r="X79" s="92"/>
      <c r="Y79" s="128"/>
      <c r="Z79" s="175"/>
      <c r="AA79" s="173"/>
      <c r="AB79" s="173"/>
      <c r="AC79" s="173"/>
      <c r="AD79" s="174"/>
      <c r="AE79" s="129"/>
      <c r="AF79" s="129"/>
      <c r="AG79" s="131"/>
      <c r="AH79" s="131"/>
      <c r="AI79" s="131"/>
      <c r="AJ79" s="4"/>
      <c r="AK79" s="4"/>
      <c r="AL79" s="93"/>
      <c r="AM79" s="93"/>
      <c r="AN79" s="93"/>
      <c r="AO79" s="93"/>
      <c r="AP79" s="93"/>
      <c r="AQ79" s="93"/>
      <c r="AR79" s="93"/>
    </row>
    <row r="80" spans="1:44" ht="28.5" customHeight="1">
      <c r="A80" s="128"/>
      <c r="B80" s="132"/>
      <c r="C80" s="128"/>
      <c r="D80" s="171"/>
      <c r="E80" s="171"/>
      <c r="F80" s="171"/>
      <c r="G80" s="171"/>
      <c r="H80" s="167"/>
      <c r="I80" s="172"/>
      <c r="J80" s="167"/>
      <c r="K80" s="167"/>
      <c r="L80" s="167"/>
      <c r="M80" s="167"/>
      <c r="N80" s="167"/>
      <c r="O80" s="167"/>
      <c r="P80" s="167"/>
      <c r="Q80" s="167"/>
      <c r="R80" s="128"/>
      <c r="S80" s="128"/>
      <c r="T80" s="128"/>
      <c r="U80" s="128"/>
      <c r="V80" s="128"/>
      <c r="W80" s="36">
        <v>6.6299999999999998E-2</v>
      </c>
      <c r="X80" s="92"/>
      <c r="Y80" s="128"/>
      <c r="Z80" s="175"/>
      <c r="AA80" s="173"/>
      <c r="AB80" s="173"/>
      <c r="AC80" s="173"/>
      <c r="AD80" s="174"/>
      <c r="AE80" s="129"/>
      <c r="AF80" s="129"/>
      <c r="AG80" s="131"/>
      <c r="AH80" s="131"/>
      <c r="AI80" s="131"/>
      <c r="AJ80" s="4"/>
      <c r="AK80" s="4"/>
      <c r="AL80" s="93"/>
      <c r="AM80" s="93"/>
      <c r="AN80" s="93"/>
      <c r="AO80" s="93"/>
      <c r="AP80" s="93"/>
      <c r="AQ80" s="93"/>
      <c r="AR80" s="93"/>
    </row>
    <row r="81" spans="1:44" ht="28.5" customHeight="1">
      <c r="A81" s="128"/>
      <c r="B81" s="132"/>
      <c r="C81" s="128"/>
      <c r="D81" s="171"/>
      <c r="E81" s="171"/>
      <c r="F81" s="171"/>
      <c r="G81" s="171"/>
      <c r="H81" s="167"/>
      <c r="I81" s="172"/>
      <c r="J81" s="167"/>
      <c r="K81" s="167"/>
      <c r="L81" s="167"/>
      <c r="M81" s="167"/>
      <c r="N81" s="167"/>
      <c r="O81" s="167"/>
      <c r="P81" s="167"/>
      <c r="Q81" s="167"/>
      <c r="R81" s="128"/>
      <c r="S81" s="128"/>
      <c r="T81" s="128"/>
      <c r="U81" s="128"/>
      <c r="V81" s="128"/>
      <c r="W81" s="36">
        <v>6.6299999999999998E-2</v>
      </c>
      <c r="X81" s="92"/>
      <c r="Y81" s="128"/>
      <c r="Z81" s="175"/>
      <c r="AA81" s="173"/>
      <c r="AB81" s="173"/>
      <c r="AC81" s="173"/>
      <c r="AD81" s="174"/>
      <c r="AE81" s="129"/>
      <c r="AF81" s="129"/>
      <c r="AG81" s="131"/>
      <c r="AH81" s="131"/>
      <c r="AI81" s="131"/>
      <c r="AJ81" s="4"/>
      <c r="AK81" s="4"/>
      <c r="AL81" s="93"/>
      <c r="AM81" s="93"/>
      <c r="AN81" s="93"/>
      <c r="AO81" s="93"/>
      <c r="AP81" s="93"/>
      <c r="AQ81" s="93"/>
      <c r="AR81" s="93"/>
    </row>
    <row r="82" spans="1:44" ht="28.5" customHeight="1">
      <c r="A82" s="128"/>
      <c r="B82" s="132"/>
      <c r="C82" s="128"/>
      <c r="D82" s="171"/>
      <c r="E82" s="171"/>
      <c r="F82" s="171"/>
      <c r="G82" s="171"/>
      <c r="H82" s="167"/>
      <c r="I82" s="172"/>
      <c r="J82" s="167"/>
      <c r="K82" s="167"/>
      <c r="L82" s="167"/>
      <c r="M82" s="167"/>
      <c r="N82" s="167"/>
      <c r="O82" s="167"/>
      <c r="P82" s="167"/>
      <c r="Q82" s="167"/>
      <c r="R82" s="128"/>
      <c r="S82" s="128"/>
      <c r="T82" s="128"/>
      <c r="U82" s="128"/>
      <c r="V82" s="128"/>
      <c r="W82" s="36">
        <v>6.6299999999999998E-2</v>
      </c>
      <c r="X82" s="92"/>
      <c r="Y82" s="128"/>
      <c r="Z82" s="175"/>
      <c r="AA82" s="173"/>
      <c r="AB82" s="173"/>
      <c r="AC82" s="173"/>
      <c r="AD82" s="174"/>
      <c r="AE82" s="129"/>
      <c r="AF82" s="129"/>
      <c r="AG82" s="131"/>
      <c r="AH82" s="131"/>
      <c r="AI82" s="131"/>
      <c r="AJ82" s="4"/>
      <c r="AK82" s="4"/>
      <c r="AL82" s="93"/>
      <c r="AM82" s="93"/>
      <c r="AN82" s="93"/>
      <c r="AO82" s="93"/>
      <c r="AP82" s="93"/>
      <c r="AQ82" s="93"/>
      <c r="AR82" s="93"/>
    </row>
    <row r="83" spans="1:44" ht="28.5" customHeight="1">
      <c r="A83" s="128"/>
      <c r="B83" s="132"/>
      <c r="C83" s="128"/>
      <c r="D83" s="171"/>
      <c r="E83" s="171"/>
      <c r="F83" s="171"/>
      <c r="G83" s="171"/>
      <c r="H83" s="167"/>
      <c r="I83" s="172"/>
      <c r="J83" s="167"/>
      <c r="K83" s="167"/>
      <c r="L83" s="167"/>
      <c r="M83" s="167"/>
      <c r="N83" s="167"/>
      <c r="O83" s="167"/>
      <c r="P83" s="167"/>
      <c r="Q83" s="167"/>
      <c r="R83" s="128"/>
      <c r="S83" s="128"/>
      <c r="T83" s="128"/>
      <c r="U83" s="128"/>
      <c r="V83" s="128"/>
      <c r="W83" s="36">
        <v>6.6299999999999998E-2</v>
      </c>
      <c r="X83" s="92"/>
      <c r="Y83" s="128"/>
      <c r="Z83" s="175"/>
      <c r="AA83" s="173"/>
      <c r="AB83" s="173"/>
      <c r="AC83" s="173"/>
      <c r="AD83" s="174"/>
      <c r="AE83" s="129"/>
      <c r="AF83" s="129"/>
      <c r="AG83" s="131"/>
      <c r="AH83" s="131"/>
      <c r="AI83" s="131"/>
      <c r="AJ83" s="4"/>
      <c r="AK83" s="4"/>
      <c r="AL83" s="93"/>
      <c r="AM83" s="93"/>
      <c r="AN83" s="93"/>
      <c r="AO83" s="93"/>
      <c r="AP83" s="93"/>
      <c r="AQ83" s="93"/>
      <c r="AR83" s="93"/>
    </row>
    <row r="84" spans="1:44" ht="28.5" customHeight="1">
      <c r="A84" s="128"/>
      <c r="B84" s="132"/>
      <c r="C84" s="128"/>
      <c r="D84" s="171"/>
      <c r="E84" s="171"/>
      <c r="F84" s="171"/>
      <c r="G84" s="171"/>
      <c r="H84" s="167"/>
      <c r="I84" s="172"/>
      <c r="J84" s="167"/>
      <c r="K84" s="167"/>
      <c r="L84" s="167"/>
      <c r="M84" s="167"/>
      <c r="N84" s="167"/>
      <c r="O84" s="167"/>
      <c r="P84" s="167"/>
      <c r="Q84" s="167"/>
      <c r="R84" s="128"/>
      <c r="S84" s="128"/>
      <c r="T84" s="128"/>
      <c r="U84" s="128"/>
      <c r="V84" s="128"/>
      <c r="W84" s="36">
        <v>6.6299999999999998E-2</v>
      </c>
      <c r="X84" s="92"/>
      <c r="Y84" s="128"/>
      <c r="Z84" s="175"/>
      <c r="AA84" s="173"/>
      <c r="AB84" s="173"/>
      <c r="AC84" s="173"/>
      <c r="AD84" s="174"/>
      <c r="AE84" s="129"/>
      <c r="AF84" s="129"/>
      <c r="AG84" s="131"/>
      <c r="AH84" s="131"/>
      <c r="AI84" s="131"/>
      <c r="AJ84" s="4"/>
      <c r="AK84" s="4"/>
      <c r="AL84" s="93"/>
      <c r="AM84" s="93"/>
      <c r="AN84" s="93"/>
      <c r="AO84" s="93"/>
      <c r="AP84" s="93"/>
      <c r="AQ84" s="93"/>
      <c r="AR84" s="93"/>
    </row>
    <row r="85" spans="1:44" ht="28.5" customHeight="1">
      <c r="A85" s="128"/>
      <c r="B85" s="132"/>
      <c r="C85" s="128"/>
      <c r="D85" s="171"/>
      <c r="E85" s="171"/>
      <c r="F85" s="171"/>
      <c r="G85" s="171"/>
      <c r="H85" s="167"/>
      <c r="I85" s="172"/>
      <c r="J85" s="167"/>
      <c r="K85" s="167"/>
      <c r="L85" s="167"/>
      <c r="M85" s="167"/>
      <c r="N85" s="167"/>
      <c r="O85" s="167"/>
      <c r="P85" s="167"/>
      <c r="Q85" s="167"/>
      <c r="R85" s="128"/>
      <c r="S85" s="128"/>
      <c r="T85" s="128"/>
      <c r="U85" s="128"/>
      <c r="V85" s="128"/>
      <c r="W85" s="36">
        <v>6.6299999999999998E-2</v>
      </c>
      <c r="X85" s="92"/>
      <c r="Y85" s="128"/>
      <c r="Z85" s="175"/>
      <c r="AA85" s="173"/>
      <c r="AB85" s="173"/>
      <c r="AC85" s="173"/>
      <c r="AD85" s="174"/>
      <c r="AE85" s="129"/>
      <c r="AF85" s="129"/>
      <c r="AG85" s="131"/>
      <c r="AH85" s="131"/>
      <c r="AI85" s="131"/>
      <c r="AJ85" s="4"/>
      <c r="AK85" s="4"/>
      <c r="AL85" s="93"/>
      <c r="AM85" s="93"/>
      <c r="AN85" s="93"/>
      <c r="AO85" s="93"/>
      <c r="AP85" s="93"/>
      <c r="AQ85" s="93"/>
      <c r="AR85" s="93"/>
    </row>
    <row r="86" spans="1:44" ht="28.5" customHeight="1">
      <c r="A86" s="128"/>
      <c r="B86" s="132"/>
      <c r="C86" s="128"/>
      <c r="D86" s="171"/>
      <c r="E86" s="171"/>
      <c r="F86" s="171"/>
      <c r="G86" s="171"/>
      <c r="H86" s="167"/>
      <c r="I86" s="172"/>
      <c r="J86" s="167"/>
      <c r="K86" s="167"/>
      <c r="L86" s="167"/>
      <c r="M86" s="167"/>
      <c r="N86" s="167"/>
      <c r="O86" s="167"/>
      <c r="P86" s="167"/>
      <c r="Q86" s="167"/>
      <c r="R86" s="128"/>
      <c r="S86" s="128"/>
      <c r="T86" s="128"/>
      <c r="U86" s="128"/>
      <c r="V86" s="128"/>
      <c r="W86" s="36">
        <v>6.6299999999999998E-2</v>
      </c>
      <c r="X86" s="92"/>
      <c r="Y86" s="128"/>
      <c r="Z86" s="175"/>
      <c r="AA86" s="173"/>
      <c r="AB86" s="173"/>
      <c r="AC86" s="173"/>
      <c r="AD86" s="174"/>
      <c r="AE86" s="129"/>
      <c r="AF86" s="129"/>
      <c r="AG86" s="131"/>
      <c r="AH86" s="131"/>
      <c r="AI86" s="131"/>
      <c r="AJ86" s="4"/>
      <c r="AK86" s="4"/>
      <c r="AL86" s="93"/>
      <c r="AM86" s="93"/>
      <c r="AN86" s="93"/>
      <c r="AO86" s="93"/>
      <c r="AP86" s="93"/>
      <c r="AQ86" s="93"/>
      <c r="AR86" s="93"/>
    </row>
    <row r="87" spans="1:44" ht="28.5" customHeight="1">
      <c r="A87" s="128"/>
      <c r="B87" s="132"/>
      <c r="C87" s="128"/>
      <c r="D87" s="171"/>
      <c r="E87" s="171"/>
      <c r="F87" s="171"/>
      <c r="G87" s="171"/>
      <c r="H87" s="167"/>
      <c r="I87" s="172"/>
      <c r="J87" s="167"/>
      <c r="K87" s="167"/>
      <c r="L87" s="167"/>
      <c r="M87" s="167"/>
      <c r="N87" s="167"/>
      <c r="O87" s="167"/>
      <c r="P87" s="167"/>
      <c r="Q87" s="167"/>
      <c r="R87" s="128"/>
      <c r="S87" s="128"/>
      <c r="T87" s="128"/>
      <c r="U87" s="128"/>
      <c r="V87" s="128"/>
      <c r="W87" s="36">
        <v>6.6299999999999998E-2</v>
      </c>
      <c r="X87" s="92"/>
      <c r="Y87" s="128"/>
      <c r="Z87" s="175"/>
      <c r="AA87" s="173"/>
      <c r="AB87" s="173"/>
      <c r="AC87" s="173"/>
      <c r="AD87" s="174"/>
      <c r="AE87" s="129"/>
      <c r="AF87" s="129"/>
      <c r="AG87" s="131"/>
      <c r="AH87" s="131"/>
      <c r="AI87" s="131"/>
      <c r="AJ87" s="4"/>
      <c r="AK87" s="4"/>
      <c r="AL87" s="93"/>
      <c r="AM87" s="93"/>
      <c r="AN87" s="93"/>
      <c r="AO87" s="93"/>
      <c r="AP87" s="93"/>
      <c r="AQ87" s="93"/>
      <c r="AR87" s="93"/>
    </row>
    <row r="88" spans="1:44" ht="15">
      <c r="B88" s="177"/>
      <c r="D88" s="49"/>
      <c r="E88" s="49"/>
      <c r="F88" s="49"/>
      <c r="G88" s="49"/>
      <c r="I88" s="51"/>
      <c r="X88" s="178"/>
      <c r="Z88" s="59"/>
    </row>
    <row r="89" spans="1:44" ht="15">
      <c r="B89" s="177"/>
      <c r="D89" s="49"/>
      <c r="E89" s="49"/>
      <c r="F89" s="49"/>
      <c r="G89" s="49"/>
      <c r="I89" s="51"/>
      <c r="X89" s="178"/>
      <c r="Z89" s="59"/>
    </row>
    <row r="90" spans="1:44" ht="15">
      <c r="B90" s="177"/>
      <c r="D90" s="49"/>
      <c r="E90" s="49"/>
      <c r="F90" s="49"/>
      <c r="G90" s="49"/>
      <c r="I90" s="51"/>
      <c r="X90" s="178"/>
      <c r="Z90" s="59"/>
    </row>
    <row r="91" spans="1:44" ht="15">
      <c r="B91" s="177"/>
      <c r="D91" s="49"/>
      <c r="E91" s="49"/>
      <c r="F91" s="49"/>
      <c r="G91" s="49"/>
      <c r="I91" s="51"/>
      <c r="X91" s="178"/>
      <c r="Z91" s="59"/>
    </row>
    <row r="92" spans="1:44" ht="15">
      <c r="B92" s="177"/>
      <c r="D92" s="49"/>
      <c r="E92" s="49"/>
      <c r="F92" s="49"/>
      <c r="G92" s="49"/>
      <c r="I92" s="51"/>
      <c r="X92" s="178"/>
      <c r="Z92" s="59"/>
    </row>
    <row r="93" spans="1:44" ht="15">
      <c r="B93" s="177"/>
      <c r="D93" s="49"/>
      <c r="E93" s="49"/>
      <c r="F93" s="49"/>
      <c r="G93" s="49"/>
      <c r="I93" s="51"/>
      <c r="X93" s="178"/>
      <c r="Z93" s="59"/>
    </row>
    <row r="94" spans="1:44" ht="15">
      <c r="B94" s="177"/>
      <c r="D94" s="49"/>
      <c r="E94" s="49"/>
      <c r="F94" s="49"/>
      <c r="G94" s="49"/>
      <c r="I94" s="51"/>
      <c r="X94" s="178"/>
      <c r="Z94" s="59"/>
    </row>
    <row r="95" spans="1:44" ht="15">
      <c r="B95" s="177"/>
      <c r="D95" s="49"/>
      <c r="E95" s="49"/>
      <c r="F95" s="49"/>
      <c r="G95" s="49"/>
      <c r="I95" s="51"/>
      <c r="X95" s="178"/>
      <c r="Z95" s="59"/>
    </row>
    <row r="96" spans="1:44" ht="15">
      <c r="B96" s="177"/>
      <c r="D96" s="49"/>
      <c r="E96" s="49"/>
      <c r="F96" s="49"/>
      <c r="G96" s="49"/>
      <c r="I96" s="51"/>
      <c r="X96" s="178"/>
      <c r="Z96" s="59"/>
    </row>
    <row r="97" spans="2:26" ht="15">
      <c r="B97" s="177"/>
      <c r="D97" s="49"/>
      <c r="E97" s="49"/>
      <c r="F97" s="49"/>
      <c r="G97" s="49"/>
      <c r="I97" s="51"/>
      <c r="X97" s="178"/>
      <c r="Z97" s="59"/>
    </row>
    <row r="98" spans="2:26" ht="15">
      <c r="B98" s="177"/>
      <c r="D98" s="49"/>
      <c r="E98" s="49"/>
      <c r="F98" s="49"/>
      <c r="G98" s="49"/>
      <c r="I98" s="51"/>
      <c r="X98" s="178"/>
      <c r="Z98" s="59"/>
    </row>
    <row r="99" spans="2:26" ht="15">
      <c r="B99" s="177"/>
      <c r="D99" s="49"/>
      <c r="E99" s="49"/>
      <c r="F99" s="49"/>
      <c r="G99" s="49"/>
      <c r="I99" s="51"/>
      <c r="X99" s="178"/>
      <c r="Z99" s="59"/>
    </row>
    <row r="100" spans="2:26" ht="15">
      <c r="B100" s="177"/>
      <c r="D100" s="49"/>
      <c r="E100" s="49"/>
      <c r="F100" s="49"/>
      <c r="G100" s="49"/>
      <c r="I100" s="51"/>
      <c r="X100" s="178"/>
      <c r="Z100" s="59"/>
    </row>
    <row r="101" spans="2:26" ht="15">
      <c r="B101" s="177"/>
      <c r="D101" s="49"/>
      <c r="E101" s="49"/>
      <c r="F101" s="49"/>
      <c r="G101" s="49"/>
      <c r="I101" s="51"/>
      <c r="X101" s="178"/>
      <c r="Z101" s="59"/>
    </row>
    <row r="102" spans="2:26" ht="15">
      <c r="B102" s="177"/>
      <c r="D102" s="49"/>
      <c r="E102" s="49"/>
      <c r="F102" s="49"/>
      <c r="G102" s="49"/>
      <c r="I102" s="51"/>
      <c r="X102" s="178"/>
      <c r="Z102" s="59"/>
    </row>
    <row r="103" spans="2:26" ht="15">
      <c r="B103" s="177"/>
      <c r="D103" s="49"/>
      <c r="E103" s="49"/>
      <c r="F103" s="49"/>
      <c r="G103" s="49"/>
      <c r="I103" s="51"/>
      <c r="X103" s="178"/>
      <c r="Z103" s="59"/>
    </row>
    <row r="104" spans="2:26" ht="15">
      <c r="B104" s="177"/>
      <c r="D104" s="49"/>
      <c r="E104" s="49"/>
      <c r="F104" s="49"/>
      <c r="G104" s="49"/>
      <c r="I104" s="51"/>
      <c r="X104" s="178"/>
      <c r="Z104" s="59"/>
    </row>
    <row r="105" spans="2:26" ht="15">
      <c r="B105" s="177"/>
      <c r="D105" s="49"/>
      <c r="E105" s="49"/>
      <c r="F105" s="49"/>
      <c r="G105" s="49"/>
      <c r="I105" s="51"/>
      <c r="X105" s="178"/>
      <c r="Z105" s="59"/>
    </row>
    <row r="106" spans="2:26" ht="15">
      <c r="B106" s="177"/>
      <c r="D106" s="49"/>
      <c r="E106" s="49"/>
      <c r="F106" s="49"/>
      <c r="G106" s="49"/>
      <c r="I106" s="51"/>
      <c r="X106" s="178"/>
      <c r="Z106" s="59"/>
    </row>
    <row r="107" spans="2:26" ht="15">
      <c r="B107" s="177"/>
      <c r="D107" s="49"/>
      <c r="E107" s="49"/>
      <c r="F107" s="49"/>
      <c r="G107" s="49"/>
      <c r="I107" s="51"/>
      <c r="X107" s="178"/>
      <c r="Z107" s="59"/>
    </row>
    <row r="108" spans="2:26" ht="15">
      <c r="B108" s="177"/>
      <c r="D108" s="49"/>
      <c r="E108" s="49"/>
      <c r="F108" s="49"/>
      <c r="G108" s="49"/>
      <c r="I108" s="51"/>
      <c r="X108" s="178"/>
      <c r="Z108" s="59"/>
    </row>
    <row r="109" spans="2:26" ht="15">
      <c r="B109" s="177"/>
      <c r="D109" s="49"/>
      <c r="E109" s="49"/>
      <c r="F109" s="49"/>
      <c r="G109" s="49"/>
      <c r="I109" s="51"/>
      <c r="X109" s="178"/>
      <c r="Z109" s="59"/>
    </row>
    <row r="110" spans="2:26" ht="15">
      <c r="B110" s="177"/>
      <c r="D110" s="49"/>
      <c r="E110" s="49"/>
      <c r="F110" s="49"/>
      <c r="G110" s="49"/>
      <c r="I110" s="51"/>
      <c r="X110" s="178"/>
      <c r="Z110" s="59"/>
    </row>
    <row r="111" spans="2:26" ht="15">
      <c r="B111" s="177"/>
      <c r="D111" s="49"/>
      <c r="E111" s="49"/>
      <c r="F111" s="49"/>
      <c r="G111" s="49"/>
      <c r="I111" s="51"/>
      <c r="X111" s="178"/>
      <c r="Z111" s="59"/>
    </row>
    <row r="112" spans="2:26" ht="15">
      <c r="B112" s="177"/>
      <c r="D112" s="49"/>
      <c r="E112" s="49"/>
      <c r="F112" s="49"/>
      <c r="G112" s="49"/>
      <c r="I112" s="51"/>
      <c r="X112" s="178"/>
      <c r="Z112" s="59"/>
    </row>
    <row r="113" spans="2:26" ht="15">
      <c r="B113" s="177"/>
      <c r="D113" s="49"/>
      <c r="E113" s="49"/>
      <c r="F113" s="49"/>
      <c r="G113" s="49"/>
      <c r="I113" s="51"/>
      <c r="X113" s="178"/>
      <c r="Z113" s="59"/>
    </row>
    <row r="114" spans="2:26" ht="15">
      <c r="B114" s="177"/>
      <c r="D114" s="49"/>
      <c r="E114" s="49"/>
      <c r="F114" s="49"/>
      <c r="G114" s="49"/>
      <c r="I114" s="51"/>
      <c r="X114" s="178"/>
      <c r="Z114" s="59"/>
    </row>
    <row r="115" spans="2:26" ht="15">
      <c r="B115" s="177"/>
      <c r="D115" s="49"/>
      <c r="E115" s="49"/>
      <c r="F115" s="49"/>
      <c r="G115" s="49"/>
      <c r="I115" s="51"/>
      <c r="X115" s="178"/>
      <c r="Z115" s="59"/>
    </row>
    <row r="116" spans="2:26" ht="15">
      <c r="B116" s="177"/>
      <c r="D116" s="49"/>
      <c r="E116" s="49"/>
      <c r="F116" s="49"/>
      <c r="G116" s="49"/>
      <c r="I116" s="51"/>
      <c r="X116" s="178"/>
      <c r="Z116" s="59"/>
    </row>
    <row r="117" spans="2:26" ht="15">
      <c r="B117" s="177"/>
      <c r="D117" s="49"/>
      <c r="E117" s="49"/>
      <c r="F117" s="49"/>
      <c r="G117" s="49"/>
      <c r="I117" s="51"/>
      <c r="X117" s="178"/>
      <c r="Z117" s="59"/>
    </row>
    <row r="118" spans="2:26" ht="15">
      <c r="B118" s="177"/>
      <c r="D118" s="49"/>
      <c r="E118" s="49"/>
      <c r="F118" s="49"/>
      <c r="G118" s="49"/>
      <c r="I118" s="51"/>
      <c r="X118" s="178"/>
      <c r="Z118" s="59"/>
    </row>
    <row r="119" spans="2:26" ht="15">
      <c r="B119" s="177"/>
      <c r="D119" s="49"/>
      <c r="E119" s="49"/>
      <c r="F119" s="49"/>
      <c r="G119" s="49"/>
      <c r="I119" s="51"/>
      <c r="X119" s="178"/>
      <c r="Z119" s="59"/>
    </row>
    <row r="120" spans="2:26" ht="15">
      <c r="B120" s="177"/>
      <c r="D120" s="49"/>
      <c r="E120" s="49"/>
      <c r="F120" s="49"/>
      <c r="G120" s="49"/>
      <c r="I120" s="51"/>
      <c r="X120" s="178"/>
      <c r="Z120" s="59"/>
    </row>
    <row r="121" spans="2:26" ht="15">
      <c r="B121" s="177"/>
      <c r="D121" s="49"/>
      <c r="E121" s="49"/>
      <c r="F121" s="49"/>
      <c r="G121" s="49"/>
      <c r="I121" s="51"/>
      <c r="X121" s="178"/>
      <c r="Z121" s="59"/>
    </row>
    <row r="122" spans="2:26" ht="15">
      <c r="B122" s="177"/>
      <c r="D122" s="49"/>
      <c r="E122" s="49"/>
      <c r="F122" s="49"/>
      <c r="G122" s="49"/>
      <c r="I122" s="51"/>
      <c r="X122" s="178"/>
      <c r="Z122" s="59"/>
    </row>
    <row r="123" spans="2:26" ht="15">
      <c r="B123" s="177"/>
      <c r="D123" s="49"/>
      <c r="E123" s="49"/>
      <c r="F123" s="49"/>
      <c r="G123" s="49"/>
      <c r="I123" s="51"/>
      <c r="X123" s="178"/>
      <c r="Z123" s="59"/>
    </row>
    <row r="124" spans="2:26" ht="15">
      <c r="B124" s="177"/>
      <c r="D124" s="49"/>
      <c r="E124" s="49"/>
      <c r="F124" s="49"/>
      <c r="G124" s="49"/>
      <c r="I124" s="51"/>
      <c r="X124" s="178"/>
      <c r="Z124" s="59"/>
    </row>
    <row r="125" spans="2:26" ht="15">
      <c r="B125" s="177"/>
      <c r="D125" s="49"/>
      <c r="E125" s="49"/>
      <c r="F125" s="49"/>
      <c r="G125" s="49"/>
      <c r="I125" s="51"/>
      <c r="X125" s="178"/>
      <c r="Z125" s="59"/>
    </row>
    <row r="126" spans="2:26" ht="15">
      <c r="B126" s="177"/>
      <c r="D126" s="49"/>
      <c r="E126" s="49"/>
      <c r="F126" s="49"/>
      <c r="G126" s="49"/>
      <c r="I126" s="51"/>
      <c r="X126" s="178"/>
      <c r="Z126" s="59"/>
    </row>
    <row r="127" spans="2:26" ht="15">
      <c r="B127" s="177"/>
      <c r="D127" s="49"/>
      <c r="E127" s="49"/>
      <c r="F127" s="49"/>
      <c r="G127" s="49"/>
      <c r="I127" s="51"/>
      <c r="X127" s="178"/>
      <c r="Z127" s="59"/>
    </row>
    <row r="128" spans="2:26" ht="15">
      <c r="B128" s="177"/>
      <c r="D128" s="49"/>
      <c r="E128" s="49"/>
      <c r="F128" s="49"/>
      <c r="G128" s="49"/>
      <c r="I128" s="51"/>
      <c r="X128" s="178"/>
      <c r="Z128" s="59"/>
    </row>
    <row r="129" spans="2:26" ht="15">
      <c r="B129" s="177"/>
      <c r="D129" s="49"/>
      <c r="E129" s="49"/>
      <c r="F129" s="49"/>
      <c r="G129" s="49"/>
      <c r="I129" s="51"/>
      <c r="X129" s="178"/>
      <c r="Z129" s="59"/>
    </row>
    <row r="130" spans="2:26" ht="15">
      <c r="B130" s="177"/>
      <c r="D130" s="49"/>
      <c r="E130" s="49"/>
      <c r="F130" s="49"/>
      <c r="G130" s="49"/>
      <c r="I130" s="51"/>
      <c r="X130" s="178"/>
      <c r="Z130" s="59"/>
    </row>
    <row r="131" spans="2:26" ht="15">
      <c r="B131" s="177"/>
      <c r="D131" s="49"/>
      <c r="E131" s="49"/>
      <c r="F131" s="49"/>
      <c r="G131" s="49"/>
      <c r="I131" s="51"/>
      <c r="X131" s="178"/>
      <c r="Z131" s="59"/>
    </row>
    <row r="132" spans="2:26" ht="15">
      <c r="B132" s="177"/>
      <c r="D132" s="49"/>
      <c r="E132" s="49"/>
      <c r="F132" s="49"/>
      <c r="G132" s="49"/>
      <c r="I132" s="51"/>
      <c r="X132" s="178"/>
      <c r="Z132" s="59"/>
    </row>
    <row r="133" spans="2:26" ht="15">
      <c r="B133" s="177"/>
      <c r="D133" s="49"/>
      <c r="E133" s="49"/>
      <c r="F133" s="49"/>
      <c r="G133" s="49"/>
      <c r="I133" s="51"/>
      <c r="X133" s="178"/>
      <c r="Z133" s="59"/>
    </row>
    <row r="134" spans="2:26" ht="15">
      <c r="B134" s="177"/>
      <c r="D134" s="49"/>
      <c r="E134" s="49"/>
      <c r="F134" s="49"/>
      <c r="G134" s="49"/>
      <c r="I134" s="51"/>
      <c r="X134" s="178"/>
      <c r="Z134" s="59"/>
    </row>
    <row r="135" spans="2:26" ht="15">
      <c r="B135" s="177"/>
      <c r="D135" s="49"/>
      <c r="E135" s="49"/>
      <c r="F135" s="49"/>
      <c r="G135" s="49"/>
      <c r="I135" s="51"/>
      <c r="X135" s="178"/>
      <c r="Z135" s="59"/>
    </row>
    <row r="136" spans="2:26" ht="15">
      <c r="B136" s="177"/>
      <c r="D136" s="49"/>
      <c r="E136" s="49"/>
      <c r="F136" s="49"/>
      <c r="G136" s="49"/>
      <c r="I136" s="51"/>
      <c r="X136" s="178"/>
      <c r="Z136" s="59"/>
    </row>
    <row r="137" spans="2:26" ht="15">
      <c r="B137" s="177"/>
      <c r="D137" s="49"/>
      <c r="E137" s="49"/>
      <c r="F137" s="49"/>
      <c r="G137" s="49"/>
      <c r="I137" s="51"/>
      <c r="X137" s="178"/>
      <c r="Z137" s="59"/>
    </row>
    <row r="138" spans="2:26" ht="15">
      <c r="B138" s="177"/>
      <c r="D138" s="49"/>
      <c r="E138" s="49"/>
      <c r="F138" s="49"/>
      <c r="G138" s="49"/>
      <c r="I138" s="51"/>
      <c r="X138" s="178"/>
      <c r="Z138" s="59"/>
    </row>
    <row r="139" spans="2:26" ht="15">
      <c r="B139" s="177"/>
      <c r="D139" s="49"/>
      <c r="E139" s="49"/>
      <c r="F139" s="49"/>
      <c r="G139" s="49"/>
      <c r="I139" s="51"/>
      <c r="X139" s="178"/>
      <c r="Z139" s="59"/>
    </row>
    <row r="140" spans="2:26" ht="15">
      <c r="B140" s="177"/>
      <c r="D140" s="49"/>
      <c r="E140" s="49"/>
      <c r="F140" s="49"/>
      <c r="G140" s="49"/>
      <c r="I140" s="51"/>
      <c r="X140" s="178"/>
      <c r="Z140" s="59"/>
    </row>
    <row r="141" spans="2:26" ht="15">
      <c r="B141" s="177"/>
      <c r="D141" s="49"/>
      <c r="E141" s="49"/>
      <c r="F141" s="49"/>
      <c r="G141" s="49"/>
      <c r="I141" s="51"/>
      <c r="X141" s="178"/>
      <c r="Z141" s="59"/>
    </row>
    <row r="142" spans="2:26" ht="15">
      <c r="B142" s="177"/>
      <c r="D142" s="49"/>
      <c r="E142" s="49"/>
      <c r="F142" s="49"/>
      <c r="G142" s="49"/>
      <c r="I142" s="51"/>
      <c r="X142" s="178"/>
      <c r="Z142" s="59"/>
    </row>
    <row r="143" spans="2:26" ht="15">
      <c r="B143" s="177"/>
      <c r="D143" s="49"/>
      <c r="E143" s="49"/>
      <c r="F143" s="49"/>
      <c r="G143" s="49"/>
      <c r="I143" s="51"/>
      <c r="X143" s="178"/>
      <c r="Z143" s="59"/>
    </row>
    <row r="144" spans="2:26" ht="15">
      <c r="B144" s="177"/>
      <c r="D144" s="49"/>
      <c r="E144" s="49"/>
      <c r="F144" s="49"/>
      <c r="G144" s="49"/>
      <c r="I144" s="51"/>
      <c r="X144" s="178"/>
      <c r="Z144" s="59"/>
    </row>
    <row r="145" spans="2:26" ht="15">
      <c r="B145" s="177"/>
      <c r="D145" s="49"/>
      <c r="E145" s="49"/>
      <c r="F145" s="49"/>
      <c r="G145" s="49"/>
      <c r="I145" s="51"/>
      <c r="X145" s="178"/>
      <c r="Z145" s="59"/>
    </row>
    <row r="146" spans="2:26" ht="15">
      <c r="B146" s="177"/>
      <c r="D146" s="49"/>
      <c r="E146" s="49"/>
      <c r="F146" s="49"/>
      <c r="G146" s="49"/>
      <c r="I146" s="51"/>
      <c r="X146" s="178"/>
      <c r="Z146" s="59"/>
    </row>
    <row r="147" spans="2:26" ht="15">
      <c r="B147" s="177"/>
      <c r="D147" s="49"/>
      <c r="E147" s="49"/>
      <c r="F147" s="49"/>
      <c r="G147" s="49"/>
      <c r="I147" s="51"/>
      <c r="X147" s="178"/>
      <c r="Z147" s="59"/>
    </row>
    <row r="148" spans="2:26" ht="15">
      <c r="B148" s="177"/>
      <c r="D148" s="49"/>
      <c r="E148" s="49"/>
      <c r="F148" s="49"/>
      <c r="G148" s="49"/>
      <c r="I148" s="51"/>
      <c r="X148" s="178"/>
      <c r="Z148" s="59"/>
    </row>
    <row r="149" spans="2:26" ht="15">
      <c r="B149" s="177"/>
      <c r="D149" s="49"/>
      <c r="E149" s="49"/>
      <c r="F149" s="49"/>
      <c r="G149" s="49"/>
      <c r="I149" s="51"/>
      <c r="X149" s="178"/>
      <c r="Z149" s="59"/>
    </row>
    <row r="150" spans="2:26" ht="15">
      <c r="B150" s="177"/>
      <c r="D150" s="49"/>
      <c r="E150" s="49"/>
      <c r="F150" s="49"/>
      <c r="G150" s="49"/>
      <c r="I150" s="51"/>
      <c r="X150" s="178"/>
      <c r="Z150" s="59"/>
    </row>
    <row r="151" spans="2:26" ht="15">
      <c r="B151" s="177"/>
      <c r="D151" s="49"/>
      <c r="E151" s="49"/>
      <c r="F151" s="49"/>
      <c r="G151" s="49"/>
      <c r="I151" s="51"/>
      <c r="X151" s="178"/>
      <c r="Z151" s="59"/>
    </row>
    <row r="152" spans="2:26" ht="15">
      <c r="B152" s="177"/>
      <c r="D152" s="49"/>
      <c r="E152" s="49"/>
      <c r="F152" s="49"/>
      <c r="G152" s="49"/>
      <c r="I152" s="51"/>
      <c r="X152" s="178"/>
      <c r="Z152" s="59"/>
    </row>
    <row r="153" spans="2:26" ht="15">
      <c r="B153" s="177"/>
      <c r="D153" s="49"/>
      <c r="E153" s="49"/>
      <c r="F153" s="49"/>
      <c r="G153" s="49"/>
      <c r="I153" s="51"/>
      <c r="X153" s="178"/>
      <c r="Z153" s="59"/>
    </row>
    <row r="154" spans="2:26" ht="15">
      <c r="B154" s="177"/>
      <c r="D154" s="49"/>
      <c r="E154" s="49"/>
      <c r="F154" s="49"/>
      <c r="G154" s="49"/>
      <c r="I154" s="51"/>
      <c r="X154" s="178"/>
      <c r="Z154" s="59"/>
    </row>
    <row r="155" spans="2:26" ht="15">
      <c r="B155" s="177"/>
      <c r="D155" s="49"/>
      <c r="E155" s="49"/>
      <c r="F155" s="49"/>
      <c r="G155" s="49"/>
      <c r="I155" s="51"/>
      <c r="X155" s="178"/>
      <c r="Z155" s="59"/>
    </row>
    <row r="156" spans="2:26" ht="15">
      <c r="B156" s="177"/>
      <c r="D156" s="49"/>
      <c r="E156" s="49"/>
      <c r="F156" s="49"/>
      <c r="G156" s="49"/>
      <c r="I156" s="51"/>
      <c r="X156" s="178"/>
      <c r="Z156" s="59"/>
    </row>
    <row r="157" spans="2:26" ht="15">
      <c r="B157" s="177"/>
      <c r="D157" s="49"/>
      <c r="E157" s="49"/>
      <c r="F157" s="49"/>
      <c r="G157" s="49"/>
      <c r="I157" s="51"/>
      <c r="X157" s="178"/>
      <c r="Z157" s="59"/>
    </row>
    <row r="158" spans="2:26" ht="15">
      <c r="B158" s="177"/>
      <c r="D158" s="49"/>
      <c r="E158" s="49"/>
      <c r="F158" s="49"/>
      <c r="G158" s="49"/>
      <c r="I158" s="51"/>
      <c r="X158" s="178"/>
      <c r="Z158" s="59"/>
    </row>
    <row r="159" spans="2:26" ht="15">
      <c r="B159" s="177"/>
      <c r="D159" s="49"/>
      <c r="E159" s="49"/>
      <c r="F159" s="49"/>
      <c r="G159" s="49"/>
      <c r="I159" s="51"/>
      <c r="X159" s="178"/>
      <c r="Z159" s="59"/>
    </row>
    <row r="160" spans="2:26" ht="15">
      <c r="B160" s="177"/>
      <c r="D160" s="49"/>
      <c r="E160" s="49"/>
      <c r="F160" s="49"/>
      <c r="G160" s="49"/>
      <c r="I160" s="51"/>
      <c r="X160" s="178"/>
      <c r="Z160" s="59"/>
    </row>
    <row r="161" spans="2:26" ht="15">
      <c r="B161" s="177"/>
      <c r="D161" s="49"/>
      <c r="E161" s="49"/>
      <c r="F161" s="49"/>
      <c r="G161" s="49"/>
      <c r="I161" s="51"/>
      <c r="X161" s="178"/>
      <c r="Z161" s="59"/>
    </row>
    <row r="162" spans="2:26" ht="15">
      <c r="B162" s="177"/>
      <c r="D162" s="49"/>
      <c r="E162" s="49"/>
      <c r="F162" s="49"/>
      <c r="G162" s="49"/>
      <c r="I162" s="51"/>
      <c r="X162" s="178"/>
      <c r="Z162" s="59"/>
    </row>
    <row r="163" spans="2:26" ht="15">
      <c r="B163" s="177"/>
      <c r="D163" s="49"/>
      <c r="E163" s="49"/>
      <c r="F163" s="49"/>
      <c r="G163" s="49"/>
      <c r="I163" s="51"/>
      <c r="X163" s="178"/>
      <c r="Z163" s="59"/>
    </row>
    <row r="164" spans="2:26" ht="15">
      <c r="B164" s="177"/>
      <c r="D164" s="49"/>
      <c r="E164" s="49"/>
      <c r="F164" s="49"/>
      <c r="G164" s="49"/>
      <c r="I164" s="51"/>
      <c r="X164" s="178"/>
      <c r="Z164" s="59"/>
    </row>
    <row r="165" spans="2:26" ht="15">
      <c r="B165" s="177"/>
      <c r="D165" s="49"/>
      <c r="E165" s="49"/>
      <c r="F165" s="49"/>
      <c r="G165" s="49"/>
      <c r="I165" s="51"/>
      <c r="X165" s="178"/>
      <c r="Z165" s="59"/>
    </row>
    <row r="166" spans="2:26" ht="15">
      <c r="B166" s="177"/>
      <c r="D166" s="49"/>
      <c r="E166" s="49"/>
      <c r="F166" s="49"/>
      <c r="G166" s="49"/>
      <c r="I166" s="51"/>
      <c r="X166" s="178"/>
      <c r="Z166" s="59"/>
    </row>
    <row r="167" spans="2:26" ht="15">
      <c r="B167" s="177"/>
      <c r="D167" s="49"/>
      <c r="E167" s="49"/>
      <c r="F167" s="49"/>
      <c r="G167" s="49"/>
      <c r="I167" s="51"/>
      <c r="X167" s="178"/>
      <c r="Z167" s="59"/>
    </row>
    <row r="168" spans="2:26" ht="15">
      <c r="B168" s="177"/>
      <c r="D168" s="49"/>
      <c r="E168" s="49"/>
      <c r="F168" s="49"/>
      <c r="G168" s="49"/>
      <c r="I168" s="51"/>
      <c r="X168" s="178"/>
      <c r="Z168" s="59"/>
    </row>
    <row r="169" spans="2:26" ht="15">
      <c r="B169" s="177"/>
      <c r="D169" s="49"/>
      <c r="E169" s="49"/>
      <c r="F169" s="49"/>
      <c r="G169" s="49"/>
      <c r="I169" s="51"/>
      <c r="X169" s="178"/>
      <c r="Z169" s="59"/>
    </row>
    <row r="170" spans="2:26" ht="15">
      <c r="B170" s="177"/>
      <c r="D170" s="49"/>
      <c r="E170" s="49"/>
      <c r="F170" s="49"/>
      <c r="G170" s="49"/>
      <c r="I170" s="51"/>
      <c r="X170" s="178"/>
      <c r="Z170" s="59"/>
    </row>
    <row r="171" spans="2:26" ht="15">
      <c r="B171" s="177"/>
      <c r="D171" s="49"/>
      <c r="E171" s="49"/>
      <c r="F171" s="49"/>
      <c r="G171" s="49"/>
      <c r="I171" s="51"/>
      <c r="X171" s="178"/>
      <c r="Z171" s="59"/>
    </row>
    <row r="172" spans="2:26" ht="15">
      <c r="B172" s="177"/>
      <c r="D172" s="49"/>
      <c r="E172" s="49"/>
      <c r="F172" s="49"/>
      <c r="G172" s="49"/>
      <c r="I172" s="51"/>
      <c r="X172" s="178"/>
      <c r="Z172" s="59"/>
    </row>
    <row r="173" spans="2:26" ht="15">
      <c r="B173" s="177"/>
      <c r="D173" s="49"/>
      <c r="E173" s="49"/>
      <c r="F173" s="49"/>
      <c r="G173" s="49"/>
      <c r="I173" s="51"/>
      <c r="X173" s="178"/>
      <c r="Z173" s="59"/>
    </row>
    <row r="174" spans="2:26" ht="15">
      <c r="B174" s="177"/>
      <c r="D174" s="49"/>
      <c r="E174" s="49"/>
      <c r="F174" s="49"/>
      <c r="G174" s="49"/>
      <c r="I174" s="51"/>
      <c r="X174" s="178"/>
      <c r="Z174" s="59"/>
    </row>
    <row r="175" spans="2:26" ht="15">
      <c r="B175" s="177"/>
      <c r="D175" s="49"/>
      <c r="E175" s="49"/>
      <c r="F175" s="49"/>
      <c r="G175" s="49"/>
      <c r="I175" s="51"/>
      <c r="X175" s="178"/>
      <c r="Z175" s="59"/>
    </row>
    <row r="176" spans="2:26" ht="15">
      <c r="B176" s="177"/>
      <c r="D176" s="49"/>
      <c r="E176" s="49"/>
      <c r="F176" s="49"/>
      <c r="G176" s="49"/>
      <c r="I176" s="51"/>
      <c r="X176" s="178"/>
      <c r="Z176" s="59"/>
    </row>
    <row r="177" spans="2:26" ht="15">
      <c r="B177" s="177"/>
      <c r="D177" s="49"/>
      <c r="E177" s="49"/>
      <c r="F177" s="49"/>
      <c r="G177" s="49"/>
      <c r="I177" s="51"/>
      <c r="X177" s="178"/>
      <c r="Z177" s="59"/>
    </row>
    <row r="178" spans="2:26" ht="15">
      <c r="B178" s="177"/>
      <c r="D178" s="49"/>
      <c r="E178" s="49"/>
      <c r="F178" s="49"/>
      <c r="G178" s="49"/>
      <c r="I178" s="51"/>
      <c r="X178" s="178"/>
      <c r="Z178" s="59"/>
    </row>
    <row r="179" spans="2:26" ht="15">
      <c r="B179" s="177"/>
      <c r="D179" s="49"/>
      <c r="E179" s="49"/>
      <c r="F179" s="49"/>
      <c r="G179" s="49"/>
      <c r="I179" s="51"/>
      <c r="X179" s="178"/>
      <c r="Z179" s="59"/>
    </row>
    <row r="180" spans="2:26" ht="15">
      <c r="B180" s="177"/>
      <c r="D180" s="49"/>
      <c r="E180" s="49"/>
      <c r="F180" s="49"/>
      <c r="G180" s="49"/>
      <c r="I180" s="51"/>
      <c r="X180" s="178"/>
      <c r="Z180" s="59"/>
    </row>
    <row r="181" spans="2:26" ht="15">
      <c r="B181" s="177"/>
      <c r="D181" s="49"/>
      <c r="E181" s="49"/>
      <c r="F181" s="49"/>
      <c r="G181" s="49"/>
      <c r="I181" s="51"/>
      <c r="X181" s="178"/>
      <c r="Z181" s="59"/>
    </row>
    <row r="182" spans="2:26" ht="15">
      <c r="B182" s="177"/>
      <c r="D182" s="49"/>
      <c r="E182" s="49"/>
      <c r="F182" s="49"/>
      <c r="G182" s="49"/>
      <c r="I182" s="51"/>
      <c r="X182" s="178"/>
      <c r="Z182" s="59"/>
    </row>
    <row r="183" spans="2:26" ht="15">
      <c r="B183" s="177"/>
      <c r="D183" s="49"/>
      <c r="E183" s="49"/>
      <c r="F183" s="49"/>
      <c r="G183" s="49"/>
      <c r="I183" s="51"/>
      <c r="X183" s="178"/>
      <c r="Z183" s="59"/>
    </row>
    <row r="184" spans="2:26" ht="15">
      <c r="B184" s="177"/>
      <c r="D184" s="49"/>
      <c r="E184" s="49"/>
      <c r="F184" s="49"/>
      <c r="G184" s="49"/>
      <c r="I184" s="51"/>
      <c r="X184" s="178"/>
      <c r="Z184" s="59"/>
    </row>
    <row r="185" spans="2:26" ht="15">
      <c r="B185" s="177"/>
      <c r="D185" s="49"/>
      <c r="E185" s="49"/>
      <c r="F185" s="49"/>
      <c r="G185" s="49"/>
      <c r="I185" s="51"/>
      <c r="X185" s="178"/>
      <c r="Z185" s="59"/>
    </row>
    <row r="186" spans="2:26" ht="15">
      <c r="B186" s="177"/>
      <c r="D186" s="49"/>
      <c r="E186" s="49"/>
      <c r="F186" s="49"/>
      <c r="G186" s="49"/>
      <c r="I186" s="51"/>
      <c r="X186" s="178"/>
      <c r="Z186" s="59"/>
    </row>
    <row r="187" spans="2:26" ht="15">
      <c r="B187" s="177"/>
      <c r="D187" s="49"/>
      <c r="E187" s="49"/>
      <c r="F187" s="49"/>
      <c r="G187" s="49"/>
      <c r="I187" s="51"/>
      <c r="X187" s="178"/>
      <c r="Z187" s="59"/>
    </row>
    <row r="188" spans="2:26" ht="15">
      <c r="B188" s="177"/>
      <c r="D188" s="49"/>
      <c r="E188" s="49"/>
      <c r="F188" s="49"/>
      <c r="G188" s="49"/>
      <c r="I188" s="51"/>
      <c r="X188" s="178"/>
      <c r="Z188" s="59"/>
    </row>
    <row r="189" spans="2:26" ht="15">
      <c r="B189" s="177"/>
      <c r="D189" s="49"/>
      <c r="E189" s="49"/>
      <c r="F189" s="49"/>
      <c r="G189" s="49"/>
      <c r="I189" s="51"/>
      <c r="X189" s="178"/>
      <c r="Z189" s="59"/>
    </row>
    <row r="190" spans="2:26" ht="15">
      <c r="B190" s="177"/>
      <c r="D190" s="49"/>
      <c r="E190" s="49"/>
      <c r="F190" s="49"/>
      <c r="G190" s="49"/>
      <c r="I190" s="51"/>
      <c r="X190" s="178"/>
      <c r="Z190" s="59"/>
    </row>
    <row r="191" spans="2:26" ht="15">
      <c r="B191" s="177"/>
      <c r="D191" s="49"/>
      <c r="E191" s="49"/>
      <c r="F191" s="49"/>
      <c r="G191" s="49"/>
      <c r="I191" s="51"/>
      <c r="X191" s="178"/>
      <c r="Z191" s="59"/>
    </row>
    <row r="192" spans="2:26" ht="15">
      <c r="B192" s="177"/>
      <c r="D192" s="49"/>
      <c r="E192" s="49"/>
      <c r="F192" s="49"/>
      <c r="G192" s="49"/>
      <c r="I192" s="51"/>
      <c r="X192" s="178"/>
      <c r="Z192" s="59"/>
    </row>
    <row r="193" spans="2:26" ht="15">
      <c r="B193" s="177"/>
      <c r="D193" s="49"/>
      <c r="E193" s="49"/>
      <c r="F193" s="49"/>
      <c r="G193" s="49"/>
      <c r="I193" s="51"/>
      <c r="X193" s="178"/>
      <c r="Z193" s="59"/>
    </row>
    <row r="194" spans="2:26" ht="15">
      <c r="B194" s="177"/>
      <c r="D194" s="49"/>
      <c r="E194" s="49"/>
      <c r="F194" s="49"/>
      <c r="G194" s="49"/>
      <c r="I194" s="51"/>
      <c r="X194" s="178"/>
      <c r="Z194" s="59"/>
    </row>
    <row r="195" spans="2:26" ht="15">
      <c r="B195" s="177"/>
      <c r="D195" s="49"/>
      <c r="E195" s="49"/>
      <c r="F195" s="49"/>
      <c r="G195" s="49"/>
      <c r="I195" s="51"/>
      <c r="X195" s="178"/>
      <c r="Z195" s="59"/>
    </row>
    <row r="196" spans="2:26" ht="15">
      <c r="B196" s="177"/>
      <c r="D196" s="49"/>
      <c r="E196" s="49"/>
      <c r="F196" s="49"/>
      <c r="G196" s="49"/>
      <c r="I196" s="51"/>
      <c r="X196" s="178"/>
      <c r="Z196" s="59"/>
    </row>
    <row r="197" spans="2:26" ht="15">
      <c r="B197" s="177"/>
      <c r="D197" s="49"/>
      <c r="E197" s="49"/>
      <c r="F197" s="49"/>
      <c r="G197" s="49"/>
      <c r="I197" s="51"/>
      <c r="X197" s="178"/>
      <c r="Z197" s="59"/>
    </row>
    <row r="198" spans="2:26" ht="15">
      <c r="B198" s="177"/>
      <c r="D198" s="49"/>
      <c r="E198" s="49"/>
      <c r="F198" s="49"/>
      <c r="G198" s="49"/>
      <c r="I198" s="51"/>
      <c r="X198" s="178"/>
      <c r="Z198" s="59"/>
    </row>
    <row r="199" spans="2:26" ht="15">
      <c r="B199" s="177"/>
      <c r="D199" s="49"/>
      <c r="E199" s="49"/>
      <c r="F199" s="49"/>
      <c r="G199" s="49"/>
      <c r="I199" s="51"/>
      <c r="X199" s="178"/>
      <c r="Z199" s="59"/>
    </row>
    <row r="200" spans="2:26" ht="15">
      <c r="B200" s="177"/>
      <c r="D200" s="49"/>
      <c r="E200" s="49"/>
      <c r="F200" s="49"/>
      <c r="G200" s="49"/>
      <c r="I200" s="51"/>
      <c r="X200" s="178"/>
      <c r="Z200" s="59"/>
    </row>
    <row r="201" spans="2:26" ht="15">
      <c r="B201" s="177"/>
      <c r="D201" s="49"/>
      <c r="E201" s="49"/>
      <c r="F201" s="49"/>
      <c r="G201" s="49"/>
      <c r="I201" s="51"/>
      <c r="X201" s="178"/>
      <c r="Z201" s="59"/>
    </row>
    <row r="202" spans="2:26" ht="15">
      <c r="B202" s="177"/>
      <c r="D202" s="49"/>
      <c r="E202" s="49"/>
      <c r="F202" s="49"/>
      <c r="G202" s="49"/>
      <c r="I202" s="51"/>
      <c r="X202" s="178"/>
      <c r="Z202" s="59"/>
    </row>
    <row r="203" spans="2:26" ht="15">
      <c r="B203" s="177"/>
      <c r="D203" s="49"/>
      <c r="E203" s="49"/>
      <c r="F203" s="49"/>
      <c r="G203" s="49"/>
      <c r="I203" s="51"/>
      <c r="X203" s="178"/>
      <c r="Z203" s="59"/>
    </row>
    <row r="204" spans="2:26" ht="15">
      <c r="B204" s="177"/>
      <c r="D204" s="49"/>
      <c r="E204" s="49"/>
      <c r="F204" s="49"/>
      <c r="G204" s="49"/>
      <c r="I204" s="51"/>
      <c r="X204" s="178"/>
      <c r="Z204" s="59"/>
    </row>
    <row r="205" spans="2:26" ht="15">
      <c r="B205" s="177"/>
      <c r="D205" s="49"/>
      <c r="E205" s="49"/>
      <c r="F205" s="49"/>
      <c r="G205" s="49"/>
      <c r="I205" s="51"/>
      <c r="X205" s="178"/>
      <c r="Z205" s="59"/>
    </row>
    <row r="206" spans="2:26" ht="15">
      <c r="B206" s="177"/>
      <c r="D206" s="49"/>
      <c r="E206" s="49"/>
      <c r="F206" s="49"/>
      <c r="G206" s="49"/>
      <c r="I206" s="51"/>
      <c r="X206" s="178"/>
      <c r="Z206" s="59"/>
    </row>
    <row r="207" spans="2:26" ht="15">
      <c r="B207" s="177"/>
      <c r="D207" s="49"/>
      <c r="E207" s="49"/>
      <c r="F207" s="49"/>
      <c r="G207" s="49"/>
      <c r="I207" s="51"/>
      <c r="X207" s="178"/>
      <c r="Z207" s="59"/>
    </row>
    <row r="208" spans="2:26" ht="15">
      <c r="B208" s="177"/>
      <c r="D208" s="49"/>
      <c r="E208" s="49"/>
      <c r="F208" s="49"/>
      <c r="G208" s="49"/>
      <c r="I208" s="51"/>
      <c r="X208" s="178"/>
      <c r="Z208" s="59"/>
    </row>
    <row r="209" spans="2:26" ht="15">
      <c r="B209" s="177"/>
      <c r="D209" s="49"/>
      <c r="E209" s="49"/>
      <c r="F209" s="49"/>
      <c r="G209" s="49"/>
      <c r="I209" s="51"/>
      <c r="X209" s="178"/>
      <c r="Z209" s="59"/>
    </row>
    <row r="210" spans="2:26" ht="15">
      <c r="B210" s="177"/>
      <c r="D210" s="49"/>
      <c r="E210" s="49"/>
      <c r="F210" s="49"/>
      <c r="G210" s="49"/>
      <c r="I210" s="51"/>
      <c r="X210" s="178"/>
      <c r="Z210" s="59"/>
    </row>
    <row r="211" spans="2:26" ht="15">
      <c r="B211" s="177"/>
      <c r="D211" s="49"/>
      <c r="E211" s="49"/>
      <c r="F211" s="49"/>
      <c r="G211" s="49"/>
      <c r="I211" s="51"/>
      <c r="X211" s="178"/>
      <c r="Z211" s="59"/>
    </row>
    <row r="212" spans="2:26" ht="15">
      <c r="B212" s="177"/>
      <c r="D212" s="49"/>
      <c r="E212" s="49"/>
      <c r="F212" s="49"/>
      <c r="G212" s="49"/>
      <c r="I212" s="51"/>
      <c r="X212" s="178"/>
      <c r="Z212" s="59"/>
    </row>
    <row r="213" spans="2:26" ht="15">
      <c r="B213" s="177"/>
      <c r="D213" s="49"/>
      <c r="E213" s="49"/>
      <c r="F213" s="49"/>
      <c r="G213" s="49"/>
      <c r="I213" s="51"/>
      <c r="X213" s="178"/>
      <c r="Z213" s="59"/>
    </row>
    <row r="214" spans="2:26" ht="15">
      <c r="B214" s="177"/>
      <c r="D214" s="49"/>
      <c r="E214" s="49"/>
      <c r="F214" s="49"/>
      <c r="G214" s="49"/>
      <c r="I214" s="51"/>
      <c r="X214" s="178"/>
      <c r="Z214" s="59"/>
    </row>
    <row r="215" spans="2:26" ht="15">
      <c r="B215" s="177"/>
      <c r="D215" s="49"/>
      <c r="E215" s="49"/>
      <c r="F215" s="49"/>
      <c r="G215" s="49"/>
      <c r="I215" s="51"/>
      <c r="X215" s="178"/>
      <c r="Z215" s="59"/>
    </row>
    <row r="216" spans="2:26" ht="15">
      <c r="B216" s="177"/>
      <c r="D216" s="49"/>
      <c r="E216" s="49"/>
      <c r="F216" s="49"/>
      <c r="G216" s="49"/>
      <c r="I216" s="51"/>
      <c r="X216" s="178"/>
      <c r="Z216" s="59"/>
    </row>
    <row r="217" spans="2:26" ht="15">
      <c r="B217" s="177"/>
      <c r="D217" s="49"/>
      <c r="E217" s="49"/>
      <c r="F217" s="49"/>
      <c r="G217" s="49"/>
      <c r="I217" s="51"/>
      <c r="X217" s="178"/>
      <c r="Z217" s="59"/>
    </row>
    <row r="218" spans="2:26" ht="15">
      <c r="B218" s="177"/>
      <c r="D218" s="49"/>
      <c r="E218" s="49"/>
      <c r="F218" s="49"/>
      <c r="G218" s="49"/>
      <c r="I218" s="51"/>
      <c r="X218" s="178"/>
      <c r="Z218" s="59"/>
    </row>
    <row r="219" spans="2:26" ht="15">
      <c r="B219" s="177"/>
      <c r="D219" s="49"/>
      <c r="E219" s="49"/>
      <c r="F219" s="49"/>
      <c r="G219" s="49"/>
      <c r="I219" s="51"/>
      <c r="X219" s="178"/>
      <c r="Z219" s="59"/>
    </row>
    <row r="220" spans="2:26" ht="15">
      <c r="B220" s="177"/>
      <c r="D220" s="49"/>
      <c r="E220" s="49"/>
      <c r="F220" s="49"/>
      <c r="G220" s="49"/>
      <c r="I220" s="51"/>
      <c r="X220" s="178"/>
      <c r="Z220" s="59"/>
    </row>
    <row r="221" spans="2:26" ht="15">
      <c r="B221" s="177"/>
      <c r="D221" s="49"/>
      <c r="E221" s="49"/>
      <c r="F221" s="49"/>
      <c r="G221" s="49"/>
      <c r="I221" s="51"/>
      <c r="X221" s="178"/>
      <c r="Z221" s="59"/>
    </row>
    <row r="222" spans="2:26" ht="15">
      <c r="B222" s="177"/>
      <c r="D222" s="49"/>
      <c r="E222" s="49"/>
      <c r="F222" s="49"/>
      <c r="G222" s="49"/>
      <c r="I222" s="51"/>
      <c r="X222" s="178"/>
      <c r="Z222" s="59"/>
    </row>
    <row r="223" spans="2:26" ht="15">
      <c r="B223" s="177"/>
      <c r="D223" s="49"/>
      <c r="E223" s="49"/>
      <c r="F223" s="49"/>
      <c r="G223" s="49"/>
      <c r="I223" s="51"/>
      <c r="X223" s="178"/>
      <c r="Z223" s="59"/>
    </row>
    <row r="224" spans="2:26" ht="15">
      <c r="B224" s="177"/>
      <c r="D224" s="49"/>
      <c r="E224" s="49"/>
      <c r="F224" s="49"/>
      <c r="G224" s="49"/>
      <c r="I224" s="51"/>
      <c r="X224" s="178"/>
      <c r="Z224" s="59"/>
    </row>
    <row r="225" spans="2:26" ht="15">
      <c r="B225" s="177"/>
      <c r="D225" s="49"/>
      <c r="E225" s="49"/>
      <c r="F225" s="49"/>
      <c r="G225" s="49"/>
      <c r="I225" s="51"/>
      <c r="X225" s="178"/>
      <c r="Z225" s="59"/>
    </row>
    <row r="226" spans="2:26" ht="15">
      <c r="B226" s="177"/>
      <c r="D226" s="49"/>
      <c r="E226" s="49"/>
      <c r="F226" s="49"/>
      <c r="G226" s="49"/>
      <c r="I226" s="51"/>
      <c r="X226" s="178"/>
      <c r="Z226" s="59"/>
    </row>
    <row r="227" spans="2:26" ht="15">
      <c r="B227" s="177"/>
      <c r="D227" s="49"/>
      <c r="E227" s="49"/>
      <c r="F227" s="49"/>
      <c r="G227" s="49"/>
      <c r="I227" s="51"/>
      <c r="X227" s="178"/>
      <c r="Z227" s="59"/>
    </row>
    <row r="228" spans="2:26" ht="15">
      <c r="B228" s="177"/>
      <c r="D228" s="49"/>
      <c r="E228" s="49"/>
      <c r="F228" s="49"/>
      <c r="G228" s="49"/>
      <c r="I228" s="51"/>
      <c r="X228" s="178"/>
      <c r="Z228" s="59"/>
    </row>
    <row r="229" spans="2:26" ht="15">
      <c r="B229" s="177"/>
      <c r="D229" s="49"/>
      <c r="E229" s="49"/>
      <c r="F229" s="49"/>
      <c r="G229" s="49"/>
      <c r="I229" s="51"/>
      <c r="X229" s="178"/>
      <c r="Z229" s="59"/>
    </row>
    <row r="230" spans="2:26" ht="15">
      <c r="B230" s="177"/>
      <c r="D230" s="49"/>
      <c r="E230" s="49"/>
      <c r="F230" s="49"/>
      <c r="G230" s="49"/>
      <c r="I230" s="51"/>
      <c r="X230" s="178"/>
      <c r="Z230" s="59"/>
    </row>
    <row r="231" spans="2:26" ht="15">
      <c r="B231" s="177"/>
      <c r="D231" s="49"/>
      <c r="E231" s="49"/>
      <c r="F231" s="49"/>
      <c r="G231" s="49"/>
      <c r="I231" s="51"/>
      <c r="X231" s="178"/>
      <c r="Z231" s="59"/>
    </row>
    <row r="232" spans="2:26" ht="15">
      <c r="B232" s="177"/>
      <c r="D232" s="49"/>
      <c r="E232" s="49"/>
      <c r="F232" s="49"/>
      <c r="G232" s="49"/>
      <c r="I232" s="51"/>
      <c r="X232" s="178"/>
      <c r="Z232" s="59"/>
    </row>
    <row r="233" spans="2:26" ht="15">
      <c r="B233" s="177"/>
      <c r="D233" s="49"/>
      <c r="E233" s="49"/>
      <c r="F233" s="49"/>
      <c r="G233" s="49"/>
      <c r="I233" s="51"/>
      <c r="X233" s="178"/>
      <c r="Z233" s="59"/>
    </row>
    <row r="234" spans="2:26" ht="15">
      <c r="B234" s="177"/>
      <c r="D234" s="49"/>
      <c r="E234" s="49"/>
      <c r="F234" s="49"/>
      <c r="G234" s="49"/>
      <c r="I234" s="51"/>
      <c r="X234" s="178"/>
      <c r="Z234" s="59"/>
    </row>
    <row r="235" spans="2:26" ht="15">
      <c r="B235" s="177"/>
      <c r="D235" s="49"/>
      <c r="E235" s="49"/>
      <c r="F235" s="49"/>
      <c r="G235" s="49"/>
      <c r="I235" s="51"/>
      <c r="X235" s="178"/>
      <c r="Z235" s="59"/>
    </row>
    <row r="236" spans="2:26" ht="15">
      <c r="B236" s="177"/>
      <c r="D236" s="49"/>
      <c r="E236" s="49"/>
      <c r="F236" s="49"/>
      <c r="G236" s="49"/>
      <c r="I236" s="51"/>
      <c r="X236" s="178"/>
      <c r="Z236" s="59"/>
    </row>
    <row r="237" spans="2:26" ht="15">
      <c r="B237" s="177"/>
      <c r="D237" s="49"/>
      <c r="E237" s="49"/>
      <c r="F237" s="49"/>
      <c r="G237" s="49"/>
      <c r="I237" s="51"/>
      <c r="X237" s="178"/>
      <c r="Z237" s="59"/>
    </row>
    <row r="238" spans="2:26" ht="15">
      <c r="B238" s="177"/>
      <c r="D238" s="49"/>
      <c r="E238" s="49"/>
      <c r="F238" s="49"/>
      <c r="G238" s="49"/>
      <c r="I238" s="51"/>
      <c r="X238" s="178"/>
      <c r="Z238" s="59"/>
    </row>
    <row r="239" spans="2:26" ht="15">
      <c r="B239" s="177"/>
      <c r="D239" s="49"/>
      <c r="E239" s="49"/>
      <c r="F239" s="49"/>
      <c r="G239" s="49"/>
      <c r="I239" s="51"/>
      <c r="X239" s="178"/>
      <c r="Z239" s="59"/>
    </row>
    <row r="240" spans="2:26" ht="15">
      <c r="B240" s="177"/>
      <c r="D240" s="49"/>
      <c r="E240" s="49"/>
      <c r="F240" s="49"/>
      <c r="G240" s="49"/>
      <c r="I240" s="51"/>
      <c r="X240" s="178"/>
      <c r="Z240" s="59"/>
    </row>
    <row r="241" spans="2:26" ht="15">
      <c r="B241" s="177"/>
      <c r="D241" s="49"/>
      <c r="E241" s="49"/>
      <c r="F241" s="49"/>
      <c r="G241" s="49"/>
      <c r="I241" s="51"/>
      <c r="X241" s="178"/>
      <c r="Z241" s="59"/>
    </row>
    <row r="242" spans="2:26" ht="15">
      <c r="B242" s="177"/>
      <c r="D242" s="49"/>
      <c r="E242" s="49"/>
      <c r="F242" s="49"/>
      <c r="G242" s="49"/>
      <c r="I242" s="51"/>
      <c r="X242" s="178"/>
      <c r="Z242" s="59"/>
    </row>
    <row r="243" spans="2:26" ht="15">
      <c r="B243" s="177"/>
      <c r="D243" s="49"/>
      <c r="E243" s="49"/>
      <c r="F243" s="49"/>
      <c r="G243" s="49"/>
      <c r="I243" s="51"/>
      <c r="X243" s="178"/>
      <c r="Z243" s="59"/>
    </row>
    <row r="244" spans="2:26" ht="15">
      <c r="B244" s="177"/>
      <c r="D244" s="49"/>
      <c r="E244" s="49"/>
      <c r="F244" s="49"/>
      <c r="G244" s="49"/>
      <c r="I244" s="51"/>
      <c r="X244" s="178"/>
      <c r="Z244" s="59"/>
    </row>
    <row r="245" spans="2:26" ht="15">
      <c r="B245" s="177"/>
      <c r="D245" s="49"/>
      <c r="E245" s="49"/>
      <c r="F245" s="49"/>
      <c r="G245" s="49"/>
      <c r="I245" s="51"/>
      <c r="X245" s="178"/>
      <c r="Z245" s="59"/>
    </row>
    <row r="246" spans="2:26" ht="15">
      <c r="B246" s="177"/>
      <c r="D246" s="49"/>
      <c r="E246" s="49"/>
      <c r="F246" s="49"/>
      <c r="G246" s="49"/>
      <c r="I246" s="51"/>
      <c r="X246" s="178"/>
      <c r="Z246" s="59"/>
    </row>
    <row r="247" spans="2:26" ht="15">
      <c r="B247" s="177"/>
      <c r="D247" s="49"/>
      <c r="E247" s="49"/>
      <c r="F247" s="49"/>
      <c r="G247" s="49"/>
      <c r="I247" s="51"/>
      <c r="X247" s="178"/>
      <c r="Z247" s="59"/>
    </row>
    <row r="248" spans="2:26" ht="15">
      <c r="B248" s="177"/>
      <c r="D248" s="49"/>
      <c r="E248" s="49"/>
      <c r="F248" s="49"/>
      <c r="G248" s="49"/>
      <c r="I248" s="51"/>
      <c r="X248" s="178"/>
      <c r="Z248" s="59"/>
    </row>
    <row r="249" spans="2:26" ht="15">
      <c r="B249" s="177"/>
      <c r="D249" s="49"/>
      <c r="E249" s="49"/>
      <c r="F249" s="49"/>
      <c r="G249" s="49"/>
      <c r="I249" s="51"/>
      <c r="X249" s="178"/>
      <c r="Z249" s="59"/>
    </row>
    <row r="250" spans="2:26" ht="15">
      <c r="B250" s="177"/>
      <c r="D250" s="49"/>
      <c r="E250" s="49"/>
      <c r="F250" s="49"/>
      <c r="G250" s="49"/>
      <c r="I250" s="51"/>
      <c r="X250" s="178"/>
      <c r="Z250" s="59"/>
    </row>
    <row r="251" spans="2:26" ht="15">
      <c r="B251" s="177"/>
      <c r="D251" s="49"/>
      <c r="E251" s="49"/>
      <c r="F251" s="49"/>
      <c r="G251" s="49"/>
      <c r="I251" s="51"/>
      <c r="X251" s="178"/>
      <c r="Z251" s="59"/>
    </row>
    <row r="252" spans="2:26" ht="15">
      <c r="B252" s="177"/>
      <c r="D252" s="49"/>
      <c r="E252" s="49"/>
      <c r="F252" s="49"/>
      <c r="G252" s="49"/>
      <c r="I252" s="51"/>
      <c r="X252" s="178"/>
      <c r="Z252" s="59"/>
    </row>
    <row r="253" spans="2:26" ht="15">
      <c r="B253" s="177"/>
      <c r="D253" s="49"/>
      <c r="E253" s="49"/>
      <c r="F253" s="49"/>
      <c r="G253" s="49"/>
      <c r="I253" s="51"/>
      <c r="X253" s="178"/>
      <c r="Z253" s="59"/>
    </row>
    <row r="254" spans="2:26" ht="15">
      <c r="B254" s="177"/>
      <c r="D254" s="49"/>
      <c r="E254" s="49"/>
      <c r="F254" s="49"/>
      <c r="G254" s="49"/>
      <c r="I254" s="51"/>
      <c r="X254" s="178"/>
      <c r="Z254" s="59"/>
    </row>
    <row r="255" spans="2:26" ht="15">
      <c r="B255" s="177"/>
      <c r="D255" s="49"/>
      <c r="E255" s="49"/>
      <c r="F255" s="49"/>
      <c r="G255" s="49"/>
      <c r="I255" s="51"/>
      <c r="X255" s="178"/>
      <c r="Z255" s="59"/>
    </row>
    <row r="256" spans="2:26" ht="15">
      <c r="B256" s="177"/>
      <c r="D256" s="49"/>
      <c r="E256" s="49"/>
      <c r="F256" s="49"/>
      <c r="G256" s="49"/>
      <c r="I256" s="51"/>
      <c r="X256" s="178"/>
      <c r="Z256" s="59"/>
    </row>
    <row r="257" spans="2:26" ht="15">
      <c r="B257" s="177"/>
      <c r="D257" s="49"/>
      <c r="E257" s="49"/>
      <c r="F257" s="49"/>
      <c r="G257" s="49"/>
      <c r="I257" s="51"/>
      <c r="X257" s="178"/>
      <c r="Z257" s="59"/>
    </row>
    <row r="258" spans="2:26" ht="15">
      <c r="B258" s="177"/>
      <c r="D258" s="49"/>
      <c r="E258" s="49"/>
      <c r="F258" s="49"/>
      <c r="G258" s="49"/>
      <c r="I258" s="51"/>
      <c r="X258" s="178"/>
      <c r="Z258" s="59"/>
    </row>
    <row r="259" spans="2:26" ht="15">
      <c r="B259" s="177"/>
      <c r="D259" s="49"/>
      <c r="E259" s="49"/>
      <c r="F259" s="49"/>
      <c r="G259" s="49"/>
      <c r="I259" s="51"/>
      <c r="X259" s="178"/>
      <c r="Z259" s="59"/>
    </row>
    <row r="260" spans="2:26" ht="15">
      <c r="B260" s="177"/>
      <c r="D260" s="49"/>
      <c r="E260" s="49"/>
      <c r="F260" s="49"/>
      <c r="G260" s="49"/>
      <c r="I260" s="51"/>
      <c r="X260" s="178"/>
      <c r="Z260" s="59"/>
    </row>
    <row r="261" spans="2:26" ht="15">
      <c r="B261" s="177"/>
      <c r="D261" s="49"/>
      <c r="E261" s="49"/>
      <c r="F261" s="49"/>
      <c r="G261" s="49"/>
      <c r="I261" s="51"/>
      <c r="X261" s="178"/>
      <c r="Z261" s="59"/>
    </row>
    <row r="262" spans="2:26" ht="15">
      <c r="B262" s="177"/>
      <c r="D262" s="49"/>
      <c r="E262" s="49"/>
      <c r="F262" s="49"/>
      <c r="G262" s="49"/>
      <c r="I262" s="51"/>
      <c r="X262" s="178"/>
      <c r="Z262" s="59"/>
    </row>
    <row r="263" spans="2:26" ht="15">
      <c r="B263" s="177"/>
      <c r="D263" s="49"/>
      <c r="E263" s="49"/>
      <c r="F263" s="49"/>
      <c r="G263" s="49"/>
      <c r="I263" s="51"/>
      <c r="X263" s="178"/>
      <c r="Z263" s="59"/>
    </row>
    <row r="264" spans="2:26" ht="15">
      <c r="B264" s="177"/>
      <c r="D264" s="49"/>
      <c r="E264" s="49"/>
      <c r="F264" s="49"/>
      <c r="G264" s="49"/>
      <c r="I264" s="51"/>
      <c r="X264" s="178"/>
      <c r="Z264" s="59"/>
    </row>
    <row r="265" spans="2:26" ht="15">
      <c r="B265" s="177"/>
      <c r="D265" s="49"/>
      <c r="E265" s="49"/>
      <c r="F265" s="49"/>
      <c r="G265" s="49"/>
      <c r="I265" s="51"/>
      <c r="X265" s="178"/>
      <c r="Z265" s="59"/>
    </row>
    <row r="266" spans="2:26" ht="15">
      <c r="B266" s="177"/>
      <c r="D266" s="49"/>
      <c r="E266" s="49"/>
      <c r="F266" s="49"/>
      <c r="G266" s="49"/>
      <c r="I266" s="51"/>
      <c r="X266" s="178"/>
      <c r="Z266" s="59"/>
    </row>
    <row r="267" spans="2:26" ht="15">
      <c r="B267" s="177"/>
      <c r="D267" s="49"/>
      <c r="E267" s="49"/>
      <c r="F267" s="49"/>
      <c r="G267" s="49"/>
      <c r="I267" s="51"/>
      <c r="X267" s="178"/>
      <c r="Z267" s="59"/>
    </row>
    <row r="268" spans="2:26" ht="15">
      <c r="B268" s="177"/>
      <c r="D268" s="49"/>
      <c r="E268" s="49"/>
      <c r="F268" s="49"/>
      <c r="G268" s="49"/>
      <c r="I268" s="51"/>
      <c r="X268" s="178"/>
      <c r="Z268" s="59"/>
    </row>
    <row r="269" spans="2:26" ht="15">
      <c r="B269" s="177"/>
      <c r="D269" s="49"/>
      <c r="E269" s="49"/>
      <c r="F269" s="49"/>
      <c r="G269" s="49"/>
      <c r="I269" s="51"/>
      <c r="X269" s="178"/>
      <c r="Z269" s="59"/>
    </row>
    <row r="270" spans="2:26" ht="15">
      <c r="B270" s="177"/>
      <c r="D270" s="49"/>
      <c r="E270" s="49"/>
      <c r="F270" s="49"/>
      <c r="G270" s="49"/>
      <c r="I270" s="51"/>
      <c r="X270" s="178"/>
      <c r="Z270" s="59"/>
    </row>
    <row r="271" spans="2:26" ht="15">
      <c r="B271" s="177"/>
      <c r="D271" s="49"/>
      <c r="E271" s="49"/>
      <c r="F271" s="49"/>
      <c r="G271" s="49"/>
      <c r="I271" s="51"/>
      <c r="X271" s="178"/>
      <c r="Z271" s="59"/>
    </row>
    <row r="272" spans="2:26" ht="15">
      <c r="B272" s="177"/>
      <c r="D272" s="49"/>
      <c r="E272" s="49"/>
      <c r="F272" s="49"/>
      <c r="G272" s="49"/>
      <c r="I272" s="51"/>
      <c r="X272" s="178"/>
      <c r="Z272" s="59"/>
    </row>
    <row r="273" spans="2:26" ht="15">
      <c r="B273" s="177"/>
      <c r="D273" s="49"/>
      <c r="E273" s="49"/>
      <c r="F273" s="49"/>
      <c r="G273" s="49"/>
      <c r="I273" s="51"/>
      <c r="X273" s="178"/>
      <c r="Z273" s="59"/>
    </row>
    <row r="274" spans="2:26" ht="15">
      <c r="B274" s="177"/>
      <c r="D274" s="49"/>
      <c r="E274" s="49"/>
      <c r="F274" s="49"/>
      <c r="G274" s="49"/>
      <c r="I274" s="51"/>
      <c r="X274" s="178"/>
      <c r="Z274" s="59"/>
    </row>
    <row r="275" spans="2:26" ht="15">
      <c r="B275" s="177"/>
      <c r="D275" s="49"/>
      <c r="E275" s="49"/>
      <c r="F275" s="49"/>
      <c r="G275" s="49"/>
      <c r="I275" s="51"/>
      <c r="X275" s="178"/>
      <c r="Z275" s="59"/>
    </row>
    <row r="276" spans="2:26" ht="15">
      <c r="B276" s="177"/>
      <c r="D276" s="49"/>
      <c r="E276" s="49"/>
      <c r="F276" s="49"/>
      <c r="G276" s="49"/>
      <c r="I276" s="51"/>
      <c r="X276" s="178"/>
      <c r="Z276" s="59"/>
    </row>
    <row r="277" spans="2:26" ht="15">
      <c r="B277" s="177"/>
      <c r="D277" s="49"/>
      <c r="E277" s="49"/>
      <c r="F277" s="49"/>
      <c r="G277" s="49"/>
      <c r="I277" s="51"/>
      <c r="X277" s="178"/>
      <c r="Z277" s="59"/>
    </row>
    <row r="278" spans="2:26" ht="15">
      <c r="B278" s="177"/>
      <c r="D278" s="49"/>
      <c r="E278" s="49"/>
      <c r="F278" s="49"/>
      <c r="G278" s="49"/>
      <c r="I278" s="51"/>
      <c r="X278" s="178"/>
      <c r="Z278" s="59"/>
    </row>
    <row r="279" spans="2:26" ht="15">
      <c r="B279" s="177"/>
      <c r="D279" s="49"/>
      <c r="E279" s="49"/>
      <c r="F279" s="49"/>
      <c r="G279" s="49"/>
      <c r="I279" s="51"/>
      <c r="X279" s="178"/>
      <c r="Z279" s="59"/>
    </row>
    <row r="280" spans="2:26" ht="15">
      <c r="B280" s="177"/>
      <c r="D280" s="49"/>
      <c r="E280" s="49"/>
      <c r="F280" s="49"/>
      <c r="G280" s="49"/>
      <c r="I280" s="51"/>
      <c r="X280" s="178"/>
      <c r="Z280" s="59"/>
    </row>
    <row r="281" spans="2:26" ht="15">
      <c r="B281" s="177"/>
      <c r="D281" s="49"/>
      <c r="E281" s="49"/>
      <c r="F281" s="49"/>
      <c r="G281" s="49"/>
      <c r="I281" s="51"/>
      <c r="X281" s="178"/>
      <c r="Z281" s="59"/>
    </row>
    <row r="282" spans="2:26" ht="15">
      <c r="B282" s="177"/>
      <c r="D282" s="49"/>
      <c r="E282" s="49"/>
      <c r="F282" s="49"/>
      <c r="G282" s="49"/>
      <c r="I282" s="51"/>
      <c r="X282" s="178"/>
      <c r="Z282" s="59"/>
    </row>
    <row r="283" spans="2:26" ht="15">
      <c r="B283" s="177"/>
      <c r="D283" s="49"/>
      <c r="E283" s="49"/>
      <c r="F283" s="49"/>
      <c r="G283" s="49"/>
      <c r="I283" s="51"/>
      <c r="X283" s="178"/>
      <c r="Z283" s="59"/>
    </row>
    <row r="284" spans="2:26" ht="15">
      <c r="B284" s="177"/>
      <c r="D284" s="49"/>
      <c r="E284" s="49"/>
      <c r="F284" s="49"/>
      <c r="G284" s="49"/>
      <c r="I284" s="51"/>
      <c r="X284" s="178"/>
      <c r="Z284" s="59"/>
    </row>
    <row r="285" spans="2:26" ht="15">
      <c r="B285" s="177"/>
      <c r="D285" s="49"/>
      <c r="E285" s="49"/>
      <c r="F285" s="49"/>
      <c r="G285" s="49"/>
      <c r="I285" s="51"/>
      <c r="X285" s="178"/>
      <c r="Z285" s="59"/>
    </row>
    <row r="286" spans="2:26" ht="15">
      <c r="B286" s="177"/>
      <c r="D286" s="49"/>
      <c r="E286" s="49"/>
      <c r="F286" s="49"/>
      <c r="G286" s="49"/>
      <c r="I286" s="51"/>
      <c r="X286" s="178"/>
      <c r="Z286" s="59"/>
    </row>
    <row r="287" spans="2:26" ht="15">
      <c r="B287" s="177"/>
      <c r="D287" s="49"/>
      <c r="E287" s="49"/>
      <c r="F287" s="49"/>
      <c r="G287" s="49"/>
      <c r="I287" s="51"/>
      <c r="X287" s="178"/>
      <c r="Z287" s="59"/>
    </row>
    <row r="288" spans="2:26" ht="15">
      <c r="B288" s="177"/>
      <c r="D288" s="49"/>
      <c r="E288" s="49"/>
      <c r="F288" s="49"/>
      <c r="G288" s="49"/>
      <c r="I288" s="51"/>
      <c r="X288" s="178"/>
      <c r="Z288" s="59"/>
    </row>
    <row r="289" spans="2:26" ht="15">
      <c r="B289" s="177"/>
      <c r="D289" s="49"/>
      <c r="E289" s="49"/>
      <c r="F289" s="49"/>
      <c r="G289" s="49"/>
      <c r="I289" s="51"/>
      <c r="X289" s="178"/>
      <c r="Z289" s="59"/>
    </row>
    <row r="290" spans="2:26" ht="15">
      <c r="B290" s="177"/>
      <c r="D290" s="49"/>
      <c r="E290" s="49"/>
      <c r="F290" s="49"/>
      <c r="G290" s="49"/>
      <c r="I290" s="51"/>
      <c r="X290" s="178"/>
      <c r="Z290" s="59"/>
    </row>
    <row r="291" spans="2:26" ht="15">
      <c r="B291" s="177"/>
      <c r="D291" s="49"/>
      <c r="E291" s="49"/>
      <c r="F291" s="49"/>
      <c r="G291" s="49"/>
      <c r="I291" s="51"/>
      <c r="X291" s="178"/>
      <c r="Z291" s="59"/>
    </row>
    <row r="292" spans="2:26" ht="15">
      <c r="B292" s="177"/>
      <c r="D292" s="49"/>
      <c r="E292" s="49"/>
      <c r="F292" s="49"/>
      <c r="G292" s="49"/>
      <c r="I292" s="51"/>
      <c r="X292" s="178"/>
      <c r="Z292" s="59"/>
    </row>
    <row r="293" spans="2:26" ht="15">
      <c r="B293" s="177"/>
      <c r="D293" s="49"/>
      <c r="E293" s="49"/>
      <c r="F293" s="49"/>
      <c r="G293" s="49"/>
      <c r="I293" s="51"/>
      <c r="X293" s="178"/>
      <c r="Z293" s="59"/>
    </row>
    <row r="294" spans="2:26" ht="15">
      <c r="B294" s="177"/>
      <c r="D294" s="49"/>
      <c r="E294" s="49"/>
      <c r="F294" s="49"/>
      <c r="G294" s="49"/>
      <c r="I294" s="51"/>
      <c r="X294" s="178"/>
      <c r="Z294" s="59"/>
    </row>
    <row r="295" spans="2:26" ht="15">
      <c r="B295" s="177"/>
      <c r="D295" s="49"/>
      <c r="E295" s="49"/>
      <c r="F295" s="49"/>
      <c r="G295" s="49"/>
      <c r="I295" s="51"/>
      <c r="X295" s="178"/>
      <c r="Z295" s="59"/>
    </row>
    <row r="296" spans="2:26" ht="15">
      <c r="B296" s="177"/>
      <c r="D296" s="49"/>
      <c r="E296" s="49"/>
      <c r="F296" s="49"/>
      <c r="G296" s="49"/>
      <c r="I296" s="51"/>
      <c r="X296" s="178"/>
      <c r="Z296" s="59"/>
    </row>
    <row r="297" spans="2:26" ht="15">
      <c r="B297" s="177"/>
      <c r="D297" s="49"/>
      <c r="E297" s="49"/>
      <c r="F297" s="49"/>
      <c r="G297" s="49"/>
      <c r="I297" s="51"/>
      <c r="X297" s="178"/>
      <c r="Z297" s="59"/>
    </row>
    <row r="298" spans="2:26" ht="15">
      <c r="B298" s="177"/>
      <c r="D298" s="49"/>
      <c r="E298" s="49"/>
      <c r="F298" s="49"/>
      <c r="G298" s="49"/>
      <c r="I298" s="51"/>
      <c r="X298" s="178"/>
      <c r="Z298" s="59"/>
    </row>
    <row r="299" spans="2:26" ht="15">
      <c r="B299" s="177"/>
      <c r="D299" s="49"/>
      <c r="E299" s="49"/>
      <c r="F299" s="49"/>
      <c r="G299" s="49"/>
      <c r="I299" s="51"/>
      <c r="X299" s="178"/>
      <c r="Z299" s="59"/>
    </row>
    <row r="300" spans="2:26" ht="15">
      <c r="B300" s="177"/>
      <c r="D300" s="49"/>
      <c r="E300" s="49"/>
      <c r="F300" s="49"/>
      <c r="G300" s="49"/>
      <c r="I300" s="51"/>
      <c r="X300" s="178"/>
      <c r="Z300" s="59"/>
    </row>
    <row r="301" spans="2:26" ht="15">
      <c r="B301" s="177"/>
      <c r="D301" s="49"/>
      <c r="E301" s="49"/>
      <c r="F301" s="49"/>
      <c r="G301" s="49"/>
      <c r="I301" s="51"/>
      <c r="X301" s="178"/>
      <c r="Z301" s="59"/>
    </row>
    <row r="302" spans="2:26" ht="15">
      <c r="B302" s="177"/>
      <c r="D302" s="49"/>
      <c r="E302" s="49"/>
      <c r="F302" s="49"/>
      <c r="G302" s="49"/>
      <c r="I302" s="51"/>
      <c r="X302" s="178"/>
      <c r="Z302" s="59"/>
    </row>
    <row r="303" spans="2:26" ht="15">
      <c r="B303" s="177"/>
      <c r="D303" s="49"/>
      <c r="E303" s="49"/>
      <c r="F303" s="49"/>
      <c r="G303" s="49"/>
      <c r="I303" s="51"/>
      <c r="X303" s="178"/>
      <c r="Z303" s="59"/>
    </row>
    <row r="304" spans="2:26" ht="15">
      <c r="B304" s="177"/>
      <c r="D304" s="49"/>
      <c r="E304" s="49"/>
      <c r="F304" s="49"/>
      <c r="G304" s="49"/>
      <c r="I304" s="51"/>
      <c r="X304" s="178"/>
      <c r="Z304" s="59"/>
    </row>
    <row r="305" spans="2:26" ht="15">
      <c r="B305" s="177"/>
      <c r="D305" s="49"/>
      <c r="E305" s="49"/>
      <c r="F305" s="49"/>
      <c r="G305" s="49"/>
      <c r="I305" s="51"/>
      <c r="X305" s="178"/>
      <c r="Z305" s="59"/>
    </row>
    <row r="306" spans="2:26" ht="15">
      <c r="B306" s="177"/>
      <c r="D306" s="49"/>
      <c r="E306" s="49"/>
      <c r="F306" s="49"/>
      <c r="G306" s="49"/>
      <c r="I306" s="51"/>
      <c r="X306" s="178"/>
      <c r="Z306" s="59"/>
    </row>
    <row r="307" spans="2:26" ht="15">
      <c r="B307" s="177"/>
      <c r="D307" s="49"/>
      <c r="E307" s="49"/>
      <c r="F307" s="49"/>
      <c r="G307" s="49"/>
      <c r="I307" s="51"/>
      <c r="X307" s="178"/>
      <c r="Z307" s="59"/>
    </row>
    <row r="308" spans="2:26" ht="15">
      <c r="B308" s="177"/>
      <c r="D308" s="49"/>
      <c r="E308" s="49"/>
      <c r="F308" s="49"/>
      <c r="G308" s="49"/>
      <c r="I308" s="51"/>
      <c r="X308" s="178"/>
      <c r="Z308" s="59"/>
    </row>
    <row r="309" spans="2:26" ht="15">
      <c r="B309" s="177"/>
      <c r="D309" s="49"/>
      <c r="E309" s="49"/>
      <c r="F309" s="49"/>
      <c r="G309" s="49"/>
      <c r="I309" s="51"/>
      <c r="X309" s="178"/>
      <c r="Z309" s="59"/>
    </row>
    <row r="310" spans="2:26" ht="15">
      <c r="B310" s="177"/>
      <c r="D310" s="49"/>
      <c r="E310" s="49"/>
      <c r="F310" s="49"/>
      <c r="G310" s="49"/>
      <c r="I310" s="51"/>
      <c r="X310" s="178"/>
      <c r="Z310" s="59"/>
    </row>
    <row r="311" spans="2:26" ht="15">
      <c r="B311" s="177"/>
      <c r="D311" s="49"/>
      <c r="E311" s="49"/>
      <c r="F311" s="49"/>
      <c r="G311" s="49"/>
      <c r="I311" s="51"/>
      <c r="X311" s="178"/>
      <c r="Z311" s="59"/>
    </row>
    <row r="312" spans="2:26" ht="15">
      <c r="B312" s="177"/>
      <c r="D312" s="49"/>
      <c r="E312" s="49"/>
      <c r="F312" s="49"/>
      <c r="G312" s="49"/>
      <c r="I312" s="51"/>
      <c r="X312" s="178"/>
      <c r="Z312" s="59"/>
    </row>
    <row r="313" spans="2:26" ht="15">
      <c r="B313" s="177"/>
      <c r="D313" s="49"/>
      <c r="E313" s="49"/>
      <c r="F313" s="49"/>
      <c r="G313" s="49"/>
      <c r="I313" s="51"/>
      <c r="X313" s="178"/>
      <c r="Z313" s="59"/>
    </row>
    <row r="314" spans="2:26" ht="15">
      <c r="B314" s="177"/>
      <c r="D314" s="49"/>
      <c r="E314" s="49"/>
      <c r="F314" s="49"/>
      <c r="G314" s="49"/>
      <c r="I314" s="51"/>
      <c r="X314" s="178"/>
      <c r="Z314" s="59"/>
    </row>
    <row r="315" spans="2:26" ht="15">
      <c r="B315" s="177"/>
      <c r="D315" s="49"/>
      <c r="E315" s="49"/>
      <c r="F315" s="49"/>
      <c r="G315" s="49"/>
      <c r="I315" s="51"/>
      <c r="X315" s="178"/>
      <c r="Z315" s="59"/>
    </row>
    <row r="316" spans="2:26" ht="15">
      <c r="B316" s="177"/>
      <c r="D316" s="49"/>
      <c r="E316" s="49"/>
      <c r="F316" s="49"/>
      <c r="G316" s="49"/>
      <c r="I316" s="51"/>
      <c r="X316" s="178"/>
      <c r="Z316" s="59"/>
    </row>
    <row r="317" spans="2:26" ht="15">
      <c r="B317" s="177"/>
      <c r="D317" s="49"/>
      <c r="E317" s="49"/>
      <c r="F317" s="49"/>
      <c r="G317" s="49"/>
      <c r="I317" s="51"/>
      <c r="X317" s="178"/>
      <c r="Z317" s="59"/>
    </row>
    <row r="318" spans="2:26" ht="15">
      <c r="B318" s="177"/>
      <c r="D318" s="49"/>
      <c r="E318" s="49"/>
      <c r="F318" s="49"/>
      <c r="G318" s="49"/>
      <c r="I318" s="51"/>
      <c r="X318" s="178"/>
      <c r="Z318" s="59"/>
    </row>
    <row r="319" spans="2:26" ht="15">
      <c r="B319" s="177"/>
      <c r="D319" s="49"/>
      <c r="E319" s="49"/>
      <c r="F319" s="49"/>
      <c r="G319" s="49"/>
      <c r="I319" s="51"/>
      <c r="X319" s="178"/>
      <c r="Z319" s="59"/>
    </row>
    <row r="320" spans="2:26" ht="15">
      <c r="B320" s="177"/>
      <c r="D320" s="49"/>
      <c r="E320" s="49"/>
      <c r="F320" s="49"/>
      <c r="G320" s="49"/>
      <c r="I320" s="51"/>
      <c r="X320" s="178"/>
      <c r="Z320" s="59"/>
    </row>
    <row r="321" spans="2:26" ht="15">
      <c r="B321" s="177"/>
      <c r="D321" s="49"/>
      <c r="E321" s="49"/>
      <c r="F321" s="49"/>
      <c r="G321" s="49"/>
      <c r="I321" s="51"/>
      <c r="X321" s="178"/>
      <c r="Z321" s="59"/>
    </row>
    <row r="322" spans="2:26" ht="15">
      <c r="B322" s="177"/>
      <c r="D322" s="49"/>
      <c r="E322" s="49"/>
      <c r="F322" s="49"/>
      <c r="G322" s="49"/>
      <c r="I322" s="51"/>
      <c r="X322" s="178"/>
      <c r="Z322" s="59"/>
    </row>
    <row r="323" spans="2:26" ht="15">
      <c r="B323" s="177"/>
      <c r="D323" s="49"/>
      <c r="E323" s="49"/>
      <c r="F323" s="49"/>
      <c r="G323" s="49"/>
      <c r="I323" s="51"/>
      <c r="X323" s="178"/>
      <c r="Z323" s="59"/>
    </row>
    <row r="324" spans="2:26" ht="15">
      <c r="B324" s="177"/>
      <c r="D324" s="49"/>
      <c r="E324" s="49"/>
      <c r="F324" s="49"/>
      <c r="G324" s="49"/>
      <c r="I324" s="51"/>
      <c r="X324" s="178"/>
      <c r="Z324" s="59"/>
    </row>
    <row r="325" spans="2:26" ht="15">
      <c r="B325" s="177"/>
      <c r="D325" s="49"/>
      <c r="E325" s="49"/>
      <c r="F325" s="49"/>
      <c r="G325" s="49"/>
      <c r="I325" s="51"/>
      <c r="X325" s="178"/>
      <c r="Z325" s="59"/>
    </row>
    <row r="326" spans="2:26" ht="15">
      <c r="B326" s="177"/>
      <c r="D326" s="49"/>
      <c r="E326" s="49"/>
      <c r="F326" s="49"/>
      <c r="G326" s="49"/>
      <c r="I326" s="51"/>
      <c r="X326" s="178"/>
      <c r="Z326" s="59"/>
    </row>
    <row r="327" spans="2:26" ht="15">
      <c r="B327" s="177"/>
      <c r="D327" s="49"/>
      <c r="E327" s="49"/>
      <c r="F327" s="49"/>
      <c r="G327" s="49"/>
      <c r="I327" s="51"/>
      <c r="X327" s="178"/>
      <c r="Z327" s="59"/>
    </row>
    <row r="328" spans="2:26" ht="15">
      <c r="B328" s="177"/>
      <c r="D328" s="49"/>
      <c r="E328" s="49"/>
      <c r="F328" s="49"/>
      <c r="G328" s="49"/>
      <c r="I328" s="51"/>
      <c r="X328" s="178"/>
      <c r="Z328" s="59"/>
    </row>
    <row r="329" spans="2:26" ht="15">
      <c r="B329" s="177"/>
      <c r="D329" s="49"/>
      <c r="E329" s="49"/>
      <c r="F329" s="49"/>
      <c r="G329" s="49"/>
      <c r="I329" s="51"/>
      <c r="X329" s="178"/>
      <c r="Z329" s="59"/>
    </row>
    <row r="330" spans="2:26" ht="15">
      <c r="B330" s="177"/>
      <c r="D330" s="49"/>
      <c r="E330" s="49"/>
      <c r="F330" s="49"/>
      <c r="G330" s="49"/>
      <c r="I330" s="51"/>
      <c r="X330" s="178"/>
      <c r="Z330" s="59"/>
    </row>
    <row r="331" spans="2:26" ht="15">
      <c r="B331" s="177"/>
      <c r="D331" s="49"/>
      <c r="E331" s="49"/>
      <c r="F331" s="49"/>
      <c r="G331" s="49"/>
      <c r="I331" s="51"/>
      <c r="X331" s="178"/>
      <c r="Z331" s="59"/>
    </row>
    <row r="332" spans="2:26" ht="15">
      <c r="B332" s="177"/>
      <c r="D332" s="49"/>
      <c r="E332" s="49"/>
      <c r="F332" s="49"/>
      <c r="G332" s="49"/>
      <c r="I332" s="51"/>
      <c r="X332" s="178"/>
      <c r="Z332" s="59"/>
    </row>
    <row r="333" spans="2:26" ht="15">
      <c r="B333" s="177"/>
      <c r="D333" s="49"/>
      <c r="E333" s="49"/>
      <c r="F333" s="49"/>
      <c r="G333" s="49"/>
      <c r="I333" s="51"/>
      <c r="X333" s="178"/>
      <c r="Z333" s="59"/>
    </row>
    <row r="334" spans="2:26" ht="15">
      <c r="B334" s="177"/>
      <c r="D334" s="49"/>
      <c r="E334" s="49"/>
      <c r="F334" s="49"/>
      <c r="G334" s="49"/>
      <c r="I334" s="51"/>
      <c r="X334" s="178"/>
      <c r="Z334" s="59"/>
    </row>
    <row r="335" spans="2:26" ht="15">
      <c r="B335" s="177"/>
      <c r="D335" s="49"/>
      <c r="E335" s="49"/>
      <c r="F335" s="49"/>
      <c r="G335" s="49"/>
      <c r="I335" s="51"/>
      <c r="X335" s="178"/>
      <c r="Z335" s="59"/>
    </row>
    <row r="336" spans="2:26" ht="15">
      <c r="B336" s="177"/>
      <c r="D336" s="49"/>
      <c r="E336" s="49"/>
      <c r="F336" s="49"/>
      <c r="G336" s="49"/>
      <c r="I336" s="51"/>
      <c r="X336" s="178"/>
      <c r="Z336" s="59"/>
    </row>
    <row r="337" spans="2:26" ht="15">
      <c r="B337" s="177"/>
      <c r="D337" s="49"/>
      <c r="E337" s="49"/>
      <c r="F337" s="49"/>
      <c r="G337" s="49"/>
      <c r="I337" s="51"/>
      <c r="X337" s="178"/>
      <c r="Z337" s="59"/>
    </row>
    <row r="338" spans="2:26" ht="15">
      <c r="B338" s="177"/>
      <c r="D338" s="49"/>
      <c r="E338" s="49"/>
      <c r="F338" s="49"/>
      <c r="G338" s="49"/>
      <c r="I338" s="51"/>
      <c r="X338" s="178"/>
      <c r="Z338" s="59"/>
    </row>
    <row r="339" spans="2:26" ht="15">
      <c r="B339" s="177"/>
      <c r="D339" s="49"/>
      <c r="E339" s="49"/>
      <c r="F339" s="49"/>
      <c r="G339" s="49"/>
      <c r="I339" s="51"/>
      <c r="X339" s="178"/>
      <c r="Z339" s="59"/>
    </row>
    <row r="340" spans="2:26" ht="15">
      <c r="B340" s="177"/>
      <c r="D340" s="49"/>
      <c r="E340" s="49"/>
      <c r="F340" s="49"/>
      <c r="G340" s="49"/>
      <c r="I340" s="51"/>
      <c r="X340" s="178"/>
      <c r="Z340" s="59"/>
    </row>
    <row r="341" spans="2:26" ht="15">
      <c r="B341" s="177"/>
      <c r="D341" s="49"/>
      <c r="E341" s="49"/>
      <c r="F341" s="49"/>
      <c r="G341" s="49"/>
      <c r="I341" s="51"/>
      <c r="X341" s="178"/>
      <c r="Z341" s="59"/>
    </row>
    <row r="342" spans="2:26" ht="15">
      <c r="B342" s="177"/>
      <c r="D342" s="49"/>
      <c r="E342" s="49"/>
      <c r="F342" s="49"/>
      <c r="G342" s="49"/>
      <c r="I342" s="51"/>
      <c r="X342" s="178"/>
      <c r="Z342" s="59"/>
    </row>
    <row r="343" spans="2:26" ht="15">
      <c r="B343" s="177"/>
      <c r="D343" s="49"/>
      <c r="E343" s="49"/>
      <c r="F343" s="49"/>
      <c r="G343" s="49"/>
      <c r="I343" s="51"/>
      <c r="X343" s="178"/>
      <c r="Z343" s="59"/>
    </row>
    <row r="344" spans="2:26" ht="15">
      <c r="B344" s="177"/>
      <c r="D344" s="49"/>
      <c r="E344" s="49"/>
      <c r="F344" s="49"/>
      <c r="G344" s="49"/>
      <c r="I344" s="51"/>
      <c r="X344" s="178"/>
      <c r="Z344" s="59"/>
    </row>
    <row r="345" spans="2:26" ht="15">
      <c r="B345" s="177"/>
      <c r="D345" s="49"/>
      <c r="E345" s="49"/>
      <c r="F345" s="49"/>
      <c r="G345" s="49"/>
      <c r="I345" s="51"/>
      <c r="X345" s="178"/>
      <c r="Z345" s="59"/>
    </row>
    <row r="346" spans="2:26" ht="15">
      <c r="B346" s="177"/>
      <c r="D346" s="49"/>
      <c r="E346" s="49"/>
      <c r="F346" s="49"/>
      <c r="G346" s="49"/>
      <c r="I346" s="51"/>
      <c r="X346" s="178"/>
      <c r="Z346" s="59"/>
    </row>
    <row r="347" spans="2:26" ht="15">
      <c r="B347" s="177"/>
      <c r="D347" s="49"/>
      <c r="E347" s="49"/>
      <c r="F347" s="49"/>
      <c r="G347" s="49"/>
      <c r="I347" s="51"/>
      <c r="X347" s="178"/>
      <c r="Z347" s="59"/>
    </row>
    <row r="348" spans="2:26" ht="15">
      <c r="B348" s="177"/>
      <c r="D348" s="49"/>
      <c r="E348" s="49"/>
      <c r="F348" s="49"/>
      <c r="G348" s="49"/>
      <c r="I348" s="51"/>
      <c r="X348" s="178"/>
      <c r="Z348" s="59"/>
    </row>
    <row r="349" spans="2:26" ht="15">
      <c r="B349" s="177"/>
      <c r="D349" s="49"/>
      <c r="E349" s="49"/>
      <c r="F349" s="49"/>
      <c r="G349" s="49"/>
      <c r="I349" s="51"/>
      <c r="X349" s="178"/>
      <c r="Z349" s="59"/>
    </row>
    <row r="350" spans="2:26" ht="15">
      <c r="B350" s="177"/>
      <c r="D350" s="49"/>
      <c r="E350" s="49"/>
      <c r="F350" s="49"/>
      <c r="G350" s="49"/>
      <c r="I350" s="51"/>
      <c r="X350" s="178"/>
      <c r="Z350" s="59"/>
    </row>
    <row r="351" spans="2:26" ht="15">
      <c r="B351" s="177"/>
      <c r="D351" s="49"/>
      <c r="E351" s="49"/>
      <c r="F351" s="49"/>
      <c r="G351" s="49"/>
      <c r="I351" s="51"/>
      <c r="X351" s="178"/>
      <c r="Z351" s="59"/>
    </row>
    <row r="352" spans="2:26" ht="15">
      <c r="B352" s="177"/>
      <c r="D352" s="49"/>
      <c r="E352" s="49"/>
      <c r="F352" s="49"/>
      <c r="G352" s="49"/>
      <c r="I352" s="51"/>
      <c r="X352" s="178"/>
      <c r="Z352" s="59"/>
    </row>
    <row r="353" spans="2:26" ht="15">
      <c r="B353" s="177"/>
      <c r="D353" s="49"/>
      <c r="E353" s="49"/>
      <c r="F353" s="49"/>
      <c r="G353" s="49"/>
      <c r="I353" s="51"/>
      <c r="X353" s="178"/>
      <c r="Z353" s="59"/>
    </row>
    <row r="354" spans="2:26" ht="15">
      <c r="B354" s="177"/>
      <c r="D354" s="49"/>
      <c r="E354" s="49"/>
      <c r="F354" s="49"/>
      <c r="G354" s="49"/>
      <c r="I354" s="51"/>
      <c r="X354" s="178"/>
      <c r="Z354" s="59"/>
    </row>
    <row r="355" spans="2:26" ht="15">
      <c r="B355" s="177"/>
      <c r="D355" s="49"/>
      <c r="E355" s="49"/>
      <c r="F355" s="49"/>
      <c r="G355" s="49"/>
      <c r="I355" s="51"/>
      <c r="X355" s="178"/>
      <c r="Z355" s="59"/>
    </row>
    <row r="356" spans="2:26" ht="15">
      <c r="B356" s="177"/>
      <c r="D356" s="49"/>
      <c r="E356" s="49"/>
      <c r="F356" s="49"/>
      <c r="G356" s="49"/>
      <c r="I356" s="51"/>
      <c r="X356" s="178"/>
      <c r="Z356" s="59"/>
    </row>
    <row r="357" spans="2:26" ht="15">
      <c r="B357" s="177"/>
      <c r="D357" s="49"/>
      <c r="E357" s="49"/>
      <c r="F357" s="49"/>
      <c r="G357" s="49"/>
      <c r="I357" s="51"/>
      <c r="X357" s="178"/>
      <c r="Z357" s="59"/>
    </row>
    <row r="358" spans="2:26" ht="15">
      <c r="B358" s="177"/>
      <c r="D358" s="49"/>
      <c r="E358" s="49"/>
      <c r="F358" s="49"/>
      <c r="G358" s="49"/>
      <c r="I358" s="51"/>
      <c r="X358" s="178"/>
      <c r="Z358" s="59"/>
    </row>
    <row r="359" spans="2:26" ht="15">
      <c r="B359" s="177"/>
      <c r="D359" s="49"/>
      <c r="E359" s="49"/>
      <c r="F359" s="49"/>
      <c r="G359" s="49"/>
      <c r="I359" s="51"/>
      <c r="X359" s="178"/>
      <c r="Z359" s="59"/>
    </row>
    <row r="360" spans="2:26" ht="15">
      <c r="B360" s="177"/>
      <c r="D360" s="49"/>
      <c r="E360" s="49"/>
      <c r="F360" s="49"/>
      <c r="G360" s="49"/>
      <c r="I360" s="51"/>
      <c r="X360" s="178"/>
      <c r="Z360" s="59"/>
    </row>
    <row r="361" spans="2:26" ht="15">
      <c r="B361" s="177"/>
      <c r="D361" s="49"/>
      <c r="E361" s="49"/>
      <c r="F361" s="49"/>
      <c r="G361" s="49"/>
      <c r="I361" s="51"/>
      <c r="X361" s="178"/>
      <c r="Z361" s="59"/>
    </row>
    <row r="362" spans="2:26" ht="15">
      <c r="B362" s="177"/>
      <c r="D362" s="49"/>
      <c r="E362" s="49"/>
      <c r="F362" s="49"/>
      <c r="G362" s="49"/>
      <c r="I362" s="51"/>
      <c r="X362" s="178"/>
      <c r="Z362" s="59"/>
    </row>
    <row r="363" spans="2:26" ht="15">
      <c r="B363" s="177"/>
      <c r="D363" s="49"/>
      <c r="E363" s="49"/>
      <c r="F363" s="49"/>
      <c r="G363" s="49"/>
      <c r="I363" s="51"/>
      <c r="X363" s="178"/>
      <c r="Z363" s="59"/>
    </row>
    <row r="364" spans="2:26" ht="15">
      <c r="B364" s="177"/>
      <c r="D364" s="49"/>
      <c r="E364" s="49"/>
      <c r="F364" s="49"/>
      <c r="G364" s="49"/>
      <c r="I364" s="51"/>
      <c r="X364" s="178"/>
      <c r="Z364" s="59"/>
    </row>
    <row r="365" spans="2:26" ht="15">
      <c r="B365" s="177"/>
      <c r="D365" s="49"/>
      <c r="E365" s="49"/>
      <c r="F365" s="49"/>
      <c r="G365" s="49"/>
      <c r="I365" s="51"/>
      <c r="X365" s="178"/>
      <c r="Z365" s="59"/>
    </row>
    <row r="366" spans="2:26" ht="15">
      <c r="B366" s="177"/>
      <c r="D366" s="49"/>
      <c r="E366" s="49"/>
      <c r="F366" s="49"/>
      <c r="G366" s="49"/>
      <c r="I366" s="51"/>
      <c r="X366" s="178"/>
      <c r="Z366" s="59"/>
    </row>
    <row r="367" spans="2:26" ht="15">
      <c r="B367" s="177"/>
      <c r="D367" s="49"/>
      <c r="E367" s="49"/>
      <c r="F367" s="49"/>
      <c r="G367" s="49"/>
      <c r="I367" s="51"/>
      <c r="X367" s="178"/>
      <c r="Z367" s="59"/>
    </row>
    <row r="368" spans="2:26" ht="15">
      <c r="B368" s="177"/>
      <c r="D368" s="49"/>
      <c r="E368" s="49"/>
      <c r="F368" s="49"/>
      <c r="G368" s="49"/>
      <c r="I368" s="51"/>
      <c r="X368" s="178"/>
      <c r="Z368" s="59"/>
    </row>
    <row r="369" spans="2:26" ht="15">
      <c r="B369" s="177"/>
      <c r="D369" s="49"/>
      <c r="E369" s="49"/>
      <c r="F369" s="49"/>
      <c r="G369" s="49"/>
      <c r="I369" s="51"/>
      <c r="X369" s="178"/>
      <c r="Z369" s="59"/>
    </row>
    <row r="370" spans="2:26" ht="15">
      <c r="B370" s="177"/>
      <c r="D370" s="49"/>
      <c r="E370" s="49"/>
      <c r="F370" s="49"/>
      <c r="G370" s="49"/>
      <c r="I370" s="51"/>
      <c r="X370" s="178"/>
      <c r="Z370" s="59"/>
    </row>
    <row r="371" spans="2:26" ht="15">
      <c r="B371" s="177"/>
      <c r="D371" s="49"/>
      <c r="E371" s="49"/>
      <c r="F371" s="49"/>
      <c r="G371" s="49"/>
      <c r="I371" s="51"/>
      <c r="X371" s="178"/>
      <c r="Z371" s="59"/>
    </row>
    <row r="372" spans="2:26" ht="15">
      <c r="B372" s="177"/>
      <c r="D372" s="49"/>
      <c r="E372" s="49"/>
      <c r="F372" s="49"/>
      <c r="G372" s="49"/>
      <c r="I372" s="51"/>
      <c r="X372" s="178"/>
      <c r="Z372" s="59"/>
    </row>
    <row r="373" spans="2:26" ht="15">
      <c r="B373" s="177"/>
      <c r="D373" s="49"/>
      <c r="E373" s="49"/>
      <c r="F373" s="49"/>
      <c r="G373" s="49"/>
      <c r="I373" s="51"/>
      <c r="X373" s="178"/>
      <c r="Z373" s="59"/>
    </row>
    <row r="374" spans="2:26" ht="15">
      <c r="B374" s="177"/>
      <c r="D374" s="49"/>
      <c r="E374" s="49"/>
      <c r="F374" s="49"/>
      <c r="G374" s="49"/>
      <c r="I374" s="51"/>
      <c r="X374" s="178"/>
      <c r="Z374" s="59"/>
    </row>
    <row r="375" spans="2:26" ht="15">
      <c r="B375" s="177"/>
      <c r="D375" s="49"/>
      <c r="E375" s="49"/>
      <c r="F375" s="49"/>
      <c r="G375" s="49"/>
      <c r="I375" s="51"/>
      <c r="X375" s="178"/>
      <c r="Z375" s="59"/>
    </row>
    <row r="376" spans="2:26" ht="15">
      <c r="B376" s="177"/>
      <c r="D376" s="49"/>
      <c r="E376" s="49"/>
      <c r="F376" s="49"/>
      <c r="G376" s="49"/>
      <c r="I376" s="51"/>
      <c r="X376" s="178"/>
      <c r="Z376" s="59"/>
    </row>
    <row r="377" spans="2:26" ht="15">
      <c r="B377" s="177"/>
      <c r="D377" s="49"/>
      <c r="E377" s="49"/>
      <c r="F377" s="49"/>
      <c r="G377" s="49"/>
      <c r="I377" s="51"/>
      <c r="X377" s="178"/>
      <c r="Z377" s="59"/>
    </row>
    <row r="378" spans="2:26" ht="15">
      <c r="B378" s="177"/>
      <c r="D378" s="49"/>
      <c r="E378" s="49"/>
      <c r="F378" s="49"/>
      <c r="G378" s="49"/>
      <c r="I378" s="51"/>
      <c r="X378" s="178"/>
      <c r="Z378" s="59"/>
    </row>
    <row r="379" spans="2:26" ht="15">
      <c r="B379" s="177"/>
      <c r="D379" s="49"/>
      <c r="E379" s="49"/>
      <c r="F379" s="49"/>
      <c r="G379" s="49"/>
      <c r="I379" s="51"/>
      <c r="X379" s="178"/>
      <c r="Z379" s="59"/>
    </row>
    <row r="380" spans="2:26" ht="15">
      <c r="B380" s="177"/>
      <c r="D380" s="49"/>
      <c r="E380" s="49"/>
      <c r="F380" s="49"/>
      <c r="G380" s="49"/>
      <c r="I380" s="51"/>
      <c r="X380" s="178"/>
      <c r="Z380" s="59"/>
    </row>
    <row r="381" spans="2:26" ht="15">
      <c r="B381" s="177"/>
      <c r="D381" s="49"/>
      <c r="E381" s="49"/>
      <c r="F381" s="49"/>
      <c r="G381" s="49"/>
      <c r="I381" s="51"/>
      <c r="X381" s="178"/>
      <c r="Z381" s="59"/>
    </row>
    <row r="382" spans="2:26" ht="15">
      <c r="B382" s="177"/>
      <c r="D382" s="49"/>
      <c r="E382" s="49"/>
      <c r="F382" s="49"/>
      <c r="G382" s="49"/>
      <c r="I382" s="51"/>
      <c r="X382" s="178"/>
      <c r="Z382" s="59"/>
    </row>
    <row r="383" spans="2:26" ht="15">
      <c r="B383" s="177"/>
      <c r="D383" s="49"/>
      <c r="E383" s="49"/>
      <c r="F383" s="49"/>
      <c r="G383" s="49"/>
      <c r="I383" s="51"/>
      <c r="X383" s="178"/>
      <c r="Z383" s="59"/>
    </row>
    <row r="384" spans="2:26" ht="15">
      <c r="B384" s="177"/>
      <c r="D384" s="49"/>
      <c r="E384" s="49"/>
      <c r="F384" s="49"/>
      <c r="G384" s="49"/>
      <c r="I384" s="51"/>
      <c r="X384" s="178"/>
      <c r="Z384" s="59"/>
    </row>
    <row r="385" spans="2:26" ht="15">
      <c r="B385" s="177"/>
      <c r="D385" s="49"/>
      <c r="E385" s="49"/>
      <c r="F385" s="49"/>
      <c r="G385" s="49"/>
      <c r="I385" s="51"/>
      <c r="X385" s="178"/>
      <c r="Z385" s="59"/>
    </row>
    <row r="386" spans="2:26" ht="15">
      <c r="B386" s="177"/>
      <c r="D386" s="49"/>
      <c r="E386" s="49"/>
      <c r="F386" s="49"/>
      <c r="G386" s="49"/>
      <c r="I386" s="51"/>
      <c r="X386" s="178"/>
      <c r="Z386" s="59"/>
    </row>
    <row r="387" spans="2:26" ht="15">
      <c r="B387" s="177"/>
      <c r="D387" s="49"/>
      <c r="E387" s="49"/>
      <c r="F387" s="49"/>
      <c r="G387" s="49"/>
      <c r="I387" s="51"/>
      <c r="X387" s="178"/>
      <c r="Z387" s="59"/>
    </row>
    <row r="388" spans="2:26" ht="15">
      <c r="B388" s="177"/>
      <c r="D388" s="49"/>
      <c r="E388" s="49"/>
      <c r="F388" s="49"/>
      <c r="G388" s="49"/>
      <c r="I388" s="51"/>
      <c r="X388" s="178"/>
      <c r="Z388" s="59"/>
    </row>
    <row r="389" spans="2:26" ht="15">
      <c r="B389" s="177"/>
      <c r="D389" s="49"/>
      <c r="E389" s="49"/>
      <c r="F389" s="49"/>
      <c r="G389" s="49"/>
      <c r="I389" s="51"/>
      <c r="X389" s="178"/>
      <c r="Z389" s="59"/>
    </row>
    <row r="390" spans="2:26" ht="15">
      <c r="B390" s="177"/>
      <c r="D390" s="49"/>
      <c r="E390" s="49"/>
      <c r="F390" s="49"/>
      <c r="G390" s="49"/>
      <c r="I390" s="51"/>
      <c r="X390" s="178"/>
      <c r="Z390" s="59"/>
    </row>
    <row r="391" spans="2:26" ht="15">
      <c r="B391" s="177"/>
      <c r="D391" s="49"/>
      <c r="E391" s="49"/>
      <c r="F391" s="49"/>
      <c r="G391" s="49"/>
      <c r="I391" s="51"/>
      <c r="X391" s="178"/>
      <c r="Z391" s="59"/>
    </row>
    <row r="392" spans="2:26" ht="15">
      <c r="B392" s="177"/>
      <c r="D392" s="49"/>
      <c r="E392" s="49"/>
      <c r="F392" s="49"/>
      <c r="G392" s="49"/>
      <c r="I392" s="51"/>
      <c r="X392" s="178"/>
      <c r="Z392" s="59"/>
    </row>
    <row r="393" spans="2:26" ht="15">
      <c r="B393" s="177"/>
      <c r="D393" s="49"/>
      <c r="E393" s="49"/>
      <c r="F393" s="49"/>
      <c r="G393" s="49"/>
      <c r="I393" s="51"/>
      <c r="X393" s="178"/>
      <c r="Z393" s="59"/>
    </row>
    <row r="394" spans="2:26" ht="15">
      <c r="B394" s="177"/>
      <c r="D394" s="49"/>
      <c r="E394" s="49"/>
      <c r="F394" s="49"/>
      <c r="G394" s="49"/>
      <c r="I394" s="51"/>
      <c r="X394" s="178"/>
      <c r="Z394" s="59"/>
    </row>
    <row r="395" spans="2:26" ht="15">
      <c r="B395" s="177"/>
      <c r="D395" s="49"/>
      <c r="E395" s="49"/>
      <c r="F395" s="49"/>
      <c r="G395" s="49"/>
      <c r="I395" s="51"/>
      <c r="X395" s="178"/>
      <c r="Z395" s="59"/>
    </row>
    <row r="396" spans="2:26" ht="15">
      <c r="B396" s="177"/>
      <c r="D396" s="49"/>
      <c r="E396" s="49"/>
      <c r="F396" s="49"/>
      <c r="G396" s="49"/>
      <c r="I396" s="51"/>
      <c r="X396" s="178"/>
      <c r="Z396" s="59"/>
    </row>
    <row r="397" spans="2:26" ht="15">
      <c r="B397" s="177"/>
      <c r="D397" s="49"/>
      <c r="E397" s="49"/>
      <c r="F397" s="49"/>
      <c r="G397" s="49"/>
      <c r="I397" s="51"/>
      <c r="X397" s="178"/>
      <c r="Z397" s="59"/>
    </row>
    <row r="398" spans="2:26" ht="15">
      <c r="B398" s="177"/>
      <c r="D398" s="49"/>
      <c r="E398" s="49"/>
      <c r="F398" s="49"/>
      <c r="G398" s="49"/>
      <c r="I398" s="51"/>
      <c r="X398" s="178"/>
      <c r="Z398" s="59"/>
    </row>
    <row r="399" spans="2:26" ht="15">
      <c r="B399" s="177"/>
      <c r="D399" s="49"/>
      <c r="E399" s="49"/>
      <c r="F399" s="49"/>
      <c r="G399" s="49"/>
      <c r="I399" s="51"/>
      <c r="X399" s="178"/>
      <c r="Z399" s="59"/>
    </row>
    <row r="400" spans="2:26" ht="15">
      <c r="B400" s="177"/>
      <c r="D400" s="49"/>
      <c r="E400" s="49"/>
      <c r="F400" s="49"/>
      <c r="G400" s="49"/>
      <c r="I400" s="51"/>
      <c r="X400" s="178"/>
      <c r="Z400" s="59"/>
    </row>
    <row r="401" spans="2:26" ht="15">
      <c r="B401" s="177"/>
      <c r="D401" s="49"/>
      <c r="E401" s="49"/>
      <c r="F401" s="49"/>
      <c r="G401" s="49"/>
      <c r="I401" s="51"/>
      <c r="X401" s="178"/>
      <c r="Z401" s="59"/>
    </row>
    <row r="402" spans="2:26" ht="15">
      <c r="B402" s="177"/>
      <c r="D402" s="49"/>
      <c r="E402" s="49"/>
      <c r="F402" s="49"/>
      <c r="G402" s="49"/>
      <c r="I402" s="51"/>
      <c r="X402" s="178"/>
      <c r="Z402" s="59"/>
    </row>
    <row r="403" spans="2:26" ht="15">
      <c r="B403" s="177"/>
      <c r="D403" s="49"/>
      <c r="E403" s="49"/>
      <c r="F403" s="49"/>
      <c r="G403" s="49"/>
      <c r="I403" s="51"/>
      <c r="X403" s="178"/>
      <c r="Z403" s="59"/>
    </row>
    <row r="404" spans="2:26" ht="15">
      <c r="B404" s="177"/>
      <c r="D404" s="49"/>
      <c r="E404" s="49"/>
      <c r="F404" s="49"/>
      <c r="G404" s="49"/>
      <c r="I404" s="51"/>
      <c r="X404" s="178"/>
      <c r="Z404" s="59"/>
    </row>
    <row r="405" spans="2:26" ht="15">
      <c r="B405" s="177"/>
      <c r="D405" s="49"/>
      <c r="E405" s="49"/>
      <c r="F405" s="49"/>
      <c r="G405" s="49"/>
      <c r="I405" s="51"/>
      <c r="X405" s="178"/>
      <c r="Z405" s="59"/>
    </row>
    <row r="406" spans="2:26" ht="15">
      <c r="B406" s="177"/>
      <c r="D406" s="49"/>
      <c r="E406" s="49"/>
      <c r="F406" s="49"/>
      <c r="G406" s="49"/>
      <c r="I406" s="51"/>
      <c r="X406" s="178"/>
      <c r="Z406" s="59"/>
    </row>
    <row r="407" spans="2:26" ht="15">
      <c r="B407" s="177"/>
      <c r="D407" s="49"/>
      <c r="E407" s="49"/>
      <c r="F407" s="49"/>
      <c r="G407" s="49"/>
      <c r="I407" s="51"/>
      <c r="X407" s="178"/>
      <c r="Z407" s="59"/>
    </row>
    <row r="408" spans="2:26" ht="15">
      <c r="B408" s="177"/>
      <c r="D408" s="49"/>
      <c r="E408" s="49"/>
      <c r="F408" s="49"/>
      <c r="G408" s="49"/>
      <c r="I408" s="51"/>
      <c r="X408" s="178"/>
      <c r="Z408" s="59"/>
    </row>
    <row r="409" spans="2:26" ht="15">
      <c r="B409" s="177"/>
      <c r="D409" s="49"/>
      <c r="E409" s="49"/>
      <c r="F409" s="49"/>
      <c r="G409" s="49"/>
      <c r="I409" s="51"/>
      <c r="X409" s="178"/>
      <c r="Z409" s="59"/>
    </row>
    <row r="410" spans="2:26" ht="15">
      <c r="B410" s="177"/>
      <c r="D410" s="49"/>
      <c r="E410" s="49"/>
      <c r="F410" s="49"/>
      <c r="G410" s="49"/>
      <c r="I410" s="51"/>
      <c r="X410" s="178"/>
      <c r="Z410" s="59"/>
    </row>
    <row r="411" spans="2:26" ht="15">
      <c r="B411" s="177"/>
      <c r="D411" s="49"/>
      <c r="E411" s="49"/>
      <c r="F411" s="49"/>
      <c r="G411" s="49"/>
      <c r="I411" s="51"/>
      <c r="X411" s="178"/>
      <c r="Z411" s="59"/>
    </row>
    <row r="412" spans="2:26" ht="15">
      <c r="B412" s="177"/>
      <c r="D412" s="49"/>
      <c r="E412" s="49"/>
      <c r="F412" s="49"/>
      <c r="G412" s="49"/>
      <c r="I412" s="51"/>
      <c r="X412" s="178"/>
      <c r="Z412" s="59"/>
    </row>
    <row r="413" spans="2:26" ht="15">
      <c r="B413" s="177"/>
      <c r="D413" s="49"/>
      <c r="E413" s="49"/>
      <c r="F413" s="49"/>
      <c r="G413" s="49"/>
      <c r="I413" s="51"/>
      <c r="X413" s="178"/>
      <c r="Z413" s="59"/>
    </row>
    <row r="414" spans="2:26" ht="15">
      <c r="B414" s="177"/>
      <c r="D414" s="49"/>
      <c r="E414" s="49"/>
      <c r="F414" s="49"/>
      <c r="G414" s="49"/>
      <c r="I414" s="51"/>
      <c r="X414" s="178"/>
      <c r="Z414" s="59"/>
    </row>
    <row r="415" spans="2:26" ht="15">
      <c r="B415" s="177"/>
      <c r="D415" s="49"/>
      <c r="E415" s="49"/>
      <c r="F415" s="49"/>
      <c r="G415" s="49"/>
      <c r="I415" s="51"/>
      <c r="X415" s="178"/>
      <c r="Z415" s="59"/>
    </row>
    <row r="416" spans="2:26" ht="15">
      <c r="B416" s="177"/>
      <c r="D416" s="49"/>
      <c r="E416" s="49"/>
      <c r="F416" s="49"/>
      <c r="G416" s="49"/>
      <c r="I416" s="51"/>
      <c r="X416" s="178"/>
      <c r="Z416" s="59"/>
    </row>
    <row r="417" spans="2:26" ht="15">
      <c r="B417" s="177"/>
      <c r="D417" s="49"/>
      <c r="E417" s="49"/>
      <c r="F417" s="49"/>
      <c r="G417" s="49"/>
      <c r="I417" s="51"/>
      <c r="X417" s="178"/>
      <c r="Z417" s="59"/>
    </row>
    <row r="418" spans="2:26" ht="15">
      <c r="B418" s="177"/>
      <c r="D418" s="49"/>
      <c r="E418" s="49"/>
      <c r="F418" s="49"/>
      <c r="G418" s="49"/>
      <c r="I418" s="51"/>
      <c r="X418" s="178"/>
      <c r="Z418" s="59"/>
    </row>
    <row r="419" spans="2:26" ht="15">
      <c r="B419" s="177"/>
      <c r="D419" s="49"/>
      <c r="E419" s="49"/>
      <c r="F419" s="49"/>
      <c r="G419" s="49"/>
      <c r="I419" s="51"/>
      <c r="X419" s="178"/>
      <c r="Z419" s="59"/>
    </row>
    <row r="420" spans="2:26" ht="15">
      <c r="B420" s="177"/>
      <c r="D420" s="49"/>
      <c r="E420" s="49"/>
      <c r="F420" s="49"/>
      <c r="G420" s="49"/>
      <c r="I420" s="51"/>
      <c r="X420" s="178"/>
      <c r="Z420" s="59"/>
    </row>
    <row r="421" spans="2:26" ht="15">
      <c r="B421" s="177"/>
      <c r="D421" s="49"/>
      <c r="E421" s="49"/>
      <c r="F421" s="49"/>
      <c r="G421" s="49"/>
      <c r="I421" s="51"/>
      <c r="X421" s="178"/>
      <c r="Z421" s="59"/>
    </row>
    <row r="422" spans="2:26" ht="15">
      <c r="B422" s="177"/>
      <c r="D422" s="49"/>
      <c r="E422" s="49"/>
      <c r="F422" s="49"/>
      <c r="G422" s="49"/>
      <c r="I422" s="51"/>
      <c r="X422" s="178"/>
      <c r="Z422" s="59"/>
    </row>
    <row r="423" spans="2:26" ht="15">
      <c r="B423" s="177"/>
      <c r="D423" s="49"/>
      <c r="E423" s="49"/>
      <c r="F423" s="49"/>
      <c r="G423" s="49"/>
      <c r="I423" s="51"/>
      <c r="X423" s="178"/>
      <c r="Z423" s="59"/>
    </row>
    <row r="424" spans="2:26" ht="15">
      <c r="B424" s="177"/>
      <c r="D424" s="49"/>
      <c r="E424" s="49"/>
      <c r="F424" s="49"/>
      <c r="G424" s="49"/>
      <c r="I424" s="51"/>
      <c r="X424" s="178"/>
      <c r="Z424" s="59"/>
    </row>
    <row r="425" spans="2:26" ht="15">
      <c r="B425" s="177"/>
      <c r="D425" s="49"/>
      <c r="E425" s="49"/>
      <c r="F425" s="49"/>
      <c r="G425" s="49"/>
      <c r="I425" s="51"/>
      <c r="X425" s="178"/>
      <c r="Z425" s="59"/>
    </row>
    <row r="426" spans="2:26" ht="15">
      <c r="B426" s="177"/>
      <c r="D426" s="49"/>
      <c r="E426" s="49"/>
      <c r="F426" s="49"/>
      <c r="G426" s="49"/>
      <c r="I426" s="51"/>
      <c r="X426" s="178"/>
      <c r="Z426" s="59"/>
    </row>
    <row r="427" spans="2:26" ht="15">
      <c r="B427" s="177"/>
      <c r="D427" s="49"/>
      <c r="E427" s="49"/>
      <c r="F427" s="49"/>
      <c r="G427" s="49"/>
      <c r="I427" s="51"/>
      <c r="X427" s="178"/>
      <c r="Z427" s="59"/>
    </row>
    <row r="428" spans="2:26" ht="15">
      <c r="B428" s="177"/>
      <c r="D428" s="49"/>
      <c r="E428" s="49"/>
      <c r="F428" s="49"/>
      <c r="G428" s="49"/>
      <c r="I428" s="51"/>
      <c r="X428" s="178"/>
      <c r="Z428" s="59"/>
    </row>
    <row r="429" spans="2:26" ht="15">
      <c r="B429" s="177"/>
      <c r="D429" s="49"/>
      <c r="E429" s="49"/>
      <c r="F429" s="49"/>
      <c r="G429" s="49"/>
      <c r="I429" s="51"/>
      <c r="X429" s="178"/>
      <c r="Z429" s="59"/>
    </row>
    <row r="430" spans="2:26" ht="15">
      <c r="B430" s="177"/>
      <c r="D430" s="49"/>
      <c r="E430" s="49"/>
      <c r="F430" s="49"/>
      <c r="G430" s="49"/>
      <c r="I430" s="51"/>
      <c r="X430" s="178"/>
      <c r="Z430" s="59"/>
    </row>
    <row r="431" spans="2:26" ht="15">
      <c r="B431" s="177"/>
      <c r="D431" s="49"/>
      <c r="E431" s="49"/>
      <c r="F431" s="49"/>
      <c r="G431" s="49"/>
      <c r="I431" s="51"/>
      <c r="X431" s="178"/>
      <c r="Z431" s="59"/>
    </row>
    <row r="432" spans="2:26" ht="15">
      <c r="B432" s="177"/>
      <c r="D432" s="49"/>
      <c r="E432" s="49"/>
      <c r="F432" s="49"/>
      <c r="G432" s="49"/>
      <c r="I432" s="51"/>
      <c r="X432" s="178"/>
      <c r="Z432" s="59"/>
    </row>
    <row r="433" spans="2:26" ht="15">
      <c r="B433" s="177"/>
      <c r="D433" s="49"/>
      <c r="E433" s="49"/>
      <c r="F433" s="49"/>
      <c r="G433" s="49"/>
      <c r="I433" s="51"/>
      <c r="X433" s="178"/>
      <c r="Z433" s="59"/>
    </row>
    <row r="434" spans="2:26" ht="15">
      <c r="B434" s="177"/>
      <c r="D434" s="49"/>
      <c r="E434" s="49"/>
      <c r="F434" s="49"/>
      <c r="G434" s="49"/>
      <c r="I434" s="51"/>
      <c r="X434" s="178"/>
      <c r="Z434" s="59"/>
    </row>
    <row r="435" spans="2:26" ht="15">
      <c r="B435" s="177"/>
      <c r="D435" s="49"/>
      <c r="E435" s="49"/>
      <c r="F435" s="49"/>
      <c r="G435" s="49"/>
      <c r="I435" s="51"/>
      <c r="X435" s="178"/>
      <c r="Z435" s="59"/>
    </row>
    <row r="436" spans="2:26" ht="15">
      <c r="B436" s="177"/>
      <c r="D436" s="49"/>
      <c r="E436" s="49"/>
      <c r="F436" s="49"/>
      <c r="G436" s="49"/>
      <c r="I436" s="51"/>
      <c r="X436" s="178"/>
      <c r="Z436" s="59"/>
    </row>
    <row r="437" spans="2:26" ht="15">
      <c r="B437" s="177"/>
      <c r="D437" s="49"/>
      <c r="E437" s="49"/>
      <c r="F437" s="49"/>
      <c r="G437" s="49"/>
      <c r="I437" s="51"/>
      <c r="X437" s="178"/>
      <c r="Z437" s="59"/>
    </row>
    <row r="438" spans="2:26" ht="15">
      <c r="B438" s="177"/>
      <c r="D438" s="49"/>
      <c r="E438" s="49"/>
      <c r="F438" s="49"/>
      <c r="G438" s="49"/>
      <c r="I438" s="51"/>
      <c r="X438" s="178"/>
      <c r="Z438" s="59"/>
    </row>
    <row r="439" spans="2:26" ht="15">
      <c r="B439" s="177"/>
      <c r="D439" s="49"/>
      <c r="E439" s="49"/>
      <c r="F439" s="49"/>
      <c r="G439" s="49"/>
      <c r="I439" s="51"/>
      <c r="X439" s="178"/>
      <c r="Z439" s="59"/>
    </row>
    <row r="440" spans="2:26" ht="15">
      <c r="B440" s="177"/>
      <c r="D440" s="49"/>
      <c r="E440" s="49"/>
      <c r="F440" s="49"/>
      <c r="G440" s="49"/>
      <c r="I440" s="51"/>
      <c r="X440" s="178"/>
      <c r="Z440" s="59"/>
    </row>
    <row r="441" spans="2:26" ht="15">
      <c r="B441" s="177"/>
      <c r="D441" s="49"/>
      <c r="E441" s="49"/>
      <c r="F441" s="49"/>
      <c r="G441" s="49"/>
      <c r="I441" s="51"/>
      <c r="X441" s="178"/>
      <c r="Z441" s="59"/>
    </row>
    <row r="442" spans="2:26" ht="15">
      <c r="B442" s="177"/>
      <c r="D442" s="49"/>
      <c r="E442" s="49"/>
      <c r="F442" s="49"/>
      <c r="G442" s="49"/>
      <c r="I442" s="51"/>
      <c r="X442" s="178"/>
      <c r="Z442" s="59"/>
    </row>
    <row r="443" spans="2:26" ht="15">
      <c r="B443" s="177"/>
      <c r="D443" s="49"/>
      <c r="E443" s="49"/>
      <c r="F443" s="49"/>
      <c r="G443" s="49"/>
      <c r="I443" s="51"/>
      <c r="X443" s="178"/>
      <c r="Z443" s="59"/>
    </row>
    <row r="444" spans="2:26" ht="15">
      <c r="B444" s="177"/>
      <c r="D444" s="49"/>
      <c r="E444" s="49"/>
      <c r="F444" s="49"/>
      <c r="G444" s="49"/>
      <c r="I444" s="51"/>
      <c r="X444" s="178"/>
      <c r="Z444" s="59"/>
    </row>
    <row r="445" spans="2:26" ht="15">
      <c r="B445" s="177"/>
      <c r="D445" s="49"/>
      <c r="E445" s="49"/>
      <c r="F445" s="49"/>
      <c r="G445" s="49"/>
      <c r="I445" s="51"/>
      <c r="X445" s="178"/>
      <c r="Z445" s="59"/>
    </row>
    <row r="446" spans="2:26" ht="15">
      <c r="B446" s="177"/>
      <c r="D446" s="49"/>
      <c r="E446" s="49"/>
      <c r="F446" s="49"/>
      <c r="G446" s="49"/>
      <c r="I446" s="51"/>
      <c r="X446" s="178"/>
      <c r="Z446" s="59"/>
    </row>
    <row r="447" spans="2:26" ht="15">
      <c r="B447" s="177"/>
      <c r="D447" s="49"/>
      <c r="E447" s="49"/>
      <c r="F447" s="49"/>
      <c r="G447" s="49"/>
      <c r="I447" s="51"/>
      <c r="X447" s="178"/>
      <c r="Z447" s="59"/>
    </row>
    <row r="448" spans="2:26" ht="15">
      <c r="B448" s="177"/>
      <c r="D448" s="49"/>
      <c r="E448" s="49"/>
      <c r="F448" s="49"/>
      <c r="G448" s="49"/>
      <c r="I448" s="51"/>
      <c r="X448" s="178"/>
      <c r="Z448" s="59"/>
    </row>
    <row r="449" spans="2:26" ht="15">
      <c r="B449" s="177"/>
      <c r="D449" s="49"/>
      <c r="E449" s="49"/>
      <c r="F449" s="49"/>
      <c r="G449" s="49"/>
      <c r="I449" s="51"/>
      <c r="X449" s="178"/>
      <c r="Z449" s="59"/>
    </row>
    <row r="450" spans="2:26" ht="15">
      <c r="B450" s="177"/>
      <c r="D450" s="49"/>
      <c r="E450" s="49"/>
      <c r="F450" s="49"/>
      <c r="G450" s="49"/>
      <c r="I450" s="51"/>
      <c r="X450" s="178"/>
      <c r="Z450" s="59"/>
    </row>
    <row r="451" spans="2:26" ht="15">
      <c r="B451" s="177"/>
      <c r="D451" s="49"/>
      <c r="E451" s="49"/>
      <c r="F451" s="49"/>
      <c r="G451" s="49"/>
      <c r="I451" s="51"/>
      <c r="X451" s="178"/>
      <c r="Z451" s="59"/>
    </row>
    <row r="452" spans="2:26" ht="15">
      <c r="B452" s="177"/>
      <c r="D452" s="49"/>
      <c r="E452" s="49"/>
      <c r="F452" s="49"/>
      <c r="G452" s="49"/>
      <c r="I452" s="51"/>
      <c r="X452" s="178"/>
      <c r="Z452" s="59"/>
    </row>
    <row r="453" spans="2:26" ht="15">
      <c r="B453" s="177"/>
      <c r="D453" s="49"/>
      <c r="E453" s="49"/>
      <c r="F453" s="49"/>
      <c r="G453" s="49"/>
      <c r="I453" s="51"/>
      <c r="X453" s="178"/>
      <c r="Z453" s="59"/>
    </row>
    <row r="454" spans="2:26" ht="15">
      <c r="B454" s="177"/>
      <c r="D454" s="49"/>
      <c r="E454" s="49"/>
      <c r="F454" s="49"/>
      <c r="G454" s="49"/>
      <c r="I454" s="51"/>
      <c r="X454" s="178"/>
      <c r="Z454" s="59"/>
    </row>
    <row r="455" spans="2:26" ht="15">
      <c r="B455" s="177"/>
      <c r="D455" s="49"/>
      <c r="E455" s="49"/>
      <c r="F455" s="49"/>
      <c r="G455" s="49"/>
      <c r="I455" s="51"/>
      <c r="X455" s="178"/>
      <c r="Z455" s="59"/>
    </row>
    <row r="456" spans="2:26" ht="15">
      <c r="B456" s="177"/>
      <c r="D456" s="49"/>
      <c r="E456" s="49"/>
      <c r="F456" s="49"/>
      <c r="G456" s="49"/>
      <c r="I456" s="51"/>
      <c r="X456" s="178"/>
      <c r="Z456" s="59"/>
    </row>
    <row r="457" spans="2:26" ht="15">
      <c r="B457" s="177"/>
      <c r="D457" s="49"/>
      <c r="E457" s="49"/>
      <c r="F457" s="49"/>
      <c r="G457" s="49"/>
      <c r="I457" s="51"/>
      <c r="X457" s="178"/>
      <c r="Z457" s="59"/>
    </row>
    <row r="458" spans="2:26" ht="15">
      <c r="B458" s="177"/>
      <c r="D458" s="49"/>
      <c r="E458" s="49"/>
      <c r="F458" s="49"/>
      <c r="G458" s="49"/>
      <c r="I458" s="51"/>
      <c r="X458" s="178"/>
      <c r="Z458" s="59"/>
    </row>
    <row r="459" spans="2:26" ht="15">
      <c r="B459" s="177"/>
      <c r="D459" s="49"/>
      <c r="E459" s="49"/>
      <c r="F459" s="49"/>
      <c r="G459" s="49"/>
      <c r="I459" s="51"/>
      <c r="X459" s="178"/>
      <c r="Z459" s="59"/>
    </row>
    <row r="460" spans="2:26" ht="15">
      <c r="B460" s="177"/>
      <c r="D460" s="49"/>
      <c r="E460" s="49"/>
      <c r="F460" s="49"/>
      <c r="G460" s="49"/>
      <c r="I460" s="51"/>
      <c r="X460" s="178"/>
      <c r="Z460" s="59"/>
    </row>
    <row r="461" spans="2:26" ht="15">
      <c r="B461" s="177"/>
      <c r="D461" s="49"/>
      <c r="E461" s="49"/>
      <c r="F461" s="49"/>
      <c r="G461" s="49"/>
      <c r="I461" s="51"/>
      <c r="X461" s="178"/>
      <c r="Z461" s="59"/>
    </row>
    <row r="462" spans="2:26" ht="15">
      <c r="B462" s="177"/>
      <c r="D462" s="49"/>
      <c r="E462" s="49"/>
      <c r="F462" s="49"/>
      <c r="G462" s="49"/>
      <c r="I462" s="51"/>
      <c r="X462" s="178"/>
      <c r="Z462" s="59"/>
    </row>
    <row r="463" spans="2:26" ht="15">
      <c r="B463" s="177"/>
      <c r="D463" s="49"/>
      <c r="E463" s="49"/>
      <c r="F463" s="49"/>
      <c r="G463" s="49"/>
      <c r="I463" s="51"/>
      <c r="X463" s="178"/>
      <c r="Z463" s="59"/>
    </row>
    <row r="464" spans="2:26" ht="15">
      <c r="B464" s="177"/>
      <c r="D464" s="49"/>
      <c r="E464" s="49"/>
      <c r="F464" s="49"/>
      <c r="G464" s="49"/>
      <c r="I464" s="51"/>
      <c r="X464" s="178"/>
      <c r="Z464" s="59"/>
    </row>
    <row r="465" spans="2:26" ht="15">
      <c r="B465" s="177"/>
      <c r="D465" s="49"/>
      <c r="E465" s="49"/>
      <c r="F465" s="49"/>
      <c r="G465" s="49"/>
      <c r="I465" s="51"/>
      <c r="X465" s="178"/>
      <c r="Z465" s="59"/>
    </row>
    <row r="466" spans="2:26" ht="15">
      <c r="B466" s="177"/>
      <c r="D466" s="49"/>
      <c r="E466" s="49"/>
      <c r="F466" s="49"/>
      <c r="G466" s="49"/>
      <c r="I466" s="51"/>
      <c r="X466" s="178"/>
      <c r="Z466" s="59"/>
    </row>
    <row r="467" spans="2:26" ht="15">
      <c r="B467" s="177"/>
      <c r="D467" s="49"/>
      <c r="E467" s="49"/>
      <c r="F467" s="49"/>
      <c r="G467" s="49"/>
      <c r="I467" s="51"/>
      <c r="X467" s="178"/>
      <c r="Z467" s="59"/>
    </row>
    <row r="468" spans="2:26" ht="15">
      <c r="B468" s="177"/>
      <c r="D468" s="49"/>
      <c r="E468" s="49"/>
      <c r="F468" s="49"/>
      <c r="G468" s="49"/>
      <c r="I468" s="51"/>
      <c r="X468" s="178"/>
      <c r="Z468" s="59"/>
    </row>
    <row r="469" spans="2:26" ht="15">
      <c r="B469" s="177"/>
      <c r="D469" s="49"/>
      <c r="E469" s="49"/>
      <c r="F469" s="49"/>
      <c r="G469" s="49"/>
      <c r="I469" s="51"/>
      <c r="X469" s="178"/>
      <c r="Z469" s="59"/>
    </row>
    <row r="470" spans="2:26" ht="15">
      <c r="B470" s="177"/>
      <c r="D470" s="49"/>
      <c r="E470" s="49"/>
      <c r="F470" s="49"/>
      <c r="G470" s="49"/>
      <c r="I470" s="51"/>
      <c r="X470" s="178"/>
      <c r="Z470" s="59"/>
    </row>
    <row r="471" spans="2:26" ht="15">
      <c r="B471" s="177"/>
      <c r="D471" s="49"/>
      <c r="E471" s="49"/>
      <c r="F471" s="49"/>
      <c r="G471" s="49"/>
      <c r="I471" s="51"/>
      <c r="X471" s="178"/>
      <c r="Z471" s="59"/>
    </row>
    <row r="472" spans="2:26" ht="15">
      <c r="B472" s="177"/>
      <c r="D472" s="49"/>
      <c r="E472" s="49"/>
      <c r="F472" s="49"/>
      <c r="G472" s="49"/>
      <c r="I472" s="51"/>
      <c r="X472" s="178"/>
      <c r="Z472" s="59"/>
    </row>
    <row r="473" spans="2:26" ht="15">
      <c r="B473" s="177"/>
      <c r="D473" s="49"/>
      <c r="E473" s="49"/>
      <c r="F473" s="49"/>
      <c r="G473" s="49"/>
      <c r="I473" s="51"/>
      <c r="X473" s="178"/>
      <c r="Z473" s="59"/>
    </row>
    <row r="474" spans="2:26" ht="15">
      <c r="B474" s="177"/>
      <c r="D474" s="49"/>
      <c r="E474" s="49"/>
      <c r="F474" s="49"/>
      <c r="G474" s="49"/>
      <c r="I474" s="51"/>
      <c r="X474" s="178"/>
      <c r="Z474" s="59"/>
    </row>
    <row r="475" spans="2:26" ht="15">
      <c r="B475" s="177"/>
      <c r="D475" s="49"/>
      <c r="E475" s="49"/>
      <c r="F475" s="49"/>
      <c r="G475" s="49"/>
      <c r="I475" s="51"/>
      <c r="X475" s="178"/>
      <c r="Z475" s="59"/>
    </row>
    <row r="476" spans="2:26" ht="15">
      <c r="B476" s="177"/>
      <c r="D476" s="49"/>
      <c r="E476" s="49"/>
      <c r="F476" s="49"/>
      <c r="G476" s="49"/>
      <c r="I476" s="51"/>
      <c r="X476" s="178"/>
      <c r="Z476" s="59"/>
    </row>
    <row r="477" spans="2:26" ht="15">
      <c r="B477" s="177"/>
      <c r="D477" s="49"/>
      <c r="E477" s="49"/>
      <c r="F477" s="49"/>
      <c r="G477" s="49"/>
      <c r="I477" s="51"/>
      <c r="X477" s="178"/>
      <c r="Z477" s="59"/>
    </row>
    <row r="478" spans="2:26" ht="15">
      <c r="B478" s="177"/>
      <c r="D478" s="49"/>
      <c r="E478" s="49"/>
      <c r="F478" s="49"/>
      <c r="G478" s="49"/>
      <c r="I478" s="51"/>
      <c r="X478" s="178"/>
      <c r="Z478" s="59"/>
    </row>
    <row r="479" spans="2:26" ht="15">
      <c r="B479" s="177"/>
      <c r="D479" s="49"/>
      <c r="E479" s="49"/>
      <c r="F479" s="49"/>
      <c r="G479" s="49"/>
      <c r="I479" s="51"/>
      <c r="X479" s="178"/>
      <c r="Z479" s="59"/>
    </row>
    <row r="480" spans="2:26" ht="15">
      <c r="B480" s="177"/>
      <c r="D480" s="49"/>
      <c r="E480" s="49"/>
      <c r="F480" s="49"/>
      <c r="G480" s="49"/>
      <c r="I480" s="51"/>
      <c r="X480" s="178"/>
      <c r="Z480" s="59"/>
    </row>
    <row r="481" spans="2:26" ht="15">
      <c r="B481" s="177"/>
      <c r="D481" s="49"/>
      <c r="E481" s="49"/>
      <c r="F481" s="49"/>
      <c r="G481" s="49"/>
      <c r="I481" s="51"/>
      <c r="X481" s="178"/>
      <c r="Z481" s="59"/>
    </row>
    <row r="482" spans="2:26" ht="15">
      <c r="B482" s="177"/>
      <c r="D482" s="49"/>
      <c r="E482" s="49"/>
      <c r="F482" s="49"/>
      <c r="G482" s="49"/>
      <c r="I482" s="51"/>
      <c r="X482" s="178"/>
      <c r="Z482" s="59"/>
    </row>
    <row r="483" spans="2:26" ht="15">
      <c r="B483" s="177"/>
      <c r="D483" s="49"/>
      <c r="E483" s="49"/>
      <c r="F483" s="49"/>
      <c r="G483" s="49"/>
      <c r="I483" s="51"/>
      <c r="X483" s="178"/>
      <c r="Z483" s="59"/>
    </row>
    <row r="484" spans="2:26" ht="15">
      <c r="B484" s="177"/>
      <c r="D484" s="49"/>
      <c r="E484" s="49"/>
      <c r="F484" s="49"/>
      <c r="G484" s="49"/>
      <c r="I484" s="51"/>
      <c r="X484" s="178"/>
      <c r="Z484" s="59"/>
    </row>
    <row r="485" spans="2:26" ht="15">
      <c r="B485" s="177"/>
      <c r="D485" s="49"/>
      <c r="E485" s="49"/>
      <c r="F485" s="49"/>
      <c r="G485" s="49"/>
      <c r="I485" s="51"/>
      <c r="X485" s="178"/>
      <c r="Z485" s="59"/>
    </row>
    <row r="486" spans="2:26" ht="15">
      <c r="B486" s="177"/>
      <c r="D486" s="49"/>
      <c r="E486" s="49"/>
      <c r="F486" s="49"/>
      <c r="G486" s="49"/>
      <c r="I486" s="51"/>
      <c r="X486" s="178"/>
      <c r="Z486" s="59"/>
    </row>
    <row r="487" spans="2:26" ht="15">
      <c r="B487" s="177"/>
      <c r="D487" s="49"/>
      <c r="E487" s="49"/>
      <c r="F487" s="49"/>
      <c r="G487" s="49"/>
      <c r="I487" s="51"/>
      <c r="X487" s="178"/>
      <c r="Z487" s="59"/>
    </row>
    <row r="488" spans="2:26" ht="15">
      <c r="B488" s="177"/>
      <c r="D488" s="49"/>
      <c r="E488" s="49"/>
      <c r="F488" s="49"/>
      <c r="G488" s="49"/>
      <c r="I488" s="51"/>
      <c r="X488" s="178"/>
      <c r="Z488" s="59"/>
    </row>
    <row r="489" spans="2:26" ht="15">
      <c r="B489" s="177"/>
      <c r="D489" s="49"/>
      <c r="E489" s="49"/>
      <c r="F489" s="49"/>
      <c r="G489" s="49"/>
      <c r="I489" s="51"/>
      <c r="X489" s="178"/>
      <c r="Z489" s="59"/>
    </row>
    <row r="490" spans="2:26" ht="15">
      <c r="B490" s="177"/>
      <c r="D490" s="49"/>
      <c r="E490" s="49"/>
      <c r="F490" s="49"/>
      <c r="G490" s="49"/>
      <c r="I490" s="51"/>
      <c r="X490" s="178"/>
      <c r="Z490" s="59"/>
    </row>
    <row r="491" spans="2:26" ht="15">
      <c r="B491" s="177"/>
      <c r="D491" s="49"/>
      <c r="E491" s="49"/>
      <c r="F491" s="49"/>
      <c r="G491" s="49"/>
      <c r="I491" s="51"/>
      <c r="X491" s="178"/>
      <c r="Z491" s="59"/>
    </row>
    <row r="492" spans="2:26" ht="15">
      <c r="B492" s="177"/>
      <c r="D492" s="49"/>
      <c r="E492" s="49"/>
      <c r="F492" s="49"/>
      <c r="G492" s="49"/>
      <c r="I492" s="51"/>
      <c r="X492" s="178"/>
      <c r="Z492" s="59"/>
    </row>
    <row r="493" spans="2:26" ht="15">
      <c r="B493" s="177"/>
      <c r="D493" s="49"/>
      <c r="E493" s="49"/>
      <c r="F493" s="49"/>
      <c r="G493" s="49"/>
      <c r="I493" s="51"/>
      <c r="X493" s="178"/>
      <c r="Z493" s="59"/>
    </row>
    <row r="494" spans="2:26" ht="15">
      <c r="B494" s="177"/>
      <c r="D494" s="49"/>
      <c r="E494" s="49"/>
      <c r="F494" s="49"/>
      <c r="G494" s="49"/>
      <c r="I494" s="51"/>
      <c r="X494" s="178"/>
      <c r="Z494" s="59"/>
    </row>
    <row r="495" spans="2:26" ht="15">
      <c r="B495" s="177"/>
      <c r="D495" s="49"/>
      <c r="E495" s="49"/>
      <c r="F495" s="49"/>
      <c r="G495" s="49"/>
      <c r="I495" s="51"/>
      <c r="X495" s="178"/>
      <c r="Z495" s="59"/>
    </row>
    <row r="496" spans="2:26" ht="15">
      <c r="B496" s="177"/>
      <c r="D496" s="49"/>
      <c r="E496" s="49"/>
      <c r="F496" s="49"/>
      <c r="G496" s="49"/>
      <c r="I496" s="51"/>
      <c r="X496" s="178"/>
      <c r="Z496" s="59"/>
    </row>
    <row r="497" spans="2:26" ht="15">
      <c r="B497" s="177"/>
      <c r="D497" s="49"/>
      <c r="E497" s="49"/>
      <c r="F497" s="49"/>
      <c r="G497" s="49"/>
      <c r="I497" s="51"/>
      <c r="X497" s="178"/>
      <c r="Z497" s="59"/>
    </row>
    <row r="498" spans="2:26" ht="15">
      <c r="B498" s="177"/>
      <c r="D498" s="49"/>
      <c r="E498" s="49"/>
      <c r="F498" s="49"/>
      <c r="G498" s="49"/>
      <c r="I498" s="51"/>
      <c r="X498" s="178"/>
      <c r="Z498" s="59"/>
    </row>
    <row r="499" spans="2:26" ht="15">
      <c r="B499" s="177"/>
      <c r="D499" s="49"/>
      <c r="E499" s="49"/>
      <c r="F499" s="49"/>
      <c r="G499" s="49"/>
      <c r="I499" s="51"/>
      <c r="X499" s="178"/>
      <c r="Z499" s="59"/>
    </row>
    <row r="500" spans="2:26" ht="15">
      <c r="B500" s="177"/>
      <c r="D500" s="49"/>
      <c r="E500" s="49"/>
      <c r="F500" s="49"/>
      <c r="G500" s="49"/>
      <c r="I500" s="51"/>
      <c r="X500" s="178"/>
      <c r="Z500" s="59"/>
    </row>
    <row r="501" spans="2:26" ht="15">
      <c r="B501" s="177"/>
      <c r="D501" s="49"/>
      <c r="E501" s="49"/>
      <c r="F501" s="49"/>
      <c r="G501" s="49"/>
      <c r="I501" s="51"/>
      <c r="X501" s="178"/>
      <c r="Z501" s="59"/>
    </row>
    <row r="502" spans="2:26" ht="15">
      <c r="B502" s="177"/>
      <c r="D502" s="49"/>
      <c r="E502" s="49"/>
      <c r="F502" s="49"/>
      <c r="G502" s="49"/>
      <c r="I502" s="51"/>
      <c r="X502" s="178"/>
      <c r="Z502" s="59"/>
    </row>
    <row r="503" spans="2:26" ht="15">
      <c r="B503" s="177"/>
      <c r="D503" s="49"/>
      <c r="E503" s="49"/>
      <c r="F503" s="49"/>
      <c r="G503" s="49"/>
      <c r="I503" s="51"/>
      <c r="X503" s="178"/>
      <c r="Z503" s="59"/>
    </row>
    <row r="504" spans="2:26" ht="15">
      <c r="B504" s="177"/>
      <c r="D504" s="49"/>
      <c r="E504" s="49"/>
      <c r="F504" s="49"/>
      <c r="G504" s="49"/>
      <c r="I504" s="51"/>
      <c r="X504" s="178"/>
      <c r="Z504" s="59"/>
    </row>
    <row r="505" spans="2:26" ht="15">
      <c r="B505" s="177"/>
      <c r="D505" s="49"/>
      <c r="E505" s="49"/>
      <c r="F505" s="49"/>
      <c r="G505" s="49"/>
      <c r="I505" s="51"/>
      <c r="X505" s="178"/>
      <c r="Z505" s="59"/>
    </row>
    <row r="506" spans="2:26" ht="15">
      <c r="B506" s="177"/>
      <c r="D506" s="49"/>
      <c r="E506" s="49"/>
      <c r="F506" s="49"/>
      <c r="G506" s="49"/>
      <c r="I506" s="51"/>
      <c r="X506" s="178"/>
      <c r="Z506" s="59"/>
    </row>
    <row r="507" spans="2:26" ht="15">
      <c r="B507" s="177"/>
      <c r="D507" s="49"/>
      <c r="E507" s="49"/>
      <c r="F507" s="49"/>
      <c r="G507" s="49"/>
      <c r="I507" s="51"/>
      <c r="X507" s="178"/>
      <c r="Z507" s="59"/>
    </row>
    <row r="508" spans="2:26" ht="15">
      <c r="B508" s="177"/>
      <c r="D508" s="49"/>
      <c r="E508" s="49"/>
      <c r="F508" s="49"/>
      <c r="G508" s="49"/>
      <c r="I508" s="51"/>
      <c r="X508" s="178"/>
      <c r="Z508" s="59"/>
    </row>
    <row r="509" spans="2:26" ht="15">
      <c r="B509" s="177"/>
      <c r="D509" s="49"/>
      <c r="E509" s="49"/>
      <c r="F509" s="49"/>
      <c r="G509" s="49"/>
      <c r="I509" s="51"/>
      <c r="X509" s="178"/>
      <c r="Z509" s="59"/>
    </row>
    <row r="510" spans="2:26" ht="15">
      <c r="B510" s="177"/>
      <c r="D510" s="49"/>
      <c r="E510" s="49"/>
      <c r="F510" s="49"/>
      <c r="G510" s="49"/>
      <c r="I510" s="51"/>
      <c r="X510" s="178"/>
      <c r="Z510" s="59"/>
    </row>
    <row r="511" spans="2:26" ht="15">
      <c r="B511" s="177"/>
      <c r="D511" s="49"/>
      <c r="E511" s="49"/>
      <c r="F511" s="49"/>
      <c r="G511" s="49"/>
      <c r="I511" s="51"/>
      <c r="X511" s="178"/>
      <c r="Z511" s="59"/>
    </row>
    <row r="512" spans="2:26" ht="15">
      <c r="B512" s="177"/>
      <c r="D512" s="49"/>
      <c r="E512" s="49"/>
      <c r="F512" s="49"/>
      <c r="G512" s="49"/>
      <c r="I512" s="51"/>
      <c r="X512" s="178"/>
      <c r="Z512" s="59"/>
    </row>
    <row r="513" spans="2:26" ht="15">
      <c r="B513" s="177"/>
      <c r="D513" s="49"/>
      <c r="E513" s="49"/>
      <c r="F513" s="49"/>
      <c r="G513" s="49"/>
      <c r="I513" s="51"/>
      <c r="X513" s="178"/>
      <c r="Z513" s="59"/>
    </row>
    <row r="514" spans="2:26" ht="15">
      <c r="B514" s="177"/>
      <c r="D514" s="49"/>
      <c r="E514" s="49"/>
      <c r="F514" s="49"/>
      <c r="G514" s="49"/>
      <c r="I514" s="51"/>
      <c r="X514" s="178"/>
      <c r="Z514" s="59"/>
    </row>
    <row r="515" spans="2:26" ht="15">
      <c r="B515" s="177"/>
      <c r="D515" s="49"/>
      <c r="E515" s="49"/>
      <c r="F515" s="49"/>
      <c r="G515" s="49"/>
      <c r="I515" s="51"/>
      <c r="X515" s="178"/>
      <c r="Z515" s="59"/>
    </row>
    <row r="516" spans="2:26" ht="15">
      <c r="B516" s="177"/>
      <c r="D516" s="49"/>
      <c r="E516" s="49"/>
      <c r="F516" s="49"/>
      <c r="G516" s="49"/>
      <c r="I516" s="51"/>
      <c r="X516" s="178"/>
      <c r="Z516" s="59"/>
    </row>
    <row r="517" spans="2:26" ht="15">
      <c r="B517" s="177"/>
      <c r="D517" s="49"/>
      <c r="E517" s="49"/>
      <c r="F517" s="49"/>
      <c r="G517" s="49"/>
      <c r="I517" s="51"/>
      <c r="X517" s="178"/>
      <c r="Z517" s="59"/>
    </row>
    <row r="518" spans="2:26" ht="15">
      <c r="B518" s="177"/>
      <c r="D518" s="49"/>
      <c r="E518" s="49"/>
      <c r="F518" s="49"/>
      <c r="G518" s="49"/>
      <c r="I518" s="51"/>
      <c r="X518" s="178"/>
      <c r="Z518" s="59"/>
    </row>
    <row r="519" spans="2:26" ht="15">
      <c r="B519" s="177"/>
      <c r="D519" s="49"/>
      <c r="E519" s="49"/>
      <c r="F519" s="49"/>
      <c r="G519" s="49"/>
      <c r="I519" s="51"/>
      <c r="X519" s="178"/>
      <c r="Z519" s="59"/>
    </row>
    <row r="520" spans="2:26" ht="15">
      <c r="B520" s="177"/>
      <c r="D520" s="49"/>
      <c r="E520" s="49"/>
      <c r="F520" s="49"/>
      <c r="G520" s="49"/>
      <c r="I520" s="51"/>
      <c r="X520" s="178"/>
      <c r="Z520" s="59"/>
    </row>
    <row r="521" spans="2:26" ht="15">
      <c r="B521" s="177"/>
      <c r="D521" s="49"/>
      <c r="E521" s="49"/>
      <c r="F521" s="49"/>
      <c r="G521" s="49"/>
      <c r="I521" s="51"/>
      <c r="X521" s="178"/>
      <c r="Z521" s="59"/>
    </row>
    <row r="522" spans="2:26" ht="15">
      <c r="B522" s="177"/>
      <c r="D522" s="49"/>
      <c r="E522" s="49"/>
      <c r="F522" s="49"/>
      <c r="G522" s="49"/>
      <c r="I522" s="51"/>
      <c r="X522" s="178"/>
      <c r="Z522" s="59"/>
    </row>
    <row r="523" spans="2:26" ht="15">
      <c r="B523" s="177"/>
      <c r="D523" s="49"/>
      <c r="E523" s="49"/>
      <c r="F523" s="49"/>
      <c r="G523" s="49"/>
      <c r="I523" s="51"/>
      <c r="X523" s="178"/>
      <c r="Z523" s="59"/>
    </row>
    <row r="524" spans="2:26" ht="15">
      <c r="B524" s="177"/>
      <c r="D524" s="49"/>
      <c r="E524" s="49"/>
      <c r="F524" s="49"/>
      <c r="G524" s="49"/>
      <c r="I524" s="51"/>
      <c r="X524" s="178"/>
      <c r="Z524" s="59"/>
    </row>
    <row r="525" spans="2:26" ht="15">
      <c r="B525" s="177"/>
      <c r="D525" s="49"/>
      <c r="E525" s="49"/>
      <c r="F525" s="49"/>
      <c r="G525" s="49"/>
      <c r="I525" s="51"/>
      <c r="X525" s="178"/>
      <c r="Z525" s="59"/>
    </row>
    <row r="526" spans="2:26" ht="15">
      <c r="B526" s="177"/>
      <c r="D526" s="49"/>
      <c r="E526" s="49"/>
      <c r="F526" s="49"/>
      <c r="G526" s="49"/>
      <c r="I526" s="51"/>
      <c r="X526" s="178"/>
      <c r="Z526" s="59"/>
    </row>
    <row r="527" spans="2:26" ht="15">
      <c r="B527" s="177"/>
      <c r="D527" s="49"/>
      <c r="E527" s="49"/>
      <c r="F527" s="49"/>
      <c r="G527" s="49"/>
      <c r="I527" s="51"/>
      <c r="X527" s="178"/>
      <c r="Z527" s="59"/>
    </row>
    <row r="528" spans="2:26" ht="15">
      <c r="B528" s="177"/>
      <c r="D528" s="49"/>
      <c r="E528" s="49"/>
      <c r="F528" s="49"/>
      <c r="G528" s="49"/>
      <c r="I528" s="51"/>
      <c r="X528" s="178"/>
      <c r="Z528" s="59"/>
    </row>
    <row r="529" spans="2:26" ht="15">
      <c r="B529" s="177"/>
      <c r="D529" s="49"/>
      <c r="E529" s="49"/>
      <c r="F529" s="49"/>
      <c r="G529" s="49"/>
      <c r="I529" s="51"/>
      <c r="X529" s="178"/>
      <c r="Z529" s="59"/>
    </row>
    <row r="530" spans="2:26" ht="15">
      <c r="B530" s="177"/>
      <c r="D530" s="49"/>
      <c r="E530" s="49"/>
      <c r="F530" s="49"/>
      <c r="G530" s="49"/>
      <c r="I530" s="51"/>
      <c r="X530" s="178"/>
      <c r="Z530" s="59"/>
    </row>
    <row r="531" spans="2:26" ht="15">
      <c r="B531" s="177"/>
      <c r="D531" s="49"/>
      <c r="E531" s="49"/>
      <c r="F531" s="49"/>
      <c r="G531" s="49"/>
      <c r="I531" s="51"/>
      <c r="X531" s="178"/>
      <c r="Z531" s="59"/>
    </row>
    <row r="532" spans="2:26" ht="15">
      <c r="B532" s="177"/>
      <c r="D532" s="49"/>
      <c r="E532" s="49"/>
      <c r="F532" s="49"/>
      <c r="G532" s="49"/>
      <c r="I532" s="51"/>
      <c r="X532" s="178"/>
      <c r="Z532" s="59"/>
    </row>
    <row r="533" spans="2:26" ht="15">
      <c r="B533" s="177"/>
      <c r="D533" s="49"/>
      <c r="E533" s="49"/>
      <c r="F533" s="49"/>
      <c r="G533" s="49"/>
      <c r="I533" s="51"/>
      <c r="X533" s="178"/>
      <c r="Z533" s="59"/>
    </row>
    <row r="534" spans="2:26" ht="15">
      <c r="B534" s="177"/>
      <c r="D534" s="49"/>
      <c r="E534" s="49"/>
      <c r="F534" s="49"/>
      <c r="G534" s="49"/>
      <c r="I534" s="51"/>
      <c r="X534" s="178"/>
      <c r="Z534" s="59"/>
    </row>
    <row r="535" spans="2:26" ht="15">
      <c r="B535" s="177"/>
      <c r="D535" s="49"/>
      <c r="E535" s="49"/>
      <c r="F535" s="49"/>
      <c r="G535" s="49"/>
      <c r="I535" s="51"/>
      <c r="X535" s="178"/>
      <c r="Z535" s="59"/>
    </row>
    <row r="536" spans="2:26" ht="15">
      <c r="B536" s="177"/>
      <c r="D536" s="49"/>
      <c r="E536" s="49"/>
      <c r="F536" s="49"/>
      <c r="G536" s="49"/>
      <c r="I536" s="51"/>
      <c r="X536" s="178"/>
      <c r="Z536" s="59"/>
    </row>
    <row r="537" spans="2:26" ht="15">
      <c r="B537" s="177"/>
      <c r="D537" s="49"/>
      <c r="E537" s="49"/>
      <c r="F537" s="49"/>
      <c r="G537" s="49"/>
      <c r="I537" s="51"/>
      <c r="X537" s="178"/>
      <c r="Z537" s="59"/>
    </row>
    <row r="538" spans="2:26" ht="15">
      <c r="B538" s="177"/>
      <c r="D538" s="49"/>
      <c r="E538" s="49"/>
      <c r="F538" s="49"/>
      <c r="G538" s="49"/>
      <c r="I538" s="51"/>
      <c r="X538" s="178"/>
      <c r="Z538" s="59"/>
    </row>
    <row r="539" spans="2:26" ht="15">
      <c r="B539" s="177"/>
      <c r="D539" s="49"/>
      <c r="E539" s="49"/>
      <c r="F539" s="49"/>
      <c r="G539" s="49"/>
      <c r="I539" s="51"/>
      <c r="X539" s="178"/>
      <c r="Z539" s="59"/>
    </row>
    <row r="540" spans="2:26" ht="15">
      <c r="B540" s="177"/>
      <c r="D540" s="49"/>
      <c r="E540" s="49"/>
      <c r="F540" s="49"/>
      <c r="G540" s="49"/>
      <c r="I540" s="51"/>
      <c r="X540" s="178"/>
      <c r="Z540" s="59"/>
    </row>
    <row r="541" spans="2:26" ht="15">
      <c r="B541" s="177"/>
      <c r="D541" s="49"/>
      <c r="E541" s="49"/>
      <c r="F541" s="49"/>
      <c r="G541" s="49"/>
      <c r="I541" s="51"/>
      <c r="X541" s="178"/>
      <c r="Z541" s="59"/>
    </row>
    <row r="542" spans="2:26" ht="15">
      <c r="B542" s="177"/>
      <c r="D542" s="49"/>
      <c r="E542" s="49"/>
      <c r="F542" s="49"/>
      <c r="G542" s="49"/>
      <c r="I542" s="51"/>
      <c r="X542" s="178"/>
      <c r="Z542" s="59"/>
    </row>
    <row r="543" spans="2:26" ht="15">
      <c r="B543" s="177"/>
      <c r="D543" s="49"/>
      <c r="E543" s="49"/>
      <c r="F543" s="49"/>
      <c r="G543" s="49"/>
      <c r="I543" s="51"/>
      <c r="X543" s="178"/>
      <c r="Z543" s="59"/>
    </row>
    <row r="544" spans="2:26" ht="15">
      <c r="B544" s="177"/>
      <c r="D544" s="49"/>
      <c r="E544" s="49"/>
      <c r="F544" s="49"/>
      <c r="G544" s="49"/>
      <c r="I544" s="51"/>
      <c r="X544" s="178"/>
      <c r="Z544" s="59"/>
    </row>
    <row r="545" spans="2:26" ht="15">
      <c r="B545" s="177"/>
      <c r="D545" s="49"/>
      <c r="E545" s="49"/>
      <c r="F545" s="49"/>
      <c r="G545" s="49"/>
      <c r="I545" s="51"/>
      <c r="X545" s="178"/>
      <c r="Z545" s="59"/>
    </row>
    <row r="546" spans="2:26" ht="15">
      <c r="B546" s="177"/>
      <c r="D546" s="49"/>
      <c r="E546" s="49"/>
      <c r="F546" s="49"/>
      <c r="G546" s="49"/>
      <c r="I546" s="51"/>
      <c r="X546" s="178"/>
      <c r="Z546" s="59"/>
    </row>
    <row r="547" spans="2:26" ht="15">
      <c r="B547" s="177"/>
      <c r="D547" s="49"/>
      <c r="E547" s="49"/>
      <c r="F547" s="49"/>
      <c r="G547" s="49"/>
      <c r="I547" s="51"/>
      <c r="X547" s="178"/>
      <c r="Z547" s="59"/>
    </row>
    <row r="548" spans="2:26" ht="15">
      <c r="B548" s="177"/>
      <c r="D548" s="49"/>
      <c r="E548" s="49"/>
      <c r="F548" s="49"/>
      <c r="G548" s="49"/>
      <c r="I548" s="51"/>
      <c r="X548" s="178"/>
      <c r="Z548" s="59"/>
    </row>
    <row r="549" spans="2:26" ht="15">
      <c r="B549" s="177"/>
      <c r="D549" s="49"/>
      <c r="E549" s="49"/>
      <c r="F549" s="49"/>
      <c r="G549" s="49"/>
      <c r="I549" s="51"/>
      <c r="X549" s="178"/>
      <c r="Z549" s="59"/>
    </row>
    <row r="550" spans="2:26" ht="15">
      <c r="B550" s="177"/>
      <c r="D550" s="49"/>
      <c r="E550" s="49"/>
      <c r="F550" s="49"/>
      <c r="G550" s="49"/>
      <c r="I550" s="51"/>
      <c r="X550" s="178"/>
      <c r="Z550" s="59"/>
    </row>
    <row r="551" spans="2:26" ht="15">
      <c r="B551" s="177"/>
      <c r="D551" s="49"/>
      <c r="E551" s="49"/>
      <c r="F551" s="49"/>
      <c r="G551" s="49"/>
      <c r="I551" s="51"/>
      <c r="X551" s="178"/>
      <c r="Z551" s="59"/>
    </row>
    <row r="552" spans="2:26" ht="15">
      <c r="B552" s="177"/>
      <c r="D552" s="49"/>
      <c r="E552" s="49"/>
      <c r="F552" s="49"/>
      <c r="G552" s="49"/>
      <c r="I552" s="51"/>
      <c r="X552" s="178"/>
      <c r="Z552" s="59"/>
    </row>
    <row r="553" spans="2:26" ht="15">
      <c r="B553" s="177"/>
      <c r="D553" s="49"/>
      <c r="E553" s="49"/>
      <c r="F553" s="49"/>
      <c r="G553" s="49"/>
      <c r="I553" s="51"/>
      <c r="X553" s="178"/>
      <c r="Z553" s="59"/>
    </row>
    <row r="554" spans="2:26" ht="15">
      <c r="B554" s="177"/>
      <c r="D554" s="49"/>
      <c r="E554" s="49"/>
      <c r="F554" s="49"/>
      <c r="G554" s="49"/>
      <c r="I554" s="51"/>
      <c r="X554" s="178"/>
      <c r="Z554" s="59"/>
    </row>
    <row r="555" spans="2:26" ht="15">
      <c r="B555" s="177"/>
      <c r="D555" s="49"/>
      <c r="E555" s="49"/>
      <c r="F555" s="49"/>
      <c r="G555" s="49"/>
      <c r="I555" s="51"/>
      <c r="X555" s="178"/>
      <c r="Z555" s="59"/>
    </row>
    <row r="556" spans="2:26" ht="15">
      <c r="B556" s="177"/>
      <c r="D556" s="49"/>
      <c r="E556" s="49"/>
      <c r="F556" s="49"/>
      <c r="G556" s="49"/>
      <c r="I556" s="51"/>
      <c r="X556" s="178"/>
      <c r="Z556" s="59"/>
    </row>
    <row r="557" spans="2:26" ht="15">
      <c r="B557" s="177"/>
      <c r="D557" s="49"/>
      <c r="E557" s="49"/>
      <c r="F557" s="49"/>
      <c r="G557" s="49"/>
      <c r="I557" s="51"/>
      <c r="X557" s="178"/>
      <c r="Z557" s="59"/>
    </row>
    <row r="558" spans="2:26" ht="15">
      <c r="B558" s="177"/>
      <c r="D558" s="49"/>
      <c r="E558" s="49"/>
      <c r="F558" s="49"/>
      <c r="G558" s="49"/>
      <c r="I558" s="51"/>
      <c r="X558" s="178"/>
      <c r="Z558" s="59"/>
    </row>
    <row r="559" spans="2:26" ht="15">
      <c r="B559" s="177"/>
      <c r="D559" s="49"/>
      <c r="E559" s="49"/>
      <c r="F559" s="49"/>
      <c r="G559" s="49"/>
      <c r="I559" s="51"/>
      <c r="X559" s="178"/>
      <c r="Z559" s="59"/>
    </row>
    <row r="560" spans="2:26" ht="15">
      <c r="B560" s="177"/>
      <c r="D560" s="49"/>
      <c r="E560" s="49"/>
      <c r="F560" s="49"/>
      <c r="G560" s="49"/>
      <c r="I560" s="51"/>
      <c r="X560" s="178"/>
      <c r="Z560" s="59"/>
    </row>
    <row r="561" spans="2:26" ht="15">
      <c r="B561" s="177"/>
      <c r="D561" s="49"/>
      <c r="E561" s="49"/>
      <c r="F561" s="49"/>
      <c r="G561" s="49"/>
      <c r="I561" s="51"/>
      <c r="X561" s="178"/>
      <c r="Z561" s="59"/>
    </row>
    <row r="562" spans="2:26" ht="15">
      <c r="B562" s="177"/>
      <c r="D562" s="49"/>
      <c r="E562" s="49"/>
      <c r="F562" s="49"/>
      <c r="G562" s="49"/>
      <c r="I562" s="51"/>
      <c r="X562" s="178"/>
      <c r="Z562" s="59"/>
    </row>
    <row r="563" spans="2:26" ht="15">
      <c r="B563" s="177"/>
      <c r="D563" s="49"/>
      <c r="E563" s="49"/>
      <c r="F563" s="49"/>
      <c r="G563" s="49"/>
      <c r="I563" s="51"/>
      <c r="X563" s="178"/>
      <c r="Z563" s="59"/>
    </row>
    <row r="564" spans="2:26" ht="15">
      <c r="B564" s="177"/>
      <c r="D564" s="49"/>
      <c r="E564" s="49"/>
      <c r="F564" s="49"/>
      <c r="G564" s="49"/>
      <c r="I564" s="51"/>
      <c r="X564" s="178"/>
      <c r="Z564" s="59"/>
    </row>
    <row r="565" spans="2:26" ht="15">
      <c r="B565" s="177"/>
      <c r="D565" s="49"/>
      <c r="E565" s="49"/>
      <c r="F565" s="49"/>
      <c r="G565" s="49"/>
      <c r="I565" s="51"/>
      <c r="X565" s="178"/>
      <c r="Z565" s="59"/>
    </row>
    <row r="566" spans="2:26" ht="15">
      <c r="B566" s="177"/>
      <c r="D566" s="49"/>
      <c r="E566" s="49"/>
      <c r="F566" s="49"/>
      <c r="G566" s="49"/>
      <c r="I566" s="51"/>
      <c r="X566" s="178"/>
      <c r="Z566" s="59"/>
    </row>
    <row r="567" spans="2:26" ht="15">
      <c r="B567" s="177"/>
      <c r="D567" s="49"/>
      <c r="E567" s="49"/>
      <c r="F567" s="49"/>
      <c r="G567" s="49"/>
      <c r="I567" s="51"/>
      <c r="X567" s="178"/>
      <c r="Z567" s="59"/>
    </row>
    <row r="568" spans="2:26" ht="15">
      <c r="B568" s="177"/>
      <c r="D568" s="49"/>
      <c r="E568" s="49"/>
      <c r="F568" s="49"/>
      <c r="G568" s="49"/>
      <c r="I568" s="51"/>
      <c r="X568" s="178"/>
      <c r="Z568" s="59"/>
    </row>
    <row r="569" spans="2:26" ht="15">
      <c r="B569" s="177"/>
      <c r="D569" s="49"/>
      <c r="E569" s="49"/>
      <c r="F569" s="49"/>
      <c r="G569" s="49"/>
      <c r="I569" s="51"/>
      <c r="X569" s="178"/>
      <c r="Z569" s="59"/>
    </row>
    <row r="570" spans="2:26" ht="15">
      <c r="B570" s="177"/>
      <c r="D570" s="49"/>
      <c r="E570" s="49"/>
      <c r="F570" s="49"/>
      <c r="G570" s="49"/>
      <c r="I570" s="51"/>
      <c r="X570" s="178"/>
      <c r="Z570" s="59"/>
    </row>
    <row r="571" spans="2:26" ht="15">
      <c r="B571" s="177"/>
      <c r="D571" s="49"/>
      <c r="E571" s="49"/>
      <c r="F571" s="49"/>
      <c r="G571" s="49"/>
      <c r="I571" s="51"/>
      <c r="X571" s="178"/>
      <c r="Z571" s="59"/>
    </row>
    <row r="572" spans="2:26" ht="15">
      <c r="B572" s="177"/>
      <c r="D572" s="49"/>
      <c r="E572" s="49"/>
      <c r="F572" s="49"/>
      <c r="G572" s="49"/>
      <c r="I572" s="51"/>
      <c r="X572" s="178"/>
      <c r="Z572" s="59"/>
    </row>
    <row r="573" spans="2:26" ht="15">
      <c r="B573" s="177"/>
      <c r="D573" s="49"/>
      <c r="E573" s="49"/>
      <c r="F573" s="49"/>
      <c r="G573" s="49"/>
      <c r="I573" s="51"/>
      <c r="X573" s="178"/>
      <c r="Z573" s="59"/>
    </row>
    <row r="574" spans="2:26" ht="15">
      <c r="B574" s="177"/>
      <c r="D574" s="49"/>
      <c r="E574" s="49"/>
      <c r="F574" s="49"/>
      <c r="G574" s="49"/>
      <c r="I574" s="51"/>
      <c r="X574" s="178"/>
      <c r="Z574" s="59"/>
    </row>
    <row r="575" spans="2:26" ht="15">
      <c r="B575" s="177"/>
      <c r="D575" s="49"/>
      <c r="E575" s="49"/>
      <c r="F575" s="49"/>
      <c r="G575" s="49"/>
      <c r="I575" s="51"/>
      <c r="X575" s="178"/>
      <c r="Z575" s="59"/>
    </row>
    <row r="576" spans="2:26" ht="15">
      <c r="B576" s="177"/>
      <c r="D576" s="49"/>
      <c r="E576" s="49"/>
      <c r="F576" s="49"/>
      <c r="G576" s="49"/>
      <c r="I576" s="51"/>
      <c r="X576" s="178"/>
      <c r="Z576" s="59"/>
    </row>
    <row r="577" spans="2:26" ht="15">
      <c r="B577" s="177"/>
      <c r="D577" s="49"/>
      <c r="E577" s="49"/>
      <c r="F577" s="49"/>
      <c r="G577" s="49"/>
      <c r="I577" s="51"/>
      <c r="X577" s="178"/>
      <c r="Z577" s="59"/>
    </row>
    <row r="578" spans="2:26" ht="15">
      <c r="B578" s="177"/>
      <c r="D578" s="49"/>
      <c r="E578" s="49"/>
      <c r="F578" s="49"/>
      <c r="G578" s="49"/>
      <c r="I578" s="51"/>
      <c r="X578" s="178"/>
      <c r="Z578" s="59"/>
    </row>
    <row r="579" spans="2:26" ht="15">
      <c r="B579" s="177"/>
      <c r="D579" s="49"/>
      <c r="E579" s="49"/>
      <c r="F579" s="49"/>
      <c r="G579" s="49"/>
      <c r="I579" s="51"/>
      <c r="X579" s="178"/>
      <c r="Z579" s="59"/>
    </row>
    <row r="580" spans="2:26" ht="15">
      <c r="B580" s="177"/>
      <c r="D580" s="49"/>
      <c r="E580" s="49"/>
      <c r="F580" s="49"/>
      <c r="G580" s="49"/>
      <c r="I580" s="51"/>
      <c r="X580" s="178"/>
      <c r="Z580" s="59"/>
    </row>
    <row r="581" spans="2:26" ht="15">
      <c r="B581" s="177"/>
      <c r="D581" s="49"/>
      <c r="E581" s="49"/>
      <c r="F581" s="49"/>
      <c r="G581" s="49"/>
      <c r="I581" s="51"/>
      <c r="X581" s="178"/>
      <c r="Z581" s="59"/>
    </row>
    <row r="582" spans="2:26" ht="15">
      <c r="B582" s="177"/>
      <c r="D582" s="49"/>
      <c r="E582" s="49"/>
      <c r="F582" s="49"/>
      <c r="G582" s="49"/>
      <c r="I582" s="51"/>
      <c r="X582" s="178"/>
      <c r="Z582" s="59"/>
    </row>
    <row r="583" spans="2:26" ht="15">
      <c r="B583" s="177"/>
      <c r="D583" s="49"/>
      <c r="E583" s="49"/>
      <c r="F583" s="49"/>
      <c r="G583" s="49"/>
      <c r="I583" s="51"/>
      <c r="X583" s="178"/>
      <c r="Z583" s="59"/>
    </row>
    <row r="584" spans="2:26" ht="15">
      <c r="B584" s="177"/>
      <c r="D584" s="49"/>
      <c r="E584" s="49"/>
      <c r="F584" s="49"/>
      <c r="G584" s="49"/>
      <c r="I584" s="51"/>
      <c r="X584" s="178"/>
      <c r="Z584" s="59"/>
    </row>
    <row r="585" spans="2:26" ht="15">
      <c r="B585" s="177"/>
      <c r="D585" s="49"/>
      <c r="E585" s="49"/>
      <c r="F585" s="49"/>
      <c r="G585" s="49"/>
      <c r="I585" s="51"/>
      <c r="X585" s="178"/>
      <c r="Z585" s="59"/>
    </row>
    <row r="586" spans="2:26" ht="15">
      <c r="B586" s="177"/>
      <c r="D586" s="49"/>
      <c r="E586" s="49"/>
      <c r="F586" s="49"/>
      <c r="G586" s="49"/>
      <c r="I586" s="51"/>
      <c r="X586" s="178"/>
      <c r="Z586" s="59"/>
    </row>
    <row r="587" spans="2:26" ht="15">
      <c r="B587" s="177"/>
      <c r="D587" s="49"/>
      <c r="E587" s="49"/>
      <c r="F587" s="49"/>
      <c r="G587" s="49"/>
      <c r="I587" s="51"/>
      <c r="X587" s="178"/>
      <c r="Z587" s="59"/>
    </row>
    <row r="588" spans="2:26" ht="15">
      <c r="B588" s="177"/>
      <c r="D588" s="49"/>
      <c r="E588" s="49"/>
      <c r="F588" s="49"/>
      <c r="G588" s="49"/>
      <c r="I588" s="51"/>
      <c r="X588" s="178"/>
      <c r="Z588" s="59"/>
    </row>
    <row r="589" spans="2:26" ht="15">
      <c r="B589" s="177"/>
      <c r="D589" s="49"/>
      <c r="E589" s="49"/>
      <c r="F589" s="49"/>
      <c r="G589" s="49"/>
      <c r="I589" s="51"/>
      <c r="X589" s="178"/>
      <c r="Z589" s="59"/>
    </row>
    <row r="590" spans="2:26" ht="15">
      <c r="B590" s="177"/>
      <c r="D590" s="49"/>
      <c r="E590" s="49"/>
      <c r="F590" s="49"/>
      <c r="G590" s="49"/>
      <c r="I590" s="51"/>
      <c r="X590" s="178"/>
      <c r="Z590" s="59"/>
    </row>
    <row r="591" spans="2:26" ht="15">
      <c r="B591" s="177"/>
      <c r="D591" s="49"/>
      <c r="E591" s="49"/>
      <c r="F591" s="49"/>
      <c r="G591" s="49"/>
      <c r="I591" s="51"/>
      <c r="X591" s="178"/>
      <c r="Z591" s="59"/>
    </row>
    <row r="592" spans="2:26" ht="15">
      <c r="B592" s="177"/>
      <c r="D592" s="49"/>
      <c r="E592" s="49"/>
      <c r="F592" s="49"/>
      <c r="G592" s="49"/>
      <c r="I592" s="51"/>
      <c r="X592" s="178"/>
      <c r="Z592" s="59"/>
    </row>
    <row r="593" spans="2:26" ht="15">
      <c r="B593" s="177"/>
      <c r="D593" s="49"/>
      <c r="E593" s="49"/>
      <c r="F593" s="49"/>
      <c r="G593" s="49"/>
      <c r="I593" s="51"/>
      <c r="X593" s="178"/>
      <c r="Z593" s="59"/>
    </row>
    <row r="594" spans="2:26" ht="15">
      <c r="B594" s="177"/>
      <c r="D594" s="49"/>
      <c r="E594" s="49"/>
      <c r="F594" s="49"/>
      <c r="G594" s="49"/>
      <c r="I594" s="51"/>
      <c r="X594" s="178"/>
      <c r="Z594" s="59"/>
    </row>
    <row r="595" spans="2:26" ht="15">
      <c r="B595" s="177"/>
      <c r="D595" s="49"/>
      <c r="E595" s="49"/>
      <c r="F595" s="49"/>
      <c r="G595" s="49"/>
      <c r="I595" s="51"/>
      <c r="X595" s="178"/>
      <c r="Z595" s="59"/>
    </row>
    <row r="596" spans="2:26" ht="15">
      <c r="B596" s="177"/>
      <c r="D596" s="49"/>
      <c r="E596" s="49"/>
      <c r="F596" s="49"/>
      <c r="G596" s="49"/>
      <c r="I596" s="51"/>
      <c r="X596" s="178"/>
      <c r="Z596" s="59"/>
    </row>
    <row r="597" spans="2:26" ht="15">
      <c r="B597" s="177"/>
      <c r="D597" s="49"/>
      <c r="E597" s="49"/>
      <c r="F597" s="49"/>
      <c r="G597" s="49"/>
      <c r="I597" s="51"/>
      <c r="X597" s="178"/>
      <c r="Z597" s="59"/>
    </row>
    <row r="598" spans="2:26" ht="15">
      <c r="B598" s="177"/>
      <c r="D598" s="49"/>
      <c r="E598" s="49"/>
      <c r="F598" s="49"/>
      <c r="G598" s="49"/>
      <c r="I598" s="51"/>
      <c r="X598" s="178"/>
      <c r="Z598" s="59"/>
    </row>
    <row r="599" spans="2:26" ht="15">
      <c r="B599" s="177"/>
      <c r="D599" s="49"/>
      <c r="E599" s="49"/>
      <c r="F599" s="49"/>
      <c r="G599" s="49"/>
      <c r="I599" s="51"/>
      <c r="X599" s="178"/>
      <c r="Z599" s="59"/>
    </row>
    <row r="600" spans="2:26" ht="15">
      <c r="B600" s="177"/>
      <c r="D600" s="49"/>
      <c r="E600" s="49"/>
      <c r="F600" s="49"/>
      <c r="G600" s="49"/>
      <c r="I600" s="51"/>
      <c r="X600" s="178"/>
      <c r="Z600" s="59"/>
    </row>
    <row r="601" spans="2:26" ht="15">
      <c r="B601" s="177"/>
      <c r="D601" s="49"/>
      <c r="E601" s="49"/>
      <c r="F601" s="49"/>
      <c r="G601" s="49"/>
      <c r="I601" s="51"/>
      <c r="X601" s="178"/>
      <c r="Z601" s="59"/>
    </row>
    <row r="602" spans="2:26" ht="15">
      <c r="B602" s="177"/>
      <c r="D602" s="49"/>
      <c r="E602" s="49"/>
      <c r="F602" s="49"/>
      <c r="G602" s="49"/>
      <c r="I602" s="51"/>
      <c r="X602" s="178"/>
      <c r="Z602" s="59"/>
    </row>
    <row r="603" spans="2:26" ht="15">
      <c r="B603" s="177"/>
      <c r="D603" s="49"/>
      <c r="E603" s="49"/>
      <c r="F603" s="49"/>
      <c r="G603" s="49"/>
      <c r="I603" s="51"/>
      <c r="X603" s="178"/>
      <c r="Z603" s="59"/>
    </row>
    <row r="604" spans="2:26" ht="15">
      <c r="B604" s="177"/>
      <c r="D604" s="49"/>
      <c r="E604" s="49"/>
      <c r="F604" s="49"/>
      <c r="G604" s="49"/>
      <c r="I604" s="51"/>
      <c r="X604" s="178"/>
      <c r="Z604" s="59"/>
    </row>
    <row r="605" spans="2:26" ht="15">
      <c r="B605" s="177"/>
      <c r="D605" s="49"/>
      <c r="E605" s="49"/>
      <c r="F605" s="49"/>
      <c r="G605" s="49"/>
      <c r="I605" s="51"/>
      <c r="X605" s="178"/>
      <c r="Z605" s="59"/>
    </row>
    <row r="606" spans="2:26" ht="15">
      <c r="B606" s="177"/>
      <c r="D606" s="49"/>
      <c r="E606" s="49"/>
      <c r="F606" s="49"/>
      <c r="G606" s="49"/>
      <c r="I606" s="51"/>
      <c r="X606" s="178"/>
      <c r="Z606" s="59"/>
    </row>
    <row r="607" spans="2:26" ht="15">
      <c r="B607" s="177"/>
      <c r="D607" s="49"/>
      <c r="E607" s="49"/>
      <c r="F607" s="49"/>
      <c r="G607" s="49"/>
      <c r="I607" s="51"/>
      <c r="X607" s="178"/>
      <c r="Z607" s="59"/>
    </row>
    <row r="608" spans="2:26" ht="15">
      <c r="B608" s="177"/>
      <c r="D608" s="49"/>
      <c r="E608" s="49"/>
      <c r="F608" s="49"/>
      <c r="G608" s="49"/>
      <c r="I608" s="51"/>
      <c r="X608" s="178"/>
      <c r="Z608" s="59"/>
    </row>
    <row r="609" spans="2:26" ht="15">
      <c r="B609" s="177"/>
      <c r="D609" s="49"/>
      <c r="E609" s="49"/>
      <c r="F609" s="49"/>
      <c r="G609" s="49"/>
      <c r="I609" s="51"/>
      <c r="X609" s="178"/>
      <c r="Z609" s="59"/>
    </row>
    <row r="610" spans="2:26" ht="15">
      <c r="B610" s="177"/>
      <c r="D610" s="49"/>
      <c r="E610" s="49"/>
      <c r="F610" s="49"/>
      <c r="G610" s="49"/>
      <c r="I610" s="51"/>
      <c r="X610" s="178"/>
      <c r="Z610" s="59"/>
    </row>
    <row r="611" spans="2:26" ht="15">
      <c r="B611" s="177"/>
      <c r="D611" s="49"/>
      <c r="E611" s="49"/>
      <c r="F611" s="49"/>
      <c r="G611" s="49"/>
      <c r="I611" s="51"/>
      <c r="X611" s="178"/>
      <c r="Z611" s="59"/>
    </row>
    <row r="612" spans="2:26" ht="15">
      <c r="B612" s="177"/>
      <c r="D612" s="49"/>
      <c r="E612" s="49"/>
      <c r="F612" s="49"/>
      <c r="G612" s="49"/>
      <c r="I612" s="51"/>
      <c r="X612" s="178"/>
      <c r="Z612" s="59"/>
    </row>
    <row r="613" spans="2:26" ht="15">
      <c r="B613" s="177"/>
      <c r="D613" s="49"/>
      <c r="E613" s="49"/>
      <c r="F613" s="49"/>
      <c r="G613" s="49"/>
      <c r="I613" s="51"/>
      <c r="X613" s="178"/>
      <c r="Z613" s="59"/>
    </row>
    <row r="614" spans="2:26" ht="15">
      <c r="B614" s="177"/>
      <c r="D614" s="49"/>
      <c r="E614" s="49"/>
      <c r="F614" s="49"/>
      <c r="G614" s="49"/>
      <c r="I614" s="51"/>
      <c r="X614" s="178"/>
      <c r="Z614" s="59"/>
    </row>
    <row r="615" spans="2:26" ht="15">
      <c r="B615" s="177"/>
      <c r="D615" s="49"/>
      <c r="E615" s="49"/>
      <c r="F615" s="49"/>
      <c r="G615" s="49"/>
      <c r="I615" s="51"/>
      <c r="X615" s="178"/>
      <c r="Z615" s="59"/>
    </row>
    <row r="616" spans="2:26" ht="15">
      <c r="B616" s="177"/>
      <c r="D616" s="49"/>
      <c r="E616" s="49"/>
      <c r="F616" s="49"/>
      <c r="G616" s="49"/>
      <c r="I616" s="51"/>
      <c r="X616" s="178"/>
      <c r="Z616" s="59"/>
    </row>
    <row r="617" spans="2:26" ht="15">
      <c r="B617" s="177"/>
      <c r="D617" s="49"/>
      <c r="E617" s="49"/>
      <c r="F617" s="49"/>
      <c r="G617" s="49"/>
      <c r="I617" s="51"/>
      <c r="X617" s="178"/>
      <c r="Z617" s="59"/>
    </row>
    <row r="618" spans="2:26" ht="15">
      <c r="B618" s="177"/>
      <c r="D618" s="49"/>
      <c r="E618" s="49"/>
      <c r="F618" s="49"/>
      <c r="G618" s="49"/>
      <c r="I618" s="51"/>
      <c r="X618" s="178"/>
      <c r="Z618" s="59"/>
    </row>
    <row r="619" spans="2:26" ht="15">
      <c r="B619" s="177"/>
      <c r="D619" s="49"/>
      <c r="E619" s="49"/>
      <c r="F619" s="49"/>
      <c r="G619" s="49"/>
      <c r="I619" s="51"/>
      <c r="X619" s="178"/>
      <c r="Z619" s="59"/>
    </row>
    <row r="620" spans="2:26" ht="15">
      <c r="B620" s="177"/>
      <c r="D620" s="49"/>
      <c r="E620" s="49"/>
      <c r="F620" s="49"/>
      <c r="G620" s="49"/>
      <c r="I620" s="51"/>
      <c r="X620" s="178"/>
      <c r="Z620" s="59"/>
    </row>
    <row r="621" spans="2:26" ht="15">
      <c r="B621" s="177"/>
      <c r="D621" s="49"/>
      <c r="E621" s="49"/>
      <c r="F621" s="49"/>
      <c r="G621" s="49"/>
      <c r="I621" s="51"/>
      <c r="X621" s="178"/>
      <c r="Z621" s="59"/>
    </row>
    <row r="622" spans="2:26" ht="15">
      <c r="B622" s="177"/>
      <c r="D622" s="49"/>
      <c r="E622" s="49"/>
      <c r="F622" s="49"/>
      <c r="G622" s="49"/>
      <c r="I622" s="51"/>
      <c r="X622" s="178"/>
      <c r="Z622" s="59"/>
    </row>
    <row r="623" spans="2:26" ht="15">
      <c r="B623" s="177"/>
      <c r="D623" s="49"/>
      <c r="E623" s="49"/>
      <c r="F623" s="49"/>
      <c r="G623" s="49"/>
      <c r="I623" s="51"/>
      <c r="X623" s="178"/>
      <c r="Z623" s="59"/>
    </row>
    <row r="624" spans="2:26" ht="15">
      <c r="B624" s="177"/>
      <c r="D624" s="49"/>
      <c r="E624" s="49"/>
      <c r="F624" s="49"/>
      <c r="G624" s="49"/>
      <c r="I624" s="51"/>
      <c r="X624" s="178"/>
      <c r="Z624" s="59"/>
    </row>
    <row r="625" spans="2:26" ht="15">
      <c r="B625" s="177"/>
      <c r="D625" s="49"/>
      <c r="E625" s="49"/>
      <c r="F625" s="49"/>
      <c r="G625" s="49"/>
      <c r="I625" s="51"/>
      <c r="X625" s="178"/>
      <c r="Z625" s="59"/>
    </row>
    <row r="626" spans="2:26" ht="15">
      <c r="B626" s="177"/>
      <c r="D626" s="49"/>
      <c r="E626" s="49"/>
      <c r="F626" s="49"/>
      <c r="G626" s="49"/>
      <c r="I626" s="51"/>
      <c r="X626" s="178"/>
      <c r="Z626" s="59"/>
    </row>
    <row r="627" spans="2:26" ht="15">
      <c r="B627" s="177"/>
      <c r="D627" s="49"/>
      <c r="E627" s="49"/>
      <c r="F627" s="49"/>
      <c r="G627" s="49"/>
      <c r="I627" s="51"/>
      <c r="X627" s="178"/>
      <c r="Z627" s="59"/>
    </row>
    <row r="628" spans="2:26" ht="15">
      <c r="B628" s="177"/>
      <c r="D628" s="49"/>
      <c r="E628" s="49"/>
      <c r="F628" s="49"/>
      <c r="G628" s="49"/>
      <c r="I628" s="51"/>
      <c r="X628" s="178"/>
      <c r="Z628" s="59"/>
    </row>
    <row r="629" spans="2:26" ht="15">
      <c r="B629" s="177"/>
      <c r="D629" s="49"/>
      <c r="E629" s="49"/>
      <c r="F629" s="49"/>
      <c r="G629" s="49"/>
      <c r="I629" s="51"/>
      <c r="X629" s="178"/>
      <c r="Z629" s="59"/>
    </row>
    <row r="630" spans="2:26" ht="15">
      <c r="B630" s="177"/>
      <c r="D630" s="49"/>
      <c r="E630" s="49"/>
      <c r="F630" s="49"/>
      <c r="G630" s="49"/>
      <c r="I630" s="51"/>
      <c r="X630" s="178"/>
      <c r="Z630" s="59"/>
    </row>
    <row r="631" spans="2:26" ht="15">
      <c r="B631" s="177"/>
      <c r="D631" s="49"/>
      <c r="E631" s="49"/>
      <c r="F631" s="49"/>
      <c r="G631" s="49"/>
      <c r="I631" s="51"/>
      <c r="X631" s="178"/>
      <c r="Z631" s="59"/>
    </row>
    <row r="632" spans="2:26" ht="15">
      <c r="B632" s="177"/>
      <c r="D632" s="49"/>
      <c r="E632" s="49"/>
      <c r="F632" s="49"/>
      <c r="G632" s="49"/>
      <c r="I632" s="51"/>
      <c r="X632" s="178"/>
      <c r="Z632" s="59"/>
    </row>
    <row r="633" spans="2:26" ht="15">
      <c r="B633" s="177"/>
      <c r="D633" s="49"/>
      <c r="E633" s="49"/>
      <c r="F633" s="49"/>
      <c r="G633" s="49"/>
      <c r="I633" s="51"/>
      <c r="X633" s="178"/>
      <c r="Z633" s="59"/>
    </row>
    <row r="634" spans="2:26" ht="15">
      <c r="B634" s="177"/>
      <c r="D634" s="49"/>
      <c r="E634" s="49"/>
      <c r="F634" s="49"/>
      <c r="G634" s="49"/>
      <c r="I634" s="51"/>
      <c r="X634" s="178"/>
      <c r="Z634" s="59"/>
    </row>
    <row r="635" spans="2:26" ht="15">
      <c r="B635" s="177"/>
      <c r="D635" s="49"/>
      <c r="E635" s="49"/>
      <c r="F635" s="49"/>
      <c r="G635" s="49"/>
      <c r="I635" s="51"/>
      <c r="X635" s="178"/>
      <c r="Z635" s="59"/>
    </row>
    <row r="636" spans="2:26" ht="15">
      <c r="B636" s="177"/>
      <c r="D636" s="49"/>
      <c r="E636" s="49"/>
      <c r="F636" s="49"/>
      <c r="G636" s="49"/>
      <c r="I636" s="51"/>
      <c r="X636" s="178"/>
      <c r="Z636" s="59"/>
    </row>
    <row r="637" spans="2:26" ht="15">
      <c r="B637" s="177"/>
      <c r="D637" s="49"/>
      <c r="E637" s="49"/>
      <c r="F637" s="49"/>
      <c r="G637" s="49"/>
      <c r="I637" s="51"/>
      <c r="X637" s="178"/>
      <c r="Z637" s="59"/>
    </row>
    <row r="638" spans="2:26" ht="15">
      <c r="B638" s="177"/>
      <c r="D638" s="49"/>
      <c r="E638" s="49"/>
      <c r="F638" s="49"/>
      <c r="G638" s="49"/>
      <c r="I638" s="51"/>
      <c r="X638" s="178"/>
      <c r="Z638" s="59"/>
    </row>
    <row r="639" spans="2:26" ht="15">
      <c r="B639" s="177"/>
      <c r="D639" s="49"/>
      <c r="E639" s="49"/>
      <c r="F639" s="49"/>
      <c r="G639" s="49"/>
      <c r="I639" s="51"/>
      <c r="X639" s="178"/>
      <c r="Z639" s="59"/>
    </row>
    <row r="640" spans="2:26" ht="15">
      <c r="B640" s="177"/>
      <c r="D640" s="49"/>
      <c r="E640" s="49"/>
      <c r="F640" s="49"/>
      <c r="G640" s="49"/>
      <c r="I640" s="51"/>
      <c r="X640" s="178"/>
      <c r="Z640" s="59"/>
    </row>
    <row r="641" spans="2:26" ht="15">
      <c r="B641" s="177"/>
      <c r="D641" s="49"/>
      <c r="E641" s="49"/>
      <c r="F641" s="49"/>
      <c r="G641" s="49"/>
      <c r="I641" s="51"/>
      <c r="X641" s="178"/>
      <c r="Z641" s="59"/>
    </row>
    <row r="642" spans="2:26" ht="15">
      <c r="B642" s="177"/>
      <c r="D642" s="49"/>
      <c r="E642" s="49"/>
      <c r="F642" s="49"/>
      <c r="G642" s="49"/>
      <c r="I642" s="51"/>
      <c r="X642" s="178"/>
      <c r="Z642" s="59"/>
    </row>
    <row r="643" spans="2:26" ht="15">
      <c r="B643" s="177"/>
      <c r="D643" s="49"/>
      <c r="E643" s="49"/>
      <c r="F643" s="49"/>
      <c r="G643" s="49"/>
      <c r="I643" s="51"/>
      <c r="X643" s="178"/>
      <c r="Z643" s="59"/>
    </row>
    <row r="644" spans="2:26" ht="15">
      <c r="B644" s="177"/>
      <c r="D644" s="49"/>
      <c r="E644" s="49"/>
      <c r="F644" s="49"/>
      <c r="G644" s="49"/>
      <c r="I644" s="51"/>
      <c r="X644" s="178"/>
      <c r="Z644" s="59"/>
    </row>
    <row r="645" spans="2:26" ht="15">
      <c r="B645" s="177"/>
      <c r="D645" s="49"/>
      <c r="E645" s="49"/>
      <c r="F645" s="49"/>
      <c r="G645" s="49"/>
      <c r="I645" s="51"/>
      <c r="X645" s="178"/>
      <c r="Z645" s="59"/>
    </row>
    <row r="646" spans="2:26" ht="15">
      <c r="B646" s="177"/>
      <c r="D646" s="49"/>
      <c r="E646" s="49"/>
      <c r="F646" s="49"/>
      <c r="G646" s="49"/>
      <c r="I646" s="51"/>
      <c r="X646" s="178"/>
      <c r="Z646" s="59"/>
    </row>
    <row r="647" spans="2:26" ht="15">
      <c r="B647" s="177"/>
      <c r="D647" s="49"/>
      <c r="E647" s="49"/>
      <c r="F647" s="49"/>
      <c r="G647" s="49"/>
      <c r="I647" s="51"/>
      <c r="X647" s="178"/>
      <c r="Z647" s="59"/>
    </row>
    <row r="648" spans="2:26" ht="15">
      <c r="B648" s="177"/>
      <c r="D648" s="49"/>
      <c r="E648" s="49"/>
      <c r="F648" s="49"/>
      <c r="G648" s="49"/>
      <c r="I648" s="51"/>
      <c r="X648" s="178"/>
      <c r="Z648" s="59"/>
    </row>
    <row r="649" spans="2:26" ht="15">
      <c r="B649" s="177"/>
      <c r="D649" s="49"/>
      <c r="E649" s="49"/>
      <c r="F649" s="49"/>
      <c r="G649" s="49"/>
      <c r="I649" s="51"/>
      <c r="X649" s="178"/>
      <c r="Z649" s="59"/>
    </row>
    <row r="650" spans="2:26" ht="15">
      <c r="B650" s="177"/>
      <c r="D650" s="49"/>
      <c r="E650" s="49"/>
      <c r="F650" s="49"/>
      <c r="G650" s="49"/>
      <c r="I650" s="51"/>
      <c r="X650" s="178"/>
      <c r="Z650" s="59"/>
    </row>
    <row r="651" spans="2:26" ht="15">
      <c r="B651" s="177"/>
      <c r="D651" s="49"/>
      <c r="E651" s="49"/>
      <c r="F651" s="49"/>
      <c r="G651" s="49"/>
      <c r="I651" s="51"/>
      <c r="X651" s="178"/>
      <c r="Z651" s="59"/>
    </row>
    <row r="652" spans="2:26" ht="15">
      <c r="B652" s="177"/>
      <c r="D652" s="49"/>
      <c r="E652" s="49"/>
      <c r="F652" s="49"/>
      <c r="G652" s="49"/>
      <c r="I652" s="51"/>
      <c r="X652" s="178"/>
      <c r="Z652" s="59"/>
    </row>
    <row r="653" spans="2:26" ht="15">
      <c r="B653" s="177"/>
      <c r="D653" s="49"/>
      <c r="E653" s="49"/>
      <c r="F653" s="49"/>
      <c r="G653" s="49"/>
      <c r="I653" s="51"/>
      <c r="X653" s="178"/>
      <c r="Z653" s="59"/>
    </row>
    <row r="654" spans="2:26" ht="15">
      <c r="B654" s="177"/>
      <c r="D654" s="49"/>
      <c r="E654" s="49"/>
      <c r="F654" s="49"/>
      <c r="G654" s="49"/>
      <c r="I654" s="51"/>
      <c r="X654" s="178"/>
      <c r="Z654" s="59"/>
    </row>
    <row r="655" spans="2:26" ht="15">
      <c r="B655" s="177"/>
      <c r="D655" s="49"/>
      <c r="E655" s="49"/>
      <c r="F655" s="49"/>
      <c r="G655" s="49"/>
      <c r="I655" s="51"/>
      <c r="X655" s="178"/>
      <c r="Z655" s="59"/>
    </row>
    <row r="656" spans="2:26" ht="15">
      <c r="B656" s="177"/>
      <c r="D656" s="49"/>
      <c r="E656" s="49"/>
      <c r="F656" s="49"/>
      <c r="G656" s="49"/>
      <c r="I656" s="51"/>
      <c r="X656" s="178"/>
      <c r="Z656" s="59"/>
    </row>
    <row r="657" spans="2:26" ht="15">
      <c r="B657" s="177"/>
      <c r="D657" s="49"/>
      <c r="E657" s="49"/>
      <c r="F657" s="49"/>
      <c r="G657" s="49"/>
      <c r="I657" s="51"/>
      <c r="X657" s="178"/>
      <c r="Z657" s="59"/>
    </row>
    <row r="658" spans="2:26" ht="15">
      <c r="B658" s="177"/>
      <c r="D658" s="49"/>
      <c r="E658" s="49"/>
      <c r="F658" s="49"/>
      <c r="G658" s="49"/>
      <c r="I658" s="51"/>
      <c r="X658" s="178"/>
      <c r="Z658" s="59"/>
    </row>
    <row r="659" spans="2:26" ht="15">
      <c r="B659" s="177"/>
      <c r="D659" s="49"/>
      <c r="E659" s="49"/>
      <c r="F659" s="49"/>
      <c r="G659" s="49"/>
      <c r="I659" s="51"/>
      <c r="X659" s="178"/>
      <c r="Z659" s="59"/>
    </row>
    <row r="660" spans="2:26" ht="15">
      <c r="B660" s="177"/>
      <c r="D660" s="49"/>
      <c r="E660" s="49"/>
      <c r="F660" s="49"/>
      <c r="G660" s="49"/>
      <c r="I660" s="51"/>
      <c r="X660" s="178"/>
      <c r="Z660" s="59"/>
    </row>
    <row r="661" spans="2:26" ht="15">
      <c r="B661" s="177"/>
      <c r="D661" s="49"/>
      <c r="E661" s="49"/>
      <c r="F661" s="49"/>
      <c r="G661" s="49"/>
      <c r="I661" s="51"/>
      <c r="X661" s="178"/>
      <c r="Z661" s="59"/>
    </row>
    <row r="662" spans="2:26" ht="15">
      <c r="B662" s="177"/>
      <c r="D662" s="49"/>
      <c r="E662" s="49"/>
      <c r="F662" s="49"/>
      <c r="G662" s="49"/>
      <c r="I662" s="51"/>
      <c r="X662" s="178"/>
      <c r="Z662" s="59"/>
    </row>
    <row r="663" spans="2:26" ht="15">
      <c r="B663" s="177"/>
      <c r="D663" s="49"/>
      <c r="E663" s="49"/>
      <c r="F663" s="49"/>
      <c r="G663" s="49"/>
      <c r="I663" s="51"/>
      <c r="X663" s="178"/>
      <c r="Z663" s="59"/>
    </row>
    <row r="664" spans="2:26" ht="15">
      <c r="B664" s="177"/>
      <c r="D664" s="49"/>
      <c r="E664" s="49"/>
      <c r="F664" s="49"/>
      <c r="G664" s="49"/>
      <c r="I664" s="51"/>
      <c r="X664" s="178"/>
      <c r="Z664" s="59"/>
    </row>
    <row r="665" spans="2:26" ht="15">
      <c r="B665" s="177"/>
      <c r="D665" s="49"/>
      <c r="E665" s="49"/>
      <c r="F665" s="49"/>
      <c r="G665" s="49"/>
      <c r="I665" s="51"/>
      <c r="X665" s="178"/>
      <c r="Z665" s="59"/>
    </row>
    <row r="666" spans="2:26" ht="15">
      <c r="B666" s="177"/>
      <c r="D666" s="49"/>
      <c r="E666" s="49"/>
      <c r="F666" s="49"/>
      <c r="G666" s="49"/>
      <c r="I666" s="51"/>
      <c r="X666" s="178"/>
      <c r="Z666" s="59"/>
    </row>
    <row r="667" spans="2:26" ht="15">
      <c r="B667" s="177"/>
      <c r="D667" s="49"/>
      <c r="E667" s="49"/>
      <c r="F667" s="49"/>
      <c r="G667" s="49"/>
      <c r="I667" s="51"/>
      <c r="X667" s="178"/>
      <c r="Z667" s="59"/>
    </row>
    <row r="668" spans="2:26" ht="15">
      <c r="B668" s="177"/>
      <c r="D668" s="49"/>
      <c r="E668" s="49"/>
      <c r="F668" s="49"/>
      <c r="G668" s="49"/>
      <c r="I668" s="51"/>
      <c r="X668" s="178"/>
      <c r="Z668" s="59"/>
    </row>
    <row r="669" spans="2:26" ht="15">
      <c r="B669" s="177"/>
      <c r="D669" s="49"/>
      <c r="E669" s="49"/>
      <c r="F669" s="49"/>
      <c r="G669" s="49"/>
      <c r="I669" s="51"/>
      <c r="X669" s="178"/>
      <c r="Z669" s="59"/>
    </row>
    <row r="670" spans="2:26" ht="15">
      <c r="B670" s="177"/>
      <c r="D670" s="49"/>
      <c r="E670" s="49"/>
      <c r="F670" s="49"/>
      <c r="G670" s="49"/>
      <c r="I670" s="51"/>
      <c r="X670" s="178"/>
      <c r="Z670" s="59"/>
    </row>
    <row r="671" spans="2:26" ht="15">
      <c r="B671" s="177"/>
      <c r="D671" s="49"/>
      <c r="E671" s="49"/>
      <c r="F671" s="49"/>
      <c r="G671" s="49"/>
      <c r="I671" s="51"/>
      <c r="X671" s="178"/>
      <c r="Z671" s="59"/>
    </row>
    <row r="672" spans="2:26" ht="15">
      <c r="B672" s="177"/>
      <c r="D672" s="49"/>
      <c r="E672" s="49"/>
      <c r="F672" s="49"/>
      <c r="G672" s="49"/>
      <c r="I672" s="51"/>
      <c r="X672" s="178"/>
      <c r="Z672" s="59"/>
    </row>
    <row r="673" spans="2:26" ht="15">
      <c r="B673" s="177"/>
      <c r="D673" s="49"/>
      <c r="E673" s="49"/>
      <c r="F673" s="49"/>
      <c r="G673" s="49"/>
      <c r="I673" s="51"/>
      <c r="X673" s="178"/>
      <c r="Z673" s="59"/>
    </row>
    <row r="674" spans="2:26" ht="15">
      <c r="B674" s="177"/>
      <c r="D674" s="49"/>
      <c r="E674" s="49"/>
      <c r="F674" s="49"/>
      <c r="G674" s="49"/>
      <c r="I674" s="51"/>
      <c r="X674" s="178"/>
      <c r="Z674" s="59"/>
    </row>
    <row r="675" spans="2:26" ht="15">
      <c r="B675" s="177"/>
      <c r="D675" s="49"/>
      <c r="E675" s="49"/>
      <c r="F675" s="49"/>
      <c r="G675" s="49"/>
      <c r="I675" s="51"/>
      <c r="X675" s="178"/>
      <c r="Z675" s="59"/>
    </row>
    <row r="676" spans="2:26" ht="15">
      <c r="B676" s="177"/>
      <c r="D676" s="49"/>
      <c r="E676" s="49"/>
      <c r="F676" s="49"/>
      <c r="G676" s="49"/>
      <c r="I676" s="51"/>
      <c r="X676" s="178"/>
      <c r="Z676" s="59"/>
    </row>
    <row r="677" spans="2:26" ht="15">
      <c r="B677" s="177"/>
      <c r="D677" s="49"/>
      <c r="E677" s="49"/>
      <c r="F677" s="49"/>
      <c r="G677" s="49"/>
      <c r="I677" s="51"/>
      <c r="X677" s="178"/>
      <c r="Z677" s="59"/>
    </row>
    <row r="678" spans="2:26" ht="15">
      <c r="B678" s="177"/>
      <c r="D678" s="49"/>
      <c r="E678" s="49"/>
      <c r="F678" s="49"/>
      <c r="G678" s="49"/>
      <c r="I678" s="51"/>
      <c r="X678" s="178"/>
      <c r="Z678" s="59"/>
    </row>
    <row r="679" spans="2:26" ht="15">
      <c r="B679" s="177"/>
      <c r="D679" s="49"/>
      <c r="E679" s="49"/>
      <c r="F679" s="49"/>
      <c r="G679" s="49"/>
      <c r="I679" s="51"/>
      <c r="X679" s="178"/>
      <c r="Z679" s="59"/>
    </row>
    <row r="680" spans="2:26" ht="15">
      <c r="B680" s="177"/>
      <c r="D680" s="49"/>
      <c r="E680" s="49"/>
      <c r="F680" s="49"/>
      <c r="G680" s="49"/>
      <c r="I680" s="51"/>
      <c r="X680" s="178"/>
      <c r="Z680" s="59"/>
    </row>
    <row r="681" spans="2:26" ht="15">
      <c r="B681" s="177"/>
      <c r="D681" s="49"/>
      <c r="E681" s="49"/>
      <c r="F681" s="49"/>
      <c r="G681" s="49"/>
      <c r="I681" s="51"/>
      <c r="X681" s="178"/>
      <c r="Z681" s="59"/>
    </row>
    <row r="682" spans="2:26" ht="15">
      <c r="B682" s="177"/>
      <c r="D682" s="49"/>
      <c r="E682" s="49"/>
      <c r="F682" s="49"/>
      <c r="G682" s="49"/>
      <c r="I682" s="51"/>
      <c r="X682" s="178"/>
      <c r="Z682" s="59"/>
    </row>
    <row r="683" spans="2:26" ht="15">
      <c r="B683" s="177"/>
      <c r="D683" s="49"/>
      <c r="E683" s="49"/>
      <c r="F683" s="49"/>
      <c r="G683" s="49"/>
      <c r="I683" s="51"/>
      <c r="X683" s="178"/>
      <c r="Z683" s="59"/>
    </row>
    <row r="684" spans="2:26" ht="15">
      <c r="B684" s="177"/>
      <c r="D684" s="49"/>
      <c r="E684" s="49"/>
      <c r="F684" s="49"/>
      <c r="G684" s="49"/>
      <c r="I684" s="51"/>
      <c r="X684" s="178"/>
      <c r="Z684" s="59"/>
    </row>
    <row r="685" spans="2:26" ht="15">
      <c r="B685" s="177"/>
      <c r="D685" s="49"/>
      <c r="E685" s="49"/>
      <c r="F685" s="49"/>
      <c r="G685" s="49"/>
      <c r="I685" s="51"/>
      <c r="X685" s="178"/>
      <c r="Z685" s="59"/>
    </row>
    <row r="686" spans="2:26" ht="15">
      <c r="B686" s="177"/>
      <c r="D686" s="49"/>
      <c r="E686" s="49"/>
      <c r="F686" s="49"/>
      <c r="G686" s="49"/>
      <c r="I686" s="51"/>
      <c r="X686" s="178"/>
      <c r="Z686" s="59"/>
    </row>
    <row r="687" spans="2:26" ht="15">
      <c r="B687" s="177"/>
      <c r="D687" s="49"/>
      <c r="E687" s="49"/>
      <c r="F687" s="49"/>
      <c r="G687" s="49"/>
      <c r="I687" s="51"/>
      <c r="X687" s="178"/>
      <c r="Z687" s="59"/>
    </row>
    <row r="688" spans="2:26" ht="15">
      <c r="B688" s="177"/>
      <c r="D688" s="49"/>
      <c r="E688" s="49"/>
      <c r="F688" s="49"/>
      <c r="G688" s="49"/>
      <c r="I688" s="51"/>
      <c r="X688" s="178"/>
      <c r="Z688" s="59"/>
    </row>
    <row r="689" spans="2:26" ht="15">
      <c r="B689" s="177"/>
      <c r="D689" s="49"/>
      <c r="E689" s="49"/>
      <c r="F689" s="49"/>
      <c r="G689" s="49"/>
      <c r="I689" s="51"/>
      <c r="X689" s="178"/>
      <c r="Z689" s="59"/>
    </row>
    <row r="690" spans="2:26" ht="15">
      <c r="B690" s="177"/>
      <c r="D690" s="49"/>
      <c r="E690" s="49"/>
      <c r="F690" s="49"/>
      <c r="G690" s="49"/>
      <c r="I690" s="51"/>
      <c r="X690" s="178"/>
      <c r="Z690" s="59"/>
    </row>
    <row r="691" spans="2:26" ht="15">
      <c r="B691" s="177"/>
      <c r="D691" s="49"/>
      <c r="E691" s="49"/>
      <c r="F691" s="49"/>
      <c r="G691" s="49"/>
      <c r="I691" s="51"/>
      <c r="X691" s="178"/>
      <c r="Z691" s="59"/>
    </row>
    <row r="692" spans="2:26" ht="15">
      <c r="B692" s="177"/>
      <c r="D692" s="49"/>
      <c r="E692" s="49"/>
      <c r="F692" s="49"/>
      <c r="G692" s="49"/>
      <c r="I692" s="51"/>
      <c r="X692" s="178"/>
      <c r="Z692" s="59"/>
    </row>
    <row r="693" spans="2:26" ht="15">
      <c r="B693" s="177"/>
      <c r="D693" s="49"/>
      <c r="E693" s="49"/>
      <c r="F693" s="49"/>
      <c r="G693" s="49"/>
      <c r="I693" s="51"/>
      <c r="X693" s="178"/>
      <c r="Z693" s="59"/>
    </row>
    <row r="694" spans="2:26" ht="15">
      <c r="B694" s="177"/>
      <c r="D694" s="49"/>
      <c r="E694" s="49"/>
      <c r="F694" s="49"/>
      <c r="G694" s="49"/>
      <c r="I694" s="51"/>
      <c r="X694" s="178"/>
      <c r="Z694" s="59"/>
    </row>
    <row r="695" spans="2:26" ht="15">
      <c r="B695" s="177"/>
      <c r="D695" s="49"/>
      <c r="E695" s="49"/>
      <c r="F695" s="49"/>
      <c r="G695" s="49"/>
      <c r="I695" s="51"/>
      <c r="X695" s="178"/>
      <c r="Z695" s="59"/>
    </row>
    <row r="696" spans="2:26" ht="15">
      <c r="B696" s="177"/>
      <c r="D696" s="49"/>
      <c r="E696" s="49"/>
      <c r="F696" s="49"/>
      <c r="G696" s="49"/>
      <c r="I696" s="51"/>
      <c r="X696" s="178"/>
      <c r="Z696" s="59"/>
    </row>
    <row r="697" spans="2:26" ht="15">
      <c r="B697" s="177"/>
      <c r="D697" s="49"/>
      <c r="E697" s="49"/>
      <c r="F697" s="49"/>
      <c r="G697" s="49"/>
      <c r="I697" s="51"/>
      <c r="X697" s="178"/>
      <c r="Z697" s="59"/>
    </row>
    <row r="698" spans="2:26" ht="15">
      <c r="B698" s="177"/>
      <c r="D698" s="49"/>
      <c r="E698" s="49"/>
      <c r="F698" s="49"/>
      <c r="G698" s="49"/>
      <c r="I698" s="51"/>
      <c r="X698" s="178"/>
      <c r="Z698" s="59"/>
    </row>
    <row r="699" spans="2:26" ht="15">
      <c r="B699" s="177"/>
      <c r="D699" s="49"/>
      <c r="E699" s="49"/>
      <c r="F699" s="49"/>
      <c r="G699" s="49"/>
      <c r="I699" s="51"/>
      <c r="X699" s="178"/>
      <c r="Z699" s="59"/>
    </row>
    <row r="700" spans="2:26" ht="15">
      <c r="B700" s="177"/>
      <c r="D700" s="49"/>
      <c r="E700" s="49"/>
      <c r="F700" s="49"/>
      <c r="G700" s="49"/>
      <c r="I700" s="51"/>
      <c r="X700" s="178"/>
      <c r="Z700" s="59"/>
    </row>
    <row r="701" spans="2:26" ht="15">
      <c r="B701" s="177"/>
      <c r="D701" s="49"/>
      <c r="E701" s="49"/>
      <c r="F701" s="49"/>
      <c r="G701" s="49"/>
      <c r="I701" s="51"/>
      <c r="X701" s="178"/>
      <c r="Z701" s="59"/>
    </row>
    <row r="702" spans="2:26" ht="15">
      <c r="B702" s="177"/>
      <c r="D702" s="49"/>
      <c r="E702" s="49"/>
      <c r="F702" s="49"/>
      <c r="G702" s="49"/>
      <c r="I702" s="51"/>
      <c r="X702" s="178"/>
      <c r="Z702" s="59"/>
    </row>
    <row r="703" spans="2:26" ht="15">
      <c r="B703" s="177"/>
      <c r="D703" s="49"/>
      <c r="E703" s="49"/>
      <c r="F703" s="49"/>
      <c r="G703" s="49"/>
      <c r="I703" s="51"/>
      <c r="X703" s="178"/>
      <c r="Z703" s="59"/>
    </row>
    <row r="704" spans="2:26" ht="15">
      <c r="B704" s="177"/>
      <c r="D704" s="49"/>
      <c r="E704" s="49"/>
      <c r="F704" s="49"/>
      <c r="G704" s="49"/>
      <c r="I704" s="51"/>
      <c r="X704" s="178"/>
      <c r="Z704" s="59"/>
    </row>
    <row r="705" spans="2:26" ht="15">
      <c r="B705" s="177"/>
      <c r="D705" s="49"/>
      <c r="E705" s="49"/>
      <c r="F705" s="49"/>
      <c r="G705" s="49"/>
      <c r="I705" s="51"/>
      <c r="X705" s="178"/>
      <c r="Z705" s="59"/>
    </row>
    <row r="706" spans="2:26" ht="15">
      <c r="B706" s="177"/>
      <c r="D706" s="49"/>
      <c r="E706" s="49"/>
      <c r="F706" s="49"/>
      <c r="G706" s="49"/>
      <c r="I706" s="51"/>
      <c r="X706" s="178"/>
      <c r="Z706" s="59"/>
    </row>
    <row r="707" spans="2:26" ht="15">
      <c r="B707" s="177"/>
      <c r="D707" s="49"/>
      <c r="E707" s="49"/>
      <c r="F707" s="49"/>
      <c r="G707" s="49"/>
      <c r="I707" s="51"/>
      <c r="X707" s="178"/>
      <c r="Z707" s="59"/>
    </row>
    <row r="708" spans="2:26" ht="15">
      <c r="B708" s="177"/>
      <c r="D708" s="49"/>
      <c r="E708" s="49"/>
      <c r="F708" s="49"/>
      <c r="G708" s="49"/>
      <c r="I708" s="51"/>
      <c r="X708" s="178"/>
      <c r="Z708" s="59"/>
    </row>
    <row r="709" spans="2:26" ht="15">
      <c r="B709" s="177"/>
      <c r="D709" s="49"/>
      <c r="E709" s="49"/>
      <c r="F709" s="49"/>
      <c r="G709" s="49"/>
      <c r="I709" s="51"/>
      <c r="X709" s="178"/>
      <c r="Z709" s="59"/>
    </row>
    <row r="710" spans="2:26" ht="15">
      <c r="B710" s="177"/>
      <c r="D710" s="49"/>
      <c r="E710" s="49"/>
      <c r="F710" s="49"/>
      <c r="G710" s="49"/>
      <c r="I710" s="51"/>
      <c r="X710" s="178"/>
      <c r="Z710" s="59"/>
    </row>
    <row r="711" spans="2:26" ht="15">
      <c r="B711" s="177"/>
      <c r="D711" s="49"/>
      <c r="E711" s="49"/>
      <c r="F711" s="49"/>
      <c r="G711" s="49"/>
      <c r="I711" s="51"/>
      <c r="X711" s="178"/>
      <c r="Z711" s="59"/>
    </row>
    <row r="712" spans="2:26" ht="15">
      <c r="B712" s="177"/>
      <c r="D712" s="49"/>
      <c r="E712" s="49"/>
      <c r="F712" s="49"/>
      <c r="G712" s="49"/>
      <c r="I712" s="51"/>
      <c r="X712" s="178"/>
      <c r="Z712" s="59"/>
    </row>
    <row r="713" spans="2:26" ht="15">
      <c r="B713" s="177"/>
      <c r="D713" s="49"/>
      <c r="E713" s="49"/>
      <c r="F713" s="49"/>
      <c r="G713" s="49"/>
      <c r="I713" s="51"/>
      <c r="X713" s="178"/>
      <c r="Z713" s="59"/>
    </row>
    <row r="714" spans="2:26" ht="15">
      <c r="B714" s="177"/>
      <c r="D714" s="49"/>
      <c r="E714" s="49"/>
      <c r="F714" s="49"/>
      <c r="G714" s="49"/>
      <c r="I714" s="51"/>
      <c r="X714" s="178"/>
      <c r="Z714" s="59"/>
    </row>
    <row r="715" spans="2:26" ht="15">
      <c r="B715" s="177"/>
      <c r="D715" s="49"/>
      <c r="E715" s="49"/>
      <c r="F715" s="49"/>
      <c r="G715" s="49"/>
      <c r="I715" s="51"/>
      <c r="X715" s="178"/>
      <c r="Z715" s="59"/>
    </row>
    <row r="716" spans="2:26" ht="15">
      <c r="B716" s="177"/>
      <c r="D716" s="49"/>
      <c r="E716" s="49"/>
      <c r="F716" s="49"/>
      <c r="G716" s="49"/>
      <c r="I716" s="51"/>
      <c r="X716" s="178"/>
      <c r="Z716" s="59"/>
    </row>
    <row r="717" spans="2:26" ht="15">
      <c r="B717" s="177"/>
      <c r="D717" s="49"/>
      <c r="E717" s="49"/>
      <c r="F717" s="49"/>
      <c r="G717" s="49"/>
      <c r="I717" s="51"/>
      <c r="X717" s="178"/>
      <c r="Z717" s="59"/>
    </row>
    <row r="718" spans="2:26" ht="15">
      <c r="B718" s="177"/>
      <c r="D718" s="49"/>
      <c r="E718" s="49"/>
      <c r="F718" s="49"/>
      <c r="G718" s="49"/>
      <c r="I718" s="51"/>
      <c r="X718" s="178"/>
      <c r="Z718" s="59"/>
    </row>
    <row r="719" spans="2:26" ht="15">
      <c r="B719" s="177"/>
      <c r="D719" s="49"/>
      <c r="E719" s="49"/>
      <c r="F719" s="49"/>
      <c r="G719" s="49"/>
      <c r="I719" s="51"/>
      <c r="X719" s="178"/>
      <c r="Z719" s="59"/>
    </row>
    <row r="720" spans="2:26" ht="15">
      <c r="B720" s="177"/>
      <c r="D720" s="49"/>
      <c r="E720" s="49"/>
      <c r="F720" s="49"/>
      <c r="G720" s="49"/>
      <c r="I720" s="51"/>
      <c r="X720" s="178"/>
      <c r="Z720" s="59"/>
    </row>
    <row r="721" spans="2:26" ht="15">
      <c r="B721" s="177"/>
      <c r="D721" s="49"/>
      <c r="E721" s="49"/>
      <c r="F721" s="49"/>
      <c r="G721" s="49"/>
      <c r="I721" s="51"/>
      <c r="X721" s="178"/>
      <c r="Z721" s="59"/>
    </row>
    <row r="722" spans="2:26" ht="15">
      <c r="B722" s="177"/>
      <c r="D722" s="49"/>
      <c r="E722" s="49"/>
      <c r="F722" s="49"/>
      <c r="G722" s="49"/>
      <c r="I722" s="51"/>
      <c r="X722" s="178"/>
      <c r="Z722" s="59"/>
    </row>
    <row r="723" spans="2:26" ht="15">
      <c r="B723" s="177"/>
      <c r="D723" s="49"/>
      <c r="E723" s="49"/>
      <c r="F723" s="49"/>
      <c r="G723" s="49"/>
      <c r="I723" s="51"/>
      <c r="X723" s="178"/>
      <c r="Z723" s="59"/>
    </row>
    <row r="724" spans="2:26" ht="15">
      <c r="B724" s="177"/>
      <c r="D724" s="49"/>
      <c r="E724" s="49"/>
      <c r="F724" s="49"/>
      <c r="G724" s="49"/>
      <c r="I724" s="51"/>
      <c r="X724" s="178"/>
      <c r="Z724" s="59"/>
    </row>
    <row r="725" spans="2:26" ht="15">
      <c r="B725" s="177"/>
      <c r="D725" s="49"/>
      <c r="E725" s="49"/>
      <c r="F725" s="49"/>
      <c r="G725" s="49"/>
      <c r="I725" s="51"/>
      <c r="X725" s="178"/>
      <c r="Z725" s="59"/>
    </row>
    <row r="726" spans="2:26" ht="15">
      <c r="B726" s="177"/>
      <c r="D726" s="49"/>
      <c r="E726" s="49"/>
      <c r="F726" s="49"/>
      <c r="G726" s="49"/>
      <c r="I726" s="51"/>
      <c r="X726" s="178"/>
      <c r="Z726" s="59"/>
    </row>
    <row r="727" spans="2:26" ht="15">
      <c r="B727" s="177"/>
      <c r="D727" s="49"/>
      <c r="E727" s="49"/>
      <c r="F727" s="49"/>
      <c r="G727" s="49"/>
      <c r="I727" s="51"/>
      <c r="X727" s="178"/>
      <c r="Z727" s="59"/>
    </row>
    <row r="728" spans="2:26" ht="15">
      <c r="B728" s="177"/>
      <c r="D728" s="49"/>
      <c r="E728" s="49"/>
      <c r="F728" s="49"/>
      <c r="G728" s="49"/>
      <c r="I728" s="51"/>
      <c r="X728" s="178"/>
      <c r="Z728" s="59"/>
    </row>
    <row r="729" spans="2:26" ht="15">
      <c r="B729" s="177"/>
      <c r="D729" s="49"/>
      <c r="E729" s="49"/>
      <c r="F729" s="49"/>
      <c r="G729" s="49"/>
      <c r="I729" s="51"/>
      <c r="X729" s="178"/>
      <c r="Z729" s="59"/>
    </row>
    <row r="730" spans="2:26" ht="15">
      <c r="B730" s="177"/>
      <c r="D730" s="49"/>
      <c r="E730" s="49"/>
      <c r="F730" s="49"/>
      <c r="G730" s="49"/>
      <c r="I730" s="51"/>
      <c r="X730" s="178"/>
      <c r="Z730" s="59"/>
    </row>
    <row r="731" spans="2:26" ht="15">
      <c r="B731" s="177"/>
      <c r="D731" s="49"/>
      <c r="E731" s="49"/>
      <c r="F731" s="49"/>
      <c r="G731" s="49"/>
      <c r="I731" s="51"/>
      <c r="X731" s="178"/>
      <c r="Z731" s="59"/>
    </row>
    <row r="732" spans="2:26" ht="15">
      <c r="B732" s="177"/>
      <c r="D732" s="49"/>
      <c r="E732" s="49"/>
      <c r="F732" s="49"/>
      <c r="G732" s="49"/>
      <c r="I732" s="51"/>
      <c r="X732" s="178"/>
      <c r="Z732" s="59"/>
    </row>
    <row r="733" spans="2:26" ht="15">
      <c r="B733" s="177"/>
      <c r="D733" s="49"/>
      <c r="E733" s="49"/>
      <c r="F733" s="49"/>
      <c r="G733" s="49"/>
      <c r="I733" s="51"/>
      <c r="X733" s="178"/>
      <c r="Z733" s="59"/>
    </row>
    <row r="734" spans="2:26" ht="15">
      <c r="B734" s="177"/>
      <c r="D734" s="49"/>
      <c r="E734" s="49"/>
      <c r="F734" s="49"/>
      <c r="G734" s="49"/>
      <c r="I734" s="51"/>
      <c r="X734" s="178"/>
      <c r="Z734" s="59"/>
    </row>
    <row r="735" spans="2:26" ht="15">
      <c r="B735" s="177"/>
      <c r="D735" s="49"/>
      <c r="E735" s="49"/>
      <c r="F735" s="49"/>
      <c r="G735" s="49"/>
      <c r="I735" s="51"/>
      <c r="X735" s="178"/>
      <c r="Z735" s="59"/>
    </row>
    <row r="736" spans="2:26" ht="15">
      <c r="B736" s="177"/>
      <c r="D736" s="49"/>
      <c r="E736" s="49"/>
      <c r="F736" s="49"/>
      <c r="G736" s="49"/>
      <c r="I736" s="51"/>
      <c r="X736" s="178"/>
      <c r="Z736" s="59"/>
    </row>
    <row r="737" spans="2:26" ht="15">
      <c r="B737" s="177"/>
      <c r="D737" s="49"/>
      <c r="E737" s="49"/>
      <c r="F737" s="49"/>
      <c r="G737" s="49"/>
      <c r="I737" s="51"/>
      <c r="X737" s="178"/>
      <c r="Z737" s="59"/>
    </row>
    <row r="738" spans="2:26" ht="15">
      <c r="B738" s="177"/>
      <c r="D738" s="49"/>
      <c r="E738" s="49"/>
      <c r="F738" s="49"/>
      <c r="G738" s="49"/>
      <c r="I738" s="51"/>
      <c r="X738" s="178"/>
      <c r="Z738" s="59"/>
    </row>
    <row r="739" spans="2:26" ht="15">
      <c r="B739" s="177"/>
      <c r="D739" s="49"/>
      <c r="E739" s="49"/>
      <c r="F739" s="49"/>
      <c r="G739" s="49"/>
      <c r="I739" s="51"/>
      <c r="X739" s="178"/>
      <c r="Z739" s="59"/>
    </row>
    <row r="740" spans="2:26" ht="15">
      <c r="B740" s="177"/>
      <c r="D740" s="49"/>
      <c r="E740" s="49"/>
      <c r="F740" s="49"/>
      <c r="G740" s="49"/>
      <c r="I740" s="51"/>
      <c r="X740" s="178"/>
      <c r="Z740" s="59"/>
    </row>
    <row r="741" spans="2:26" ht="15">
      <c r="B741" s="177"/>
      <c r="D741" s="49"/>
      <c r="E741" s="49"/>
      <c r="F741" s="49"/>
      <c r="G741" s="49"/>
      <c r="I741" s="51"/>
      <c r="X741" s="178"/>
      <c r="Z741" s="59"/>
    </row>
    <row r="742" spans="2:26" ht="15">
      <c r="B742" s="177"/>
      <c r="D742" s="49"/>
      <c r="E742" s="49"/>
      <c r="F742" s="49"/>
      <c r="G742" s="49"/>
      <c r="I742" s="51"/>
      <c r="X742" s="178"/>
      <c r="Z742" s="59"/>
    </row>
    <row r="743" spans="2:26" ht="15">
      <c r="B743" s="177"/>
      <c r="D743" s="49"/>
      <c r="E743" s="49"/>
      <c r="F743" s="49"/>
      <c r="G743" s="49"/>
      <c r="I743" s="51"/>
      <c r="X743" s="178"/>
      <c r="Z743" s="59"/>
    </row>
    <row r="744" spans="2:26" ht="15">
      <c r="B744" s="177"/>
      <c r="D744" s="49"/>
      <c r="E744" s="49"/>
      <c r="F744" s="49"/>
      <c r="G744" s="49"/>
      <c r="I744" s="51"/>
      <c r="X744" s="178"/>
      <c r="Z744" s="59"/>
    </row>
    <row r="745" spans="2:26" ht="15">
      <c r="B745" s="177"/>
      <c r="D745" s="49"/>
      <c r="E745" s="49"/>
      <c r="F745" s="49"/>
      <c r="G745" s="49"/>
      <c r="I745" s="51"/>
      <c r="X745" s="178"/>
      <c r="Z745" s="59"/>
    </row>
    <row r="746" spans="2:26" ht="15">
      <c r="B746" s="177"/>
      <c r="D746" s="49"/>
      <c r="E746" s="49"/>
      <c r="F746" s="49"/>
      <c r="G746" s="49"/>
      <c r="I746" s="51"/>
      <c r="X746" s="178"/>
      <c r="Z746" s="59"/>
    </row>
    <row r="747" spans="2:26" ht="15">
      <c r="B747" s="177"/>
      <c r="D747" s="49"/>
      <c r="E747" s="49"/>
      <c r="F747" s="49"/>
      <c r="G747" s="49"/>
      <c r="I747" s="51"/>
      <c r="X747" s="178"/>
      <c r="Z747" s="59"/>
    </row>
    <row r="748" spans="2:26" ht="15">
      <c r="B748" s="177"/>
      <c r="D748" s="49"/>
      <c r="E748" s="49"/>
      <c r="F748" s="49"/>
      <c r="G748" s="49"/>
      <c r="I748" s="51"/>
      <c r="X748" s="178"/>
      <c r="Z748" s="59"/>
    </row>
    <row r="749" spans="2:26" ht="15">
      <c r="B749" s="177"/>
      <c r="D749" s="49"/>
      <c r="E749" s="49"/>
      <c r="F749" s="49"/>
      <c r="G749" s="49"/>
      <c r="I749" s="51"/>
      <c r="X749" s="178"/>
      <c r="Z749" s="59"/>
    </row>
    <row r="750" spans="2:26" ht="15">
      <c r="B750" s="177"/>
      <c r="D750" s="49"/>
      <c r="E750" s="49"/>
      <c r="F750" s="49"/>
      <c r="G750" s="49"/>
      <c r="I750" s="51"/>
      <c r="X750" s="178"/>
      <c r="Z750" s="59"/>
    </row>
    <row r="751" spans="2:26" ht="15">
      <c r="B751" s="177"/>
      <c r="D751" s="49"/>
      <c r="E751" s="49"/>
      <c r="F751" s="49"/>
      <c r="G751" s="49"/>
      <c r="I751" s="51"/>
      <c r="X751" s="178"/>
      <c r="Z751" s="59"/>
    </row>
    <row r="752" spans="2:26" ht="15">
      <c r="B752" s="177"/>
      <c r="D752" s="49"/>
      <c r="E752" s="49"/>
      <c r="F752" s="49"/>
      <c r="G752" s="49"/>
      <c r="I752" s="51"/>
      <c r="X752" s="178"/>
      <c r="Z752" s="59"/>
    </row>
    <row r="753" spans="2:26" ht="15">
      <c r="B753" s="177"/>
      <c r="D753" s="49"/>
      <c r="E753" s="49"/>
      <c r="F753" s="49"/>
      <c r="G753" s="49"/>
      <c r="I753" s="51"/>
      <c r="X753" s="178"/>
      <c r="Z753" s="59"/>
    </row>
    <row r="754" spans="2:26" ht="15">
      <c r="B754" s="177"/>
      <c r="D754" s="49"/>
      <c r="E754" s="49"/>
      <c r="F754" s="49"/>
      <c r="G754" s="49"/>
      <c r="I754" s="51"/>
      <c r="X754" s="178"/>
      <c r="Z754" s="59"/>
    </row>
    <row r="755" spans="2:26" ht="15">
      <c r="B755" s="177"/>
      <c r="D755" s="49"/>
      <c r="E755" s="49"/>
      <c r="F755" s="49"/>
      <c r="G755" s="49"/>
      <c r="I755" s="51"/>
      <c r="X755" s="178"/>
      <c r="Z755" s="59"/>
    </row>
    <row r="756" spans="2:26" ht="15">
      <c r="B756" s="177"/>
      <c r="D756" s="49"/>
      <c r="E756" s="49"/>
      <c r="F756" s="49"/>
      <c r="G756" s="49"/>
      <c r="I756" s="51"/>
      <c r="X756" s="178"/>
      <c r="Z756" s="59"/>
    </row>
    <row r="757" spans="2:26" ht="15">
      <c r="B757" s="177"/>
      <c r="D757" s="49"/>
      <c r="E757" s="49"/>
      <c r="F757" s="49"/>
      <c r="G757" s="49"/>
      <c r="I757" s="51"/>
      <c r="X757" s="178"/>
      <c r="Z757" s="59"/>
    </row>
    <row r="758" spans="2:26" ht="15">
      <c r="B758" s="177"/>
      <c r="D758" s="49"/>
      <c r="E758" s="49"/>
      <c r="F758" s="49"/>
      <c r="G758" s="49"/>
      <c r="I758" s="51"/>
      <c r="X758" s="178"/>
      <c r="Z758" s="59"/>
    </row>
    <row r="759" spans="2:26" ht="15">
      <c r="B759" s="177"/>
      <c r="D759" s="49"/>
      <c r="E759" s="49"/>
      <c r="F759" s="49"/>
      <c r="G759" s="49"/>
      <c r="I759" s="51"/>
      <c r="X759" s="178"/>
      <c r="Z759" s="59"/>
    </row>
    <row r="760" spans="2:26" ht="15">
      <c r="B760" s="177"/>
      <c r="D760" s="49"/>
      <c r="E760" s="49"/>
      <c r="F760" s="49"/>
      <c r="G760" s="49"/>
      <c r="I760" s="51"/>
      <c r="X760" s="178"/>
      <c r="Z760" s="59"/>
    </row>
    <row r="761" spans="2:26" ht="15">
      <c r="B761" s="177"/>
      <c r="D761" s="49"/>
      <c r="E761" s="49"/>
      <c r="F761" s="49"/>
      <c r="G761" s="49"/>
      <c r="I761" s="51"/>
      <c r="X761" s="178"/>
      <c r="Z761" s="59"/>
    </row>
    <row r="762" spans="2:26" ht="15">
      <c r="B762" s="177"/>
      <c r="D762" s="49"/>
      <c r="E762" s="49"/>
      <c r="F762" s="49"/>
      <c r="G762" s="49"/>
      <c r="I762" s="51"/>
      <c r="X762" s="178"/>
      <c r="Z762" s="59"/>
    </row>
    <row r="763" spans="2:26" ht="15">
      <c r="B763" s="177"/>
      <c r="D763" s="49"/>
      <c r="E763" s="49"/>
      <c r="F763" s="49"/>
      <c r="G763" s="49"/>
      <c r="I763" s="51"/>
      <c r="X763" s="178"/>
      <c r="Z763" s="59"/>
    </row>
    <row r="764" spans="2:26" ht="15">
      <c r="B764" s="177"/>
      <c r="D764" s="49"/>
      <c r="E764" s="49"/>
      <c r="F764" s="49"/>
      <c r="G764" s="49"/>
      <c r="I764" s="51"/>
      <c r="X764" s="178"/>
      <c r="Z764" s="59"/>
    </row>
    <row r="765" spans="2:26" ht="15">
      <c r="B765" s="177"/>
      <c r="D765" s="49"/>
      <c r="E765" s="49"/>
      <c r="F765" s="49"/>
      <c r="G765" s="49"/>
      <c r="I765" s="51"/>
      <c r="X765" s="178"/>
      <c r="Z765" s="59"/>
    </row>
    <row r="766" spans="2:26" ht="15">
      <c r="B766" s="177"/>
      <c r="D766" s="49"/>
      <c r="E766" s="49"/>
      <c r="F766" s="49"/>
      <c r="G766" s="49"/>
      <c r="I766" s="51"/>
      <c r="X766" s="178"/>
      <c r="Z766" s="59"/>
    </row>
    <row r="767" spans="2:26" ht="15">
      <c r="B767" s="177"/>
      <c r="D767" s="49"/>
      <c r="E767" s="49"/>
      <c r="F767" s="49"/>
      <c r="G767" s="49"/>
      <c r="I767" s="51"/>
      <c r="X767" s="178"/>
      <c r="Z767" s="59"/>
    </row>
    <row r="768" spans="2:26" ht="15">
      <c r="B768" s="177"/>
      <c r="D768" s="49"/>
      <c r="E768" s="49"/>
      <c r="F768" s="49"/>
      <c r="G768" s="49"/>
      <c r="I768" s="51"/>
      <c r="X768" s="178"/>
      <c r="Z768" s="59"/>
    </row>
    <row r="769" spans="2:26" ht="15">
      <c r="B769" s="177"/>
      <c r="D769" s="49"/>
      <c r="E769" s="49"/>
      <c r="F769" s="49"/>
      <c r="G769" s="49"/>
      <c r="I769" s="51"/>
      <c r="X769" s="178"/>
      <c r="Z769" s="59"/>
    </row>
    <row r="770" spans="2:26" ht="15">
      <c r="B770" s="177"/>
      <c r="D770" s="49"/>
      <c r="E770" s="49"/>
      <c r="F770" s="49"/>
      <c r="G770" s="49"/>
      <c r="I770" s="51"/>
      <c r="X770" s="178"/>
      <c r="Z770" s="59"/>
    </row>
    <row r="771" spans="2:26" ht="15">
      <c r="B771" s="177"/>
      <c r="D771" s="49"/>
      <c r="E771" s="49"/>
      <c r="F771" s="49"/>
      <c r="G771" s="49"/>
      <c r="I771" s="51"/>
      <c r="X771" s="178"/>
      <c r="Z771" s="59"/>
    </row>
    <row r="772" spans="2:26" ht="15">
      <c r="B772" s="177"/>
      <c r="D772" s="49"/>
      <c r="E772" s="49"/>
      <c r="F772" s="49"/>
      <c r="G772" s="49"/>
      <c r="I772" s="51"/>
      <c r="X772" s="178"/>
      <c r="Z772" s="59"/>
    </row>
    <row r="773" spans="2:26" ht="15">
      <c r="B773" s="177"/>
      <c r="D773" s="49"/>
      <c r="E773" s="49"/>
      <c r="F773" s="49"/>
      <c r="G773" s="49"/>
      <c r="I773" s="51"/>
      <c r="X773" s="178"/>
      <c r="Z773" s="59"/>
    </row>
    <row r="774" spans="2:26" ht="15">
      <c r="B774" s="177"/>
      <c r="D774" s="49"/>
      <c r="E774" s="49"/>
      <c r="F774" s="49"/>
      <c r="G774" s="49"/>
      <c r="I774" s="51"/>
      <c r="X774" s="178"/>
      <c r="Z774" s="59"/>
    </row>
    <row r="775" spans="2:26" ht="15">
      <c r="B775" s="177"/>
      <c r="D775" s="49"/>
      <c r="E775" s="49"/>
      <c r="F775" s="49"/>
      <c r="G775" s="49"/>
      <c r="I775" s="51"/>
      <c r="X775" s="178"/>
      <c r="Z775" s="59"/>
    </row>
    <row r="776" spans="2:26" ht="15">
      <c r="B776" s="177"/>
      <c r="D776" s="49"/>
      <c r="E776" s="49"/>
      <c r="F776" s="49"/>
      <c r="G776" s="49"/>
      <c r="I776" s="51"/>
      <c r="X776" s="178"/>
      <c r="Z776" s="59"/>
    </row>
    <row r="777" spans="2:26" ht="15">
      <c r="B777" s="177"/>
      <c r="D777" s="49"/>
      <c r="E777" s="49"/>
      <c r="F777" s="49"/>
      <c r="G777" s="49"/>
      <c r="I777" s="51"/>
      <c r="X777" s="178"/>
      <c r="Z777" s="59"/>
    </row>
    <row r="778" spans="2:26" ht="15">
      <c r="B778" s="177"/>
      <c r="D778" s="49"/>
      <c r="E778" s="49"/>
      <c r="F778" s="49"/>
      <c r="G778" s="49"/>
      <c r="I778" s="51"/>
      <c r="X778" s="178"/>
      <c r="Z778" s="59"/>
    </row>
    <row r="779" spans="2:26" ht="15">
      <c r="B779" s="177"/>
      <c r="D779" s="49"/>
      <c r="E779" s="49"/>
      <c r="F779" s="49"/>
      <c r="G779" s="49"/>
      <c r="I779" s="51"/>
      <c r="X779" s="178"/>
      <c r="Z779" s="59"/>
    </row>
    <row r="780" spans="2:26" ht="15">
      <c r="B780" s="177"/>
      <c r="D780" s="49"/>
      <c r="E780" s="49"/>
      <c r="F780" s="49"/>
      <c r="G780" s="49"/>
      <c r="I780" s="51"/>
      <c r="X780" s="178"/>
      <c r="Z780" s="59"/>
    </row>
    <row r="781" spans="2:26" ht="15">
      <c r="B781" s="177"/>
      <c r="D781" s="49"/>
      <c r="E781" s="49"/>
      <c r="F781" s="49"/>
      <c r="G781" s="49"/>
      <c r="I781" s="51"/>
      <c r="X781" s="178"/>
      <c r="Z781" s="59"/>
    </row>
    <row r="782" spans="2:26" ht="15">
      <c r="B782" s="177"/>
      <c r="D782" s="49"/>
      <c r="E782" s="49"/>
      <c r="F782" s="49"/>
      <c r="G782" s="49"/>
      <c r="I782" s="51"/>
      <c r="X782" s="178"/>
      <c r="Z782" s="59"/>
    </row>
    <row r="783" spans="2:26" ht="15">
      <c r="B783" s="177"/>
      <c r="D783" s="49"/>
      <c r="E783" s="49"/>
      <c r="F783" s="49"/>
      <c r="G783" s="49"/>
      <c r="I783" s="51"/>
      <c r="X783" s="178"/>
      <c r="Z783" s="59"/>
    </row>
    <row r="784" spans="2:26" ht="15">
      <c r="B784" s="177"/>
      <c r="D784" s="49"/>
      <c r="E784" s="49"/>
      <c r="F784" s="49"/>
      <c r="G784" s="49"/>
      <c r="I784" s="51"/>
      <c r="X784" s="178"/>
      <c r="Z784" s="59"/>
    </row>
    <row r="785" spans="2:26" ht="15">
      <c r="B785" s="177"/>
      <c r="D785" s="49"/>
      <c r="E785" s="49"/>
      <c r="F785" s="49"/>
      <c r="G785" s="49"/>
      <c r="I785" s="51"/>
      <c r="X785" s="178"/>
      <c r="Z785" s="59"/>
    </row>
    <row r="786" spans="2:26" ht="15">
      <c r="B786" s="177"/>
      <c r="D786" s="49"/>
      <c r="E786" s="49"/>
      <c r="F786" s="49"/>
      <c r="G786" s="49"/>
      <c r="I786" s="51"/>
      <c r="X786" s="178"/>
      <c r="Z786" s="59"/>
    </row>
    <row r="787" spans="2:26" ht="15">
      <c r="B787" s="177"/>
      <c r="D787" s="49"/>
      <c r="E787" s="49"/>
      <c r="F787" s="49"/>
      <c r="G787" s="49"/>
      <c r="I787" s="51"/>
      <c r="X787" s="178"/>
      <c r="Z787" s="59"/>
    </row>
    <row r="788" spans="2:26" ht="15">
      <c r="B788" s="177"/>
      <c r="D788" s="49"/>
      <c r="E788" s="49"/>
      <c r="F788" s="49"/>
      <c r="G788" s="49"/>
      <c r="I788" s="51"/>
      <c r="X788" s="178"/>
      <c r="Z788" s="59"/>
    </row>
    <row r="789" spans="2:26" ht="15">
      <c r="B789" s="177"/>
      <c r="D789" s="49"/>
      <c r="E789" s="49"/>
      <c r="F789" s="49"/>
      <c r="G789" s="49"/>
      <c r="I789" s="51"/>
      <c r="X789" s="178"/>
      <c r="Z789" s="59"/>
    </row>
    <row r="790" spans="2:26" ht="15">
      <c r="B790" s="177"/>
      <c r="D790" s="49"/>
      <c r="E790" s="49"/>
      <c r="F790" s="49"/>
      <c r="G790" s="49"/>
      <c r="I790" s="51"/>
      <c r="X790" s="178"/>
      <c r="Z790" s="59"/>
    </row>
    <row r="791" spans="2:26" ht="15">
      <c r="B791" s="177"/>
      <c r="D791" s="49"/>
      <c r="E791" s="49"/>
      <c r="F791" s="49"/>
      <c r="G791" s="49"/>
      <c r="I791" s="51"/>
      <c r="X791" s="178"/>
      <c r="Z791" s="59"/>
    </row>
    <row r="792" spans="2:26" ht="15">
      <c r="B792" s="177"/>
      <c r="D792" s="49"/>
      <c r="E792" s="49"/>
      <c r="F792" s="49"/>
      <c r="G792" s="49"/>
      <c r="I792" s="51"/>
      <c r="X792" s="178"/>
      <c r="Z792" s="59"/>
    </row>
    <row r="793" spans="2:26" ht="15">
      <c r="B793" s="177"/>
      <c r="D793" s="49"/>
      <c r="E793" s="49"/>
      <c r="F793" s="49"/>
      <c r="G793" s="49"/>
      <c r="I793" s="51"/>
      <c r="X793" s="178"/>
      <c r="Z793" s="59"/>
    </row>
    <row r="794" spans="2:26" ht="15">
      <c r="B794" s="177"/>
      <c r="D794" s="49"/>
      <c r="E794" s="49"/>
      <c r="F794" s="49"/>
      <c r="G794" s="49"/>
      <c r="I794" s="51"/>
      <c r="X794" s="178"/>
      <c r="Z794" s="59"/>
    </row>
    <row r="795" spans="2:26" ht="15">
      <c r="B795" s="177"/>
      <c r="D795" s="49"/>
      <c r="E795" s="49"/>
      <c r="F795" s="49"/>
      <c r="G795" s="49"/>
      <c r="I795" s="51"/>
      <c r="X795" s="178"/>
      <c r="Z795" s="59"/>
    </row>
    <row r="796" spans="2:26" ht="15">
      <c r="B796" s="177"/>
      <c r="D796" s="49"/>
      <c r="E796" s="49"/>
      <c r="F796" s="49"/>
      <c r="G796" s="49"/>
      <c r="I796" s="51"/>
      <c r="X796" s="178"/>
      <c r="Z796" s="59"/>
    </row>
    <row r="797" spans="2:26" ht="15">
      <c r="B797" s="177"/>
      <c r="D797" s="49"/>
      <c r="E797" s="49"/>
      <c r="F797" s="49"/>
      <c r="G797" s="49"/>
      <c r="I797" s="51"/>
      <c r="X797" s="178"/>
      <c r="Z797" s="59"/>
    </row>
    <row r="798" spans="2:26" ht="15">
      <c r="B798" s="177"/>
      <c r="D798" s="49"/>
      <c r="E798" s="49"/>
      <c r="F798" s="49"/>
      <c r="G798" s="49"/>
      <c r="I798" s="51"/>
      <c r="X798" s="178"/>
      <c r="Z798" s="59"/>
    </row>
    <row r="799" spans="2:26" ht="15">
      <c r="B799" s="177"/>
      <c r="D799" s="49"/>
      <c r="E799" s="49"/>
      <c r="F799" s="49"/>
      <c r="G799" s="49"/>
      <c r="I799" s="51"/>
      <c r="X799" s="178"/>
      <c r="Z799" s="59"/>
    </row>
    <row r="800" spans="2:26" ht="15">
      <c r="B800" s="177"/>
      <c r="D800" s="49"/>
      <c r="E800" s="49"/>
      <c r="F800" s="49"/>
      <c r="G800" s="49"/>
      <c r="I800" s="51"/>
      <c r="X800" s="178"/>
      <c r="Z800" s="59"/>
    </row>
    <row r="801" spans="2:26" ht="15">
      <c r="B801" s="177"/>
      <c r="D801" s="49"/>
      <c r="E801" s="49"/>
      <c r="F801" s="49"/>
      <c r="G801" s="49"/>
      <c r="I801" s="51"/>
      <c r="X801" s="178"/>
      <c r="Z801" s="59"/>
    </row>
    <row r="802" spans="2:26" ht="15">
      <c r="B802" s="177"/>
      <c r="D802" s="49"/>
      <c r="E802" s="49"/>
      <c r="F802" s="49"/>
      <c r="G802" s="49"/>
      <c r="I802" s="51"/>
      <c r="X802" s="178"/>
      <c r="Z802" s="59"/>
    </row>
    <row r="803" spans="2:26" ht="15">
      <c r="B803" s="177"/>
      <c r="D803" s="49"/>
      <c r="E803" s="49"/>
      <c r="F803" s="49"/>
      <c r="G803" s="49"/>
      <c r="I803" s="51"/>
      <c r="X803" s="178"/>
      <c r="Z803" s="59"/>
    </row>
    <row r="804" spans="2:26" ht="15">
      <c r="B804" s="177"/>
      <c r="D804" s="49"/>
      <c r="E804" s="49"/>
      <c r="F804" s="49"/>
      <c r="G804" s="49"/>
      <c r="I804" s="51"/>
      <c r="X804" s="178"/>
      <c r="Z804" s="59"/>
    </row>
    <row r="805" spans="2:26" ht="15">
      <c r="B805" s="177"/>
      <c r="D805" s="49"/>
      <c r="E805" s="49"/>
      <c r="F805" s="49"/>
      <c r="G805" s="49"/>
      <c r="I805" s="51"/>
      <c r="X805" s="178"/>
      <c r="Z805" s="59"/>
    </row>
    <row r="806" spans="2:26" ht="15">
      <c r="B806" s="177"/>
      <c r="D806" s="49"/>
      <c r="E806" s="49"/>
      <c r="F806" s="49"/>
      <c r="G806" s="49"/>
      <c r="I806" s="51"/>
      <c r="X806" s="178"/>
      <c r="Z806" s="59"/>
    </row>
    <row r="807" spans="2:26" ht="15">
      <c r="B807" s="177"/>
      <c r="D807" s="49"/>
      <c r="E807" s="49"/>
      <c r="F807" s="49"/>
      <c r="G807" s="49"/>
      <c r="I807" s="51"/>
      <c r="X807" s="178"/>
      <c r="Z807" s="59"/>
    </row>
    <row r="808" spans="2:26" ht="15">
      <c r="B808" s="177"/>
      <c r="D808" s="49"/>
      <c r="E808" s="49"/>
      <c r="F808" s="49"/>
      <c r="G808" s="49"/>
      <c r="I808" s="51"/>
      <c r="X808" s="178"/>
      <c r="Z808" s="59"/>
    </row>
    <row r="809" spans="2:26" ht="15">
      <c r="B809" s="177"/>
      <c r="D809" s="49"/>
      <c r="E809" s="49"/>
      <c r="F809" s="49"/>
      <c r="G809" s="49"/>
      <c r="I809" s="51"/>
      <c r="X809" s="178"/>
      <c r="Z809" s="59"/>
    </row>
    <row r="810" spans="2:26" ht="15">
      <c r="B810" s="177"/>
      <c r="D810" s="49"/>
      <c r="E810" s="49"/>
      <c r="F810" s="49"/>
      <c r="G810" s="49"/>
      <c r="I810" s="51"/>
      <c r="X810" s="178"/>
      <c r="Z810" s="59"/>
    </row>
    <row r="811" spans="2:26" ht="15">
      <c r="B811" s="177"/>
      <c r="D811" s="49"/>
      <c r="E811" s="49"/>
      <c r="F811" s="49"/>
      <c r="G811" s="49"/>
      <c r="I811" s="51"/>
      <c r="X811" s="178"/>
      <c r="Z811" s="59"/>
    </row>
    <row r="812" spans="2:26" ht="15">
      <c r="B812" s="177"/>
      <c r="D812" s="49"/>
      <c r="E812" s="49"/>
      <c r="F812" s="49"/>
      <c r="G812" s="49"/>
      <c r="I812" s="51"/>
      <c r="X812" s="178"/>
      <c r="Z812" s="59"/>
    </row>
    <row r="813" spans="2:26" ht="15">
      <c r="B813" s="177"/>
      <c r="D813" s="49"/>
      <c r="E813" s="49"/>
      <c r="F813" s="49"/>
      <c r="G813" s="49"/>
      <c r="I813" s="51"/>
      <c r="X813" s="178"/>
      <c r="Z813" s="59"/>
    </row>
    <row r="814" spans="2:26" ht="15">
      <c r="B814" s="177"/>
      <c r="D814" s="49"/>
      <c r="E814" s="49"/>
      <c r="F814" s="49"/>
      <c r="G814" s="49"/>
      <c r="I814" s="51"/>
      <c r="X814" s="178"/>
      <c r="Z814" s="59"/>
    </row>
    <row r="815" spans="2:26" ht="15">
      <c r="B815" s="177"/>
      <c r="D815" s="49"/>
      <c r="E815" s="49"/>
      <c r="F815" s="49"/>
      <c r="G815" s="49"/>
      <c r="I815" s="51"/>
      <c r="X815" s="178"/>
      <c r="Z815" s="59"/>
    </row>
    <row r="816" spans="2:26" ht="15">
      <c r="B816" s="177"/>
      <c r="D816" s="49"/>
      <c r="E816" s="49"/>
      <c r="F816" s="49"/>
      <c r="G816" s="49"/>
      <c r="I816" s="51"/>
      <c r="X816" s="178"/>
      <c r="Z816" s="59"/>
    </row>
    <row r="817" spans="2:26" ht="15">
      <c r="B817" s="177"/>
      <c r="D817" s="49"/>
      <c r="E817" s="49"/>
      <c r="F817" s="49"/>
      <c r="G817" s="49"/>
      <c r="I817" s="51"/>
      <c r="X817" s="178"/>
      <c r="Z817" s="59"/>
    </row>
    <row r="818" spans="2:26" ht="15">
      <c r="B818" s="177"/>
      <c r="D818" s="49"/>
      <c r="E818" s="49"/>
      <c r="F818" s="49"/>
      <c r="G818" s="49"/>
      <c r="I818" s="51"/>
      <c r="X818" s="178"/>
      <c r="Z818" s="59"/>
    </row>
    <row r="819" spans="2:26" ht="15">
      <c r="B819" s="177"/>
      <c r="D819" s="49"/>
      <c r="E819" s="49"/>
      <c r="F819" s="49"/>
      <c r="G819" s="49"/>
      <c r="I819" s="51"/>
      <c r="X819" s="178"/>
      <c r="Z819" s="59"/>
    </row>
    <row r="820" spans="2:26" ht="15">
      <c r="B820" s="177"/>
      <c r="D820" s="49"/>
      <c r="E820" s="49"/>
      <c r="F820" s="49"/>
      <c r="G820" s="49"/>
      <c r="I820" s="51"/>
      <c r="X820" s="178"/>
      <c r="Z820" s="59"/>
    </row>
    <row r="821" spans="2:26" ht="15">
      <c r="B821" s="177"/>
      <c r="D821" s="49"/>
      <c r="E821" s="49"/>
      <c r="F821" s="49"/>
      <c r="G821" s="49"/>
      <c r="I821" s="51"/>
      <c r="X821" s="178"/>
      <c r="Z821" s="59"/>
    </row>
    <row r="822" spans="2:26" ht="15">
      <c r="B822" s="177"/>
      <c r="D822" s="49"/>
      <c r="E822" s="49"/>
      <c r="F822" s="49"/>
      <c r="G822" s="49"/>
      <c r="I822" s="51"/>
      <c r="X822" s="178"/>
      <c r="Z822" s="59"/>
    </row>
    <row r="823" spans="2:26" ht="15">
      <c r="B823" s="177"/>
      <c r="D823" s="49"/>
      <c r="E823" s="49"/>
      <c r="F823" s="49"/>
      <c r="G823" s="49"/>
      <c r="I823" s="51"/>
      <c r="X823" s="178"/>
      <c r="Z823" s="59"/>
    </row>
    <row r="824" spans="2:26" ht="15">
      <c r="B824" s="177"/>
      <c r="D824" s="49"/>
      <c r="E824" s="49"/>
      <c r="F824" s="49"/>
      <c r="G824" s="49"/>
      <c r="I824" s="51"/>
      <c r="X824" s="178"/>
      <c r="Z824" s="59"/>
    </row>
    <row r="825" spans="2:26" ht="15">
      <c r="B825" s="177"/>
      <c r="D825" s="49"/>
      <c r="E825" s="49"/>
      <c r="F825" s="49"/>
      <c r="G825" s="49"/>
      <c r="I825" s="51"/>
      <c r="X825" s="178"/>
      <c r="Z825" s="59"/>
    </row>
    <row r="826" spans="2:26" ht="15">
      <c r="B826" s="177"/>
      <c r="D826" s="49"/>
      <c r="E826" s="49"/>
      <c r="F826" s="49"/>
      <c r="G826" s="49"/>
      <c r="I826" s="51"/>
      <c r="X826" s="178"/>
      <c r="Z826" s="59"/>
    </row>
    <row r="827" spans="2:26" ht="15">
      <c r="B827" s="177"/>
      <c r="D827" s="49"/>
      <c r="E827" s="49"/>
      <c r="F827" s="49"/>
      <c r="G827" s="49"/>
      <c r="I827" s="51"/>
      <c r="X827" s="178"/>
      <c r="Z827" s="59"/>
    </row>
    <row r="828" spans="2:26" ht="15">
      <c r="B828" s="177"/>
      <c r="D828" s="49"/>
      <c r="E828" s="49"/>
      <c r="F828" s="49"/>
      <c r="G828" s="49"/>
      <c r="I828" s="51"/>
      <c r="X828" s="178"/>
      <c r="Z828" s="59"/>
    </row>
    <row r="829" spans="2:26" ht="15">
      <c r="B829" s="177"/>
      <c r="D829" s="49"/>
      <c r="E829" s="49"/>
      <c r="F829" s="49"/>
      <c r="G829" s="49"/>
      <c r="I829" s="51"/>
      <c r="X829" s="178"/>
      <c r="Z829" s="59"/>
    </row>
    <row r="830" spans="2:26" ht="15">
      <c r="B830" s="177"/>
      <c r="D830" s="49"/>
      <c r="E830" s="49"/>
      <c r="F830" s="49"/>
      <c r="G830" s="49"/>
      <c r="I830" s="51"/>
      <c r="X830" s="178"/>
      <c r="Z830" s="59"/>
    </row>
    <row r="831" spans="2:26" ht="15">
      <c r="B831" s="177"/>
      <c r="D831" s="49"/>
      <c r="E831" s="49"/>
      <c r="F831" s="49"/>
      <c r="G831" s="49"/>
      <c r="I831" s="51"/>
      <c r="X831" s="178"/>
      <c r="Z831" s="59"/>
    </row>
    <row r="832" spans="2:26" ht="15">
      <c r="B832" s="177"/>
      <c r="D832" s="49"/>
      <c r="E832" s="49"/>
      <c r="F832" s="49"/>
      <c r="G832" s="49"/>
      <c r="I832" s="51"/>
      <c r="X832" s="178"/>
      <c r="Z832" s="59"/>
    </row>
    <row r="833" spans="2:26" ht="15">
      <c r="B833" s="177"/>
      <c r="D833" s="49"/>
      <c r="E833" s="49"/>
      <c r="F833" s="49"/>
      <c r="G833" s="49"/>
      <c r="I833" s="51"/>
      <c r="X833" s="178"/>
      <c r="Z833" s="59"/>
    </row>
    <row r="834" spans="2:26" ht="15">
      <c r="B834" s="177"/>
      <c r="D834" s="49"/>
      <c r="E834" s="49"/>
      <c r="F834" s="49"/>
      <c r="G834" s="49"/>
      <c r="I834" s="51"/>
      <c r="X834" s="178"/>
      <c r="Z834" s="59"/>
    </row>
    <row r="835" spans="2:26" ht="15">
      <c r="B835" s="177"/>
      <c r="D835" s="49"/>
      <c r="E835" s="49"/>
      <c r="F835" s="49"/>
      <c r="G835" s="49"/>
      <c r="I835" s="51"/>
      <c r="X835" s="178"/>
      <c r="Z835" s="59"/>
    </row>
    <row r="836" spans="2:26" ht="15">
      <c r="B836" s="177"/>
      <c r="D836" s="49"/>
      <c r="E836" s="49"/>
      <c r="F836" s="49"/>
      <c r="G836" s="49"/>
      <c r="I836" s="51"/>
      <c r="X836" s="178"/>
      <c r="Z836" s="59"/>
    </row>
    <row r="837" spans="2:26" ht="15">
      <c r="B837" s="177"/>
      <c r="D837" s="49"/>
      <c r="E837" s="49"/>
      <c r="F837" s="49"/>
      <c r="G837" s="49"/>
      <c r="I837" s="51"/>
      <c r="X837" s="178"/>
      <c r="Z837" s="59"/>
    </row>
    <row r="838" spans="2:26" ht="15">
      <c r="B838" s="177"/>
      <c r="D838" s="49"/>
      <c r="E838" s="49"/>
      <c r="F838" s="49"/>
      <c r="G838" s="49"/>
      <c r="I838" s="51"/>
      <c r="X838" s="178"/>
      <c r="Z838" s="59"/>
    </row>
    <row r="839" spans="2:26" ht="15">
      <c r="B839" s="177"/>
      <c r="D839" s="49"/>
      <c r="E839" s="49"/>
      <c r="F839" s="49"/>
      <c r="G839" s="49"/>
      <c r="I839" s="51"/>
      <c r="X839" s="178"/>
      <c r="Z839" s="59"/>
    </row>
    <row r="840" spans="2:26" ht="15">
      <c r="B840" s="177"/>
      <c r="D840" s="49"/>
      <c r="E840" s="49"/>
      <c r="F840" s="49"/>
      <c r="G840" s="49"/>
      <c r="I840" s="51"/>
      <c r="X840" s="178"/>
      <c r="Z840" s="59"/>
    </row>
    <row r="841" spans="2:26" ht="15">
      <c r="B841" s="177"/>
      <c r="D841" s="49"/>
      <c r="E841" s="49"/>
      <c r="F841" s="49"/>
      <c r="G841" s="49"/>
      <c r="I841" s="51"/>
      <c r="X841" s="178"/>
      <c r="Z841" s="59"/>
    </row>
    <row r="842" spans="2:26" ht="15">
      <c r="B842" s="177"/>
      <c r="D842" s="49"/>
      <c r="E842" s="49"/>
      <c r="F842" s="49"/>
      <c r="G842" s="49"/>
      <c r="I842" s="51"/>
      <c r="X842" s="178"/>
      <c r="Z842" s="59"/>
    </row>
    <row r="843" spans="2:26" ht="15">
      <c r="B843" s="177"/>
      <c r="D843" s="49"/>
      <c r="E843" s="49"/>
      <c r="F843" s="49"/>
      <c r="G843" s="49"/>
      <c r="I843" s="51"/>
      <c r="X843" s="178"/>
      <c r="Z843" s="59"/>
    </row>
    <row r="844" spans="2:26" ht="15">
      <c r="B844" s="177"/>
      <c r="D844" s="49"/>
      <c r="E844" s="49"/>
      <c r="F844" s="49"/>
      <c r="G844" s="49"/>
      <c r="I844" s="51"/>
      <c r="X844" s="178"/>
      <c r="Z844" s="59"/>
    </row>
    <row r="845" spans="2:26" ht="15">
      <c r="B845" s="177"/>
      <c r="D845" s="49"/>
      <c r="E845" s="49"/>
      <c r="F845" s="49"/>
      <c r="G845" s="49"/>
      <c r="I845" s="51"/>
      <c r="X845" s="178"/>
      <c r="Z845" s="59"/>
    </row>
    <row r="846" spans="2:26" ht="15">
      <c r="B846" s="177"/>
      <c r="D846" s="49"/>
      <c r="E846" s="49"/>
      <c r="F846" s="49"/>
      <c r="G846" s="49"/>
      <c r="I846" s="51"/>
      <c r="X846" s="178"/>
      <c r="Z846" s="59"/>
    </row>
    <row r="847" spans="2:26" ht="15">
      <c r="B847" s="177"/>
      <c r="D847" s="49"/>
      <c r="E847" s="49"/>
      <c r="F847" s="49"/>
      <c r="G847" s="49"/>
      <c r="I847" s="51"/>
      <c r="X847" s="178"/>
      <c r="Z847" s="59"/>
    </row>
    <row r="848" spans="2:26" ht="15">
      <c r="B848" s="177"/>
      <c r="D848" s="49"/>
      <c r="E848" s="49"/>
      <c r="F848" s="49"/>
      <c r="G848" s="49"/>
      <c r="I848" s="51"/>
      <c r="X848" s="178"/>
      <c r="Z848" s="59"/>
    </row>
    <row r="849" spans="2:26" ht="15">
      <c r="B849" s="177"/>
      <c r="D849" s="49"/>
      <c r="E849" s="49"/>
      <c r="F849" s="49"/>
      <c r="G849" s="49"/>
      <c r="I849" s="51"/>
      <c r="X849" s="178"/>
      <c r="Z849" s="59"/>
    </row>
    <row r="850" spans="2:26" ht="15">
      <c r="B850" s="177"/>
      <c r="D850" s="49"/>
      <c r="E850" s="49"/>
      <c r="F850" s="49"/>
      <c r="G850" s="49"/>
      <c r="I850" s="51"/>
      <c r="X850" s="178"/>
      <c r="Z850" s="59"/>
    </row>
    <row r="851" spans="2:26" ht="15">
      <c r="B851" s="177"/>
      <c r="D851" s="49"/>
      <c r="E851" s="49"/>
      <c r="F851" s="49"/>
      <c r="G851" s="49"/>
      <c r="I851" s="51"/>
      <c r="X851" s="178"/>
      <c r="Z851" s="59"/>
    </row>
    <row r="852" spans="2:26" ht="15">
      <c r="B852" s="177"/>
      <c r="D852" s="49"/>
      <c r="E852" s="49"/>
      <c r="F852" s="49"/>
      <c r="G852" s="49"/>
      <c r="I852" s="51"/>
      <c r="X852" s="178"/>
      <c r="Z852" s="59"/>
    </row>
    <row r="853" spans="2:26" ht="15">
      <c r="B853" s="177"/>
      <c r="D853" s="49"/>
      <c r="E853" s="49"/>
      <c r="F853" s="49"/>
      <c r="G853" s="49"/>
      <c r="I853" s="51"/>
      <c r="X853" s="178"/>
      <c r="Z853" s="59"/>
    </row>
    <row r="854" spans="2:26" ht="15">
      <c r="B854" s="177"/>
      <c r="D854" s="49"/>
      <c r="E854" s="49"/>
      <c r="F854" s="49"/>
      <c r="G854" s="49"/>
      <c r="I854" s="51"/>
      <c r="X854" s="178"/>
      <c r="Z854" s="59"/>
    </row>
    <row r="855" spans="2:26" ht="15">
      <c r="B855" s="177"/>
      <c r="D855" s="49"/>
      <c r="E855" s="49"/>
      <c r="F855" s="49"/>
      <c r="G855" s="49"/>
      <c r="I855" s="51"/>
      <c r="X855" s="178"/>
      <c r="Z855" s="59"/>
    </row>
    <row r="856" spans="2:26" ht="15">
      <c r="B856" s="177"/>
      <c r="D856" s="49"/>
      <c r="E856" s="49"/>
      <c r="F856" s="49"/>
      <c r="G856" s="49"/>
      <c r="I856" s="51"/>
      <c r="X856" s="178"/>
      <c r="Z856" s="59"/>
    </row>
    <row r="857" spans="2:26" ht="15">
      <c r="B857" s="177"/>
      <c r="D857" s="49"/>
      <c r="E857" s="49"/>
      <c r="F857" s="49"/>
      <c r="G857" s="49"/>
      <c r="I857" s="51"/>
      <c r="X857" s="178"/>
      <c r="Z857" s="59"/>
    </row>
    <row r="858" spans="2:26" ht="15">
      <c r="B858" s="177"/>
      <c r="D858" s="49"/>
      <c r="E858" s="49"/>
      <c r="F858" s="49"/>
      <c r="G858" s="49"/>
      <c r="I858" s="51"/>
      <c r="X858" s="178"/>
      <c r="Z858" s="59"/>
    </row>
    <row r="859" spans="2:26" ht="15">
      <c r="B859" s="177"/>
      <c r="D859" s="49"/>
      <c r="E859" s="49"/>
      <c r="F859" s="49"/>
      <c r="G859" s="49"/>
      <c r="I859" s="51"/>
      <c r="X859" s="178"/>
      <c r="Z859" s="59"/>
    </row>
    <row r="860" spans="2:26" ht="15">
      <c r="B860" s="177"/>
      <c r="D860" s="49"/>
      <c r="E860" s="49"/>
      <c r="F860" s="49"/>
      <c r="G860" s="49"/>
      <c r="I860" s="51"/>
      <c r="X860" s="178"/>
      <c r="Z860" s="59"/>
    </row>
    <row r="861" spans="2:26" ht="15">
      <c r="B861" s="177"/>
      <c r="D861" s="49"/>
      <c r="E861" s="49"/>
      <c r="F861" s="49"/>
      <c r="G861" s="49"/>
      <c r="I861" s="51"/>
      <c r="X861" s="178"/>
      <c r="Z861" s="59"/>
    </row>
    <row r="862" spans="2:26" ht="15">
      <c r="B862" s="177"/>
      <c r="D862" s="49"/>
      <c r="E862" s="49"/>
      <c r="F862" s="49"/>
      <c r="G862" s="49"/>
      <c r="I862" s="51"/>
      <c r="X862" s="178"/>
      <c r="Z862" s="59"/>
    </row>
    <row r="863" spans="2:26" ht="15">
      <c r="B863" s="177"/>
      <c r="D863" s="49"/>
      <c r="E863" s="49"/>
      <c r="F863" s="49"/>
      <c r="G863" s="49"/>
      <c r="I863" s="51"/>
      <c r="X863" s="178"/>
      <c r="Z863" s="59"/>
    </row>
    <row r="864" spans="2:26" ht="15">
      <c r="B864" s="177"/>
      <c r="D864" s="49"/>
      <c r="E864" s="49"/>
      <c r="F864" s="49"/>
      <c r="G864" s="49"/>
      <c r="I864" s="51"/>
      <c r="X864" s="178"/>
      <c r="Z864" s="59"/>
    </row>
    <row r="865" spans="2:26" ht="15">
      <c r="B865" s="177"/>
      <c r="D865" s="49"/>
      <c r="E865" s="49"/>
      <c r="F865" s="49"/>
      <c r="G865" s="49"/>
      <c r="I865" s="51"/>
      <c r="X865" s="178"/>
      <c r="Z865" s="59"/>
    </row>
    <row r="866" spans="2:26" ht="15">
      <c r="B866" s="177"/>
      <c r="D866" s="49"/>
      <c r="E866" s="49"/>
      <c r="F866" s="49"/>
      <c r="G866" s="49"/>
      <c r="I866" s="51"/>
      <c r="X866" s="178"/>
      <c r="Z866" s="59"/>
    </row>
    <row r="867" spans="2:26" ht="15">
      <c r="B867" s="177"/>
      <c r="D867" s="49"/>
      <c r="E867" s="49"/>
      <c r="F867" s="49"/>
      <c r="G867" s="49"/>
      <c r="I867" s="51"/>
      <c r="X867" s="178"/>
      <c r="Z867" s="59"/>
    </row>
    <row r="868" spans="2:26" ht="15">
      <c r="B868" s="177"/>
      <c r="D868" s="49"/>
      <c r="E868" s="49"/>
      <c r="F868" s="49"/>
      <c r="G868" s="49"/>
      <c r="I868" s="51"/>
      <c r="X868" s="178"/>
      <c r="Z868" s="59"/>
    </row>
    <row r="869" spans="2:26" ht="15">
      <c r="B869" s="177"/>
      <c r="D869" s="49"/>
      <c r="E869" s="49"/>
      <c r="F869" s="49"/>
      <c r="G869" s="49"/>
      <c r="I869" s="51"/>
      <c r="X869" s="178"/>
      <c r="Z869" s="59"/>
    </row>
    <row r="870" spans="2:26" ht="15">
      <c r="B870" s="177"/>
      <c r="D870" s="49"/>
      <c r="E870" s="49"/>
      <c r="F870" s="49"/>
      <c r="G870" s="49"/>
      <c r="I870" s="51"/>
      <c r="X870" s="178"/>
      <c r="Z870" s="59"/>
    </row>
    <row r="871" spans="2:26" ht="15">
      <c r="B871" s="177"/>
      <c r="D871" s="49"/>
      <c r="E871" s="49"/>
      <c r="F871" s="49"/>
      <c r="G871" s="49"/>
      <c r="I871" s="51"/>
      <c r="X871" s="178"/>
      <c r="Z871" s="59"/>
    </row>
    <row r="872" spans="2:26" ht="15">
      <c r="B872" s="177"/>
      <c r="D872" s="49"/>
      <c r="E872" s="49"/>
      <c r="F872" s="49"/>
      <c r="G872" s="49"/>
      <c r="I872" s="51"/>
      <c r="X872" s="178"/>
      <c r="Z872" s="59"/>
    </row>
    <row r="873" spans="2:26" ht="15">
      <c r="B873" s="177"/>
      <c r="D873" s="49"/>
      <c r="E873" s="49"/>
      <c r="F873" s="49"/>
      <c r="G873" s="49"/>
      <c r="I873" s="51"/>
      <c r="X873" s="178"/>
      <c r="Z873" s="59"/>
    </row>
    <row r="874" spans="2:26" ht="15">
      <c r="B874" s="177"/>
      <c r="D874" s="49"/>
      <c r="E874" s="49"/>
      <c r="F874" s="49"/>
      <c r="G874" s="49"/>
      <c r="I874" s="51"/>
      <c r="X874" s="178"/>
      <c r="Z874" s="59"/>
    </row>
    <row r="875" spans="2:26" ht="15">
      <c r="B875" s="177"/>
      <c r="D875" s="49"/>
      <c r="E875" s="49"/>
      <c r="F875" s="49"/>
      <c r="G875" s="49"/>
      <c r="I875" s="51"/>
      <c r="X875" s="178"/>
      <c r="Z875" s="59"/>
    </row>
    <row r="876" spans="2:26" ht="15">
      <c r="B876" s="177"/>
      <c r="D876" s="49"/>
      <c r="E876" s="49"/>
      <c r="F876" s="49"/>
      <c r="G876" s="49"/>
      <c r="I876" s="51"/>
      <c r="X876" s="178"/>
      <c r="Z876" s="59"/>
    </row>
    <row r="877" spans="2:26" ht="15">
      <c r="B877" s="177"/>
      <c r="D877" s="49"/>
      <c r="E877" s="49"/>
      <c r="F877" s="49"/>
      <c r="G877" s="49"/>
      <c r="I877" s="51"/>
      <c r="X877" s="178"/>
      <c r="Z877" s="59"/>
    </row>
    <row r="878" spans="2:26" ht="15">
      <c r="B878" s="177"/>
      <c r="D878" s="49"/>
      <c r="E878" s="49"/>
      <c r="F878" s="49"/>
      <c r="G878" s="49"/>
      <c r="I878" s="51"/>
      <c r="X878" s="178"/>
      <c r="Z878" s="59"/>
    </row>
    <row r="879" spans="2:26" ht="15">
      <c r="B879" s="177"/>
      <c r="D879" s="49"/>
      <c r="E879" s="49"/>
      <c r="F879" s="49"/>
      <c r="G879" s="49"/>
      <c r="I879" s="51"/>
      <c r="X879" s="178"/>
      <c r="Z879" s="59"/>
    </row>
    <row r="880" spans="2:26" ht="15">
      <c r="B880" s="177"/>
      <c r="D880" s="49"/>
      <c r="E880" s="49"/>
      <c r="F880" s="49"/>
      <c r="G880" s="49"/>
      <c r="I880" s="51"/>
      <c r="X880" s="178"/>
      <c r="Z880" s="59"/>
    </row>
    <row r="881" spans="2:26" ht="15">
      <c r="B881" s="177"/>
      <c r="D881" s="49"/>
      <c r="E881" s="49"/>
      <c r="F881" s="49"/>
      <c r="G881" s="49"/>
      <c r="I881" s="51"/>
      <c r="X881" s="178"/>
      <c r="Z881" s="59"/>
    </row>
    <row r="882" spans="2:26" ht="15">
      <c r="B882" s="177"/>
      <c r="D882" s="49"/>
      <c r="E882" s="49"/>
      <c r="F882" s="49"/>
      <c r="G882" s="49"/>
      <c r="I882" s="51"/>
      <c r="X882" s="178"/>
      <c r="Z882" s="59"/>
    </row>
    <row r="883" spans="2:26" ht="15">
      <c r="B883" s="177"/>
      <c r="D883" s="49"/>
      <c r="E883" s="49"/>
      <c r="F883" s="49"/>
      <c r="G883" s="49"/>
      <c r="I883" s="51"/>
      <c r="X883" s="178"/>
      <c r="Z883" s="59"/>
    </row>
    <row r="884" spans="2:26" ht="15">
      <c r="B884" s="177"/>
      <c r="D884" s="49"/>
      <c r="E884" s="49"/>
      <c r="F884" s="49"/>
      <c r="G884" s="49"/>
      <c r="I884" s="51"/>
      <c r="X884" s="178"/>
      <c r="Z884" s="59"/>
    </row>
    <row r="885" spans="2:26" ht="15">
      <c r="B885" s="177"/>
      <c r="D885" s="49"/>
      <c r="E885" s="49"/>
      <c r="F885" s="49"/>
      <c r="G885" s="49"/>
      <c r="I885" s="51"/>
      <c r="X885" s="178"/>
      <c r="Z885" s="59"/>
    </row>
    <row r="886" spans="2:26" ht="15">
      <c r="B886" s="177"/>
      <c r="D886" s="49"/>
      <c r="E886" s="49"/>
      <c r="F886" s="49"/>
      <c r="G886" s="49"/>
      <c r="I886" s="51"/>
      <c r="X886" s="178"/>
      <c r="Z886" s="59"/>
    </row>
    <row r="887" spans="2:26" ht="15">
      <c r="B887" s="177"/>
      <c r="D887" s="49"/>
      <c r="E887" s="49"/>
      <c r="F887" s="49"/>
      <c r="G887" s="49"/>
      <c r="I887" s="51"/>
      <c r="X887" s="178"/>
      <c r="Z887" s="59"/>
    </row>
    <row r="888" spans="2:26" ht="15">
      <c r="B888" s="177"/>
      <c r="D888" s="49"/>
      <c r="E888" s="49"/>
      <c r="F888" s="49"/>
      <c r="G888" s="49"/>
      <c r="I888" s="51"/>
      <c r="X888" s="178"/>
      <c r="Z888" s="59"/>
    </row>
    <row r="889" spans="2:26" ht="15">
      <c r="B889" s="177"/>
      <c r="D889" s="49"/>
      <c r="E889" s="49"/>
      <c r="F889" s="49"/>
      <c r="G889" s="49"/>
      <c r="I889" s="51"/>
      <c r="X889" s="178"/>
      <c r="Z889" s="59"/>
    </row>
    <row r="890" spans="2:26" ht="15">
      <c r="B890" s="177"/>
      <c r="D890" s="49"/>
      <c r="E890" s="49"/>
      <c r="F890" s="49"/>
      <c r="G890" s="49"/>
      <c r="I890" s="51"/>
      <c r="X890" s="178"/>
      <c r="Z890" s="59"/>
    </row>
    <row r="891" spans="2:26" ht="15">
      <c r="B891" s="177"/>
      <c r="D891" s="49"/>
      <c r="E891" s="49"/>
      <c r="F891" s="49"/>
      <c r="G891" s="49"/>
      <c r="I891" s="51"/>
      <c r="X891" s="178"/>
      <c r="Z891" s="59"/>
    </row>
    <row r="892" spans="2:26" ht="15">
      <c r="B892" s="177"/>
      <c r="D892" s="49"/>
      <c r="E892" s="49"/>
      <c r="F892" s="49"/>
      <c r="G892" s="49"/>
      <c r="I892" s="51"/>
      <c r="X892" s="178"/>
      <c r="Z892" s="59"/>
    </row>
    <row r="893" spans="2:26" ht="15">
      <c r="B893" s="177"/>
      <c r="D893" s="49"/>
      <c r="E893" s="49"/>
      <c r="F893" s="49"/>
      <c r="G893" s="49"/>
      <c r="I893" s="51"/>
      <c r="X893" s="178"/>
      <c r="Z893" s="59"/>
    </row>
    <row r="894" spans="2:26" ht="15">
      <c r="B894" s="177"/>
      <c r="D894" s="49"/>
      <c r="E894" s="49"/>
      <c r="F894" s="49"/>
      <c r="G894" s="49"/>
      <c r="I894" s="51"/>
      <c r="X894" s="178"/>
      <c r="Z894" s="59"/>
    </row>
    <row r="895" spans="2:26" ht="15">
      <c r="B895" s="177"/>
      <c r="D895" s="49"/>
      <c r="E895" s="49"/>
      <c r="F895" s="49"/>
      <c r="G895" s="49"/>
      <c r="I895" s="51"/>
      <c r="X895" s="178"/>
      <c r="Z895" s="59"/>
    </row>
    <row r="896" spans="2:26" ht="15">
      <c r="B896" s="177"/>
      <c r="D896" s="49"/>
      <c r="E896" s="49"/>
      <c r="F896" s="49"/>
      <c r="G896" s="49"/>
      <c r="I896" s="51"/>
      <c r="X896" s="178"/>
      <c r="Z896" s="59"/>
    </row>
    <row r="897" spans="2:26" ht="15">
      <c r="B897" s="177"/>
      <c r="D897" s="49"/>
      <c r="E897" s="49"/>
      <c r="F897" s="49"/>
      <c r="G897" s="49"/>
      <c r="I897" s="51"/>
      <c r="X897" s="178"/>
      <c r="Z897" s="59"/>
    </row>
    <row r="898" spans="2:26" ht="15">
      <c r="B898" s="177"/>
      <c r="D898" s="49"/>
      <c r="E898" s="49"/>
      <c r="F898" s="49"/>
      <c r="G898" s="49"/>
      <c r="I898" s="51"/>
      <c r="X898" s="178"/>
      <c r="Z898" s="59"/>
    </row>
    <row r="899" spans="2:26" ht="15">
      <c r="B899" s="177"/>
      <c r="D899" s="49"/>
      <c r="E899" s="49"/>
      <c r="F899" s="49"/>
      <c r="G899" s="49"/>
      <c r="I899" s="51"/>
      <c r="X899" s="178"/>
      <c r="Z899" s="59"/>
    </row>
    <row r="900" spans="2:26" ht="15">
      <c r="B900" s="177"/>
      <c r="D900" s="49"/>
      <c r="E900" s="49"/>
      <c r="F900" s="49"/>
      <c r="G900" s="49"/>
      <c r="I900" s="51"/>
      <c r="X900" s="178"/>
      <c r="Z900" s="59"/>
    </row>
    <row r="901" spans="2:26" ht="15">
      <c r="B901" s="177"/>
      <c r="D901" s="49"/>
      <c r="E901" s="49"/>
      <c r="F901" s="49"/>
      <c r="G901" s="49"/>
      <c r="I901" s="51"/>
      <c r="X901" s="178"/>
      <c r="Z901" s="59"/>
    </row>
    <row r="902" spans="2:26" ht="15">
      <c r="B902" s="177"/>
      <c r="D902" s="49"/>
      <c r="E902" s="49"/>
      <c r="F902" s="49"/>
      <c r="G902" s="49"/>
      <c r="I902" s="51"/>
      <c r="X902" s="178"/>
      <c r="Z902" s="59"/>
    </row>
    <row r="903" spans="2:26" ht="15">
      <c r="B903" s="177"/>
      <c r="D903" s="49"/>
      <c r="E903" s="49"/>
      <c r="F903" s="49"/>
      <c r="G903" s="49"/>
      <c r="I903" s="51"/>
      <c r="X903" s="178"/>
      <c r="Z903" s="59"/>
    </row>
    <row r="904" spans="2:26" ht="15">
      <c r="B904" s="177"/>
      <c r="D904" s="49"/>
      <c r="E904" s="49"/>
      <c r="F904" s="49"/>
      <c r="G904" s="49"/>
      <c r="I904" s="51"/>
      <c r="X904" s="178"/>
      <c r="Z904" s="59"/>
    </row>
    <row r="905" spans="2:26" ht="15">
      <c r="B905" s="177"/>
      <c r="D905" s="49"/>
      <c r="E905" s="49"/>
      <c r="F905" s="49"/>
      <c r="G905" s="49"/>
      <c r="I905" s="51"/>
      <c r="X905" s="178"/>
      <c r="Z905" s="59"/>
    </row>
    <row r="906" spans="2:26" ht="15">
      <c r="B906" s="177"/>
      <c r="D906" s="49"/>
      <c r="E906" s="49"/>
      <c r="F906" s="49"/>
      <c r="G906" s="49"/>
      <c r="I906" s="51"/>
      <c r="X906" s="178"/>
      <c r="Z906" s="59"/>
    </row>
    <row r="907" spans="2:26" ht="15">
      <c r="B907" s="177"/>
      <c r="D907" s="49"/>
      <c r="E907" s="49"/>
      <c r="F907" s="49"/>
      <c r="G907" s="49"/>
      <c r="I907" s="51"/>
      <c r="X907" s="178"/>
      <c r="Z907" s="59"/>
    </row>
    <row r="908" spans="2:26" ht="15">
      <c r="B908" s="177"/>
      <c r="D908" s="49"/>
      <c r="E908" s="49"/>
      <c r="F908" s="49"/>
      <c r="G908" s="49"/>
      <c r="I908" s="51"/>
      <c r="X908" s="178"/>
      <c r="Z908" s="59"/>
    </row>
    <row r="909" spans="2:26" ht="15">
      <c r="B909" s="177"/>
      <c r="D909" s="49"/>
      <c r="E909" s="49"/>
      <c r="F909" s="49"/>
      <c r="G909" s="49"/>
      <c r="I909" s="51"/>
      <c r="X909" s="178"/>
      <c r="Z909" s="59"/>
    </row>
    <row r="910" spans="2:26" ht="15">
      <c r="B910" s="177"/>
      <c r="D910" s="49"/>
      <c r="E910" s="49"/>
      <c r="F910" s="49"/>
      <c r="G910" s="49"/>
      <c r="I910" s="51"/>
      <c r="X910" s="178"/>
      <c r="Z910" s="59"/>
    </row>
    <row r="911" spans="2:26" ht="15">
      <c r="B911" s="177"/>
      <c r="D911" s="49"/>
      <c r="E911" s="49"/>
      <c r="F911" s="49"/>
      <c r="G911" s="49"/>
      <c r="I911" s="51"/>
      <c r="X911" s="178"/>
      <c r="Z911" s="59"/>
    </row>
    <row r="912" spans="2:26" ht="15">
      <c r="B912" s="177"/>
      <c r="D912" s="49"/>
      <c r="E912" s="49"/>
      <c r="F912" s="49"/>
      <c r="G912" s="49"/>
      <c r="I912" s="51"/>
      <c r="X912" s="178"/>
      <c r="Z912" s="59"/>
    </row>
    <row r="913" spans="2:26" ht="15">
      <c r="B913" s="177"/>
      <c r="D913" s="49"/>
      <c r="E913" s="49"/>
      <c r="F913" s="49"/>
      <c r="G913" s="49"/>
      <c r="I913" s="51"/>
      <c r="X913" s="178"/>
      <c r="Z913" s="59"/>
    </row>
    <row r="914" spans="2:26" ht="15">
      <c r="B914" s="177"/>
      <c r="D914" s="49"/>
      <c r="E914" s="49"/>
      <c r="F914" s="49"/>
      <c r="G914" s="49"/>
      <c r="I914" s="51"/>
      <c r="X914" s="178"/>
      <c r="Z914" s="59"/>
    </row>
    <row r="915" spans="2:26" ht="15">
      <c r="B915" s="177"/>
      <c r="D915" s="49"/>
      <c r="E915" s="49"/>
      <c r="F915" s="49"/>
      <c r="G915" s="49"/>
      <c r="I915" s="51"/>
      <c r="X915" s="178"/>
      <c r="Z915" s="59"/>
    </row>
    <row r="916" spans="2:26" ht="15">
      <c r="B916" s="177"/>
      <c r="D916" s="49"/>
      <c r="E916" s="49"/>
      <c r="F916" s="49"/>
      <c r="G916" s="49"/>
      <c r="I916" s="51"/>
      <c r="X916" s="178"/>
      <c r="Z916" s="59"/>
    </row>
    <row r="917" spans="2:26" ht="15">
      <c r="B917" s="177"/>
      <c r="D917" s="49"/>
      <c r="E917" s="49"/>
      <c r="F917" s="49"/>
      <c r="G917" s="49"/>
      <c r="I917" s="51"/>
      <c r="X917" s="178"/>
      <c r="Z917" s="59"/>
    </row>
    <row r="918" spans="2:26" ht="15">
      <c r="B918" s="177"/>
      <c r="D918" s="49"/>
      <c r="E918" s="49"/>
      <c r="F918" s="49"/>
      <c r="G918" s="49"/>
      <c r="I918" s="51"/>
      <c r="X918" s="178"/>
      <c r="Z918" s="59"/>
    </row>
    <row r="919" spans="2:26" ht="15">
      <c r="B919" s="177"/>
      <c r="D919" s="49"/>
      <c r="E919" s="49"/>
      <c r="F919" s="49"/>
      <c r="G919" s="49"/>
      <c r="I919" s="51"/>
      <c r="X919" s="178"/>
      <c r="Z919" s="59"/>
    </row>
    <row r="920" spans="2:26" ht="15">
      <c r="B920" s="177"/>
      <c r="D920" s="49"/>
      <c r="E920" s="49"/>
      <c r="F920" s="49"/>
      <c r="G920" s="49"/>
      <c r="I920" s="51"/>
      <c r="X920" s="178"/>
      <c r="Z920" s="59"/>
    </row>
    <row r="921" spans="2:26" ht="15">
      <c r="B921" s="177"/>
      <c r="D921" s="49"/>
      <c r="E921" s="49"/>
      <c r="F921" s="49"/>
      <c r="G921" s="49"/>
      <c r="I921" s="51"/>
      <c r="X921" s="178"/>
      <c r="Z921" s="59"/>
    </row>
    <row r="922" spans="2:26" ht="15">
      <c r="B922" s="177"/>
      <c r="D922" s="49"/>
      <c r="E922" s="49"/>
      <c r="F922" s="49"/>
      <c r="G922" s="49"/>
      <c r="I922" s="51"/>
      <c r="X922" s="178"/>
      <c r="Z922" s="59"/>
    </row>
    <row r="923" spans="2:26" ht="15">
      <c r="B923" s="177"/>
      <c r="D923" s="49"/>
      <c r="E923" s="49"/>
      <c r="F923" s="49"/>
      <c r="G923" s="49"/>
      <c r="I923" s="51"/>
      <c r="X923" s="178"/>
      <c r="Z923" s="59"/>
    </row>
    <row r="924" spans="2:26" ht="15">
      <c r="B924" s="177"/>
      <c r="D924" s="49"/>
      <c r="E924" s="49"/>
      <c r="F924" s="49"/>
      <c r="G924" s="49"/>
      <c r="I924" s="51"/>
      <c r="X924" s="178"/>
      <c r="Z924" s="59"/>
    </row>
    <row r="925" spans="2:26" ht="15">
      <c r="B925" s="177"/>
      <c r="D925" s="49"/>
      <c r="E925" s="49"/>
      <c r="F925" s="49"/>
      <c r="G925" s="49"/>
      <c r="I925" s="51"/>
      <c r="X925" s="178"/>
      <c r="Z925" s="59"/>
    </row>
    <row r="926" spans="2:26" ht="15">
      <c r="B926" s="177"/>
      <c r="D926" s="49"/>
      <c r="E926" s="49"/>
      <c r="F926" s="49"/>
      <c r="G926" s="49"/>
      <c r="I926" s="51"/>
      <c r="X926" s="178"/>
      <c r="Z926" s="59"/>
    </row>
    <row r="927" spans="2:26" ht="15">
      <c r="B927" s="177"/>
      <c r="D927" s="49"/>
      <c r="E927" s="49"/>
      <c r="F927" s="49"/>
      <c r="G927" s="49"/>
      <c r="I927" s="51"/>
      <c r="X927" s="178"/>
      <c r="Z927" s="59"/>
    </row>
    <row r="928" spans="2:26" ht="15">
      <c r="B928" s="177"/>
      <c r="D928" s="49"/>
      <c r="E928" s="49"/>
      <c r="F928" s="49"/>
      <c r="G928" s="49"/>
      <c r="I928" s="51"/>
      <c r="X928" s="178"/>
      <c r="Z928" s="59"/>
    </row>
    <row r="929" spans="2:26" ht="15">
      <c r="B929" s="177"/>
      <c r="D929" s="49"/>
      <c r="E929" s="49"/>
      <c r="F929" s="49"/>
      <c r="G929" s="49"/>
      <c r="I929" s="51"/>
      <c r="X929" s="178"/>
      <c r="Z929" s="59"/>
    </row>
    <row r="930" spans="2:26" ht="15">
      <c r="B930" s="177"/>
      <c r="D930" s="49"/>
      <c r="E930" s="49"/>
      <c r="F930" s="49"/>
      <c r="G930" s="49"/>
      <c r="I930" s="51"/>
      <c r="X930" s="178"/>
      <c r="Z930" s="59"/>
    </row>
    <row r="931" spans="2:26" ht="15">
      <c r="B931" s="177"/>
      <c r="D931" s="49"/>
      <c r="E931" s="49"/>
      <c r="F931" s="49"/>
      <c r="G931" s="49"/>
      <c r="I931" s="51"/>
      <c r="X931" s="178"/>
      <c r="Z931" s="59"/>
    </row>
    <row r="932" spans="2:26" ht="15">
      <c r="B932" s="177"/>
      <c r="D932" s="49"/>
      <c r="E932" s="49"/>
      <c r="F932" s="49"/>
      <c r="G932" s="49"/>
      <c r="I932" s="51"/>
      <c r="X932" s="178"/>
      <c r="Z932" s="59"/>
    </row>
    <row r="933" spans="2:26" ht="15">
      <c r="B933" s="177"/>
      <c r="D933" s="49"/>
      <c r="E933" s="49"/>
      <c r="F933" s="49"/>
      <c r="G933" s="49"/>
      <c r="I933" s="51"/>
      <c r="X933" s="178"/>
      <c r="Z933" s="59"/>
    </row>
    <row r="934" spans="2:26" ht="15">
      <c r="B934" s="177"/>
      <c r="D934" s="49"/>
      <c r="E934" s="49"/>
      <c r="F934" s="49"/>
      <c r="G934" s="49"/>
      <c r="I934" s="51"/>
      <c r="X934" s="178"/>
      <c r="Z934" s="59"/>
    </row>
    <row r="935" spans="2:26" ht="15">
      <c r="B935" s="177"/>
      <c r="D935" s="49"/>
      <c r="E935" s="49"/>
      <c r="F935" s="49"/>
      <c r="G935" s="49"/>
      <c r="I935" s="51"/>
      <c r="X935" s="178"/>
      <c r="Z935" s="59"/>
    </row>
    <row r="936" spans="2:26" ht="15">
      <c r="B936" s="177"/>
      <c r="D936" s="49"/>
      <c r="E936" s="49"/>
      <c r="F936" s="49"/>
      <c r="G936" s="49"/>
      <c r="I936" s="51"/>
      <c r="X936" s="178"/>
      <c r="Z936" s="59"/>
    </row>
    <row r="937" spans="2:26" ht="15">
      <c r="B937" s="177"/>
      <c r="D937" s="49"/>
      <c r="E937" s="49"/>
      <c r="F937" s="49"/>
      <c r="G937" s="49"/>
      <c r="I937" s="51"/>
      <c r="X937" s="178"/>
      <c r="Z937" s="59"/>
    </row>
    <row r="938" spans="2:26" ht="15">
      <c r="B938" s="177"/>
      <c r="D938" s="49"/>
      <c r="E938" s="49"/>
      <c r="F938" s="49"/>
      <c r="G938" s="49"/>
      <c r="I938" s="51"/>
      <c r="X938" s="178"/>
      <c r="Z938" s="59"/>
    </row>
    <row r="939" spans="2:26" ht="15">
      <c r="B939" s="177"/>
      <c r="D939" s="49"/>
      <c r="E939" s="49"/>
      <c r="F939" s="49"/>
      <c r="G939" s="49"/>
      <c r="I939" s="51"/>
      <c r="X939" s="178"/>
      <c r="Z939" s="59"/>
    </row>
    <row r="940" spans="2:26" ht="15">
      <c r="B940" s="177"/>
      <c r="D940" s="49"/>
      <c r="E940" s="49"/>
      <c r="F940" s="49"/>
      <c r="G940" s="49"/>
      <c r="I940" s="51"/>
      <c r="X940" s="178"/>
      <c r="Z940" s="59"/>
    </row>
    <row r="941" spans="2:26" ht="15">
      <c r="B941" s="177"/>
      <c r="D941" s="49"/>
      <c r="E941" s="49"/>
      <c r="F941" s="49"/>
      <c r="G941" s="49"/>
      <c r="I941" s="51"/>
      <c r="X941" s="178"/>
      <c r="Z941" s="59"/>
    </row>
    <row r="942" spans="2:26" ht="15">
      <c r="B942" s="177"/>
      <c r="D942" s="49"/>
      <c r="E942" s="49"/>
      <c r="F942" s="49"/>
      <c r="G942" s="49"/>
      <c r="I942" s="51"/>
      <c r="X942" s="178"/>
      <c r="Z942" s="59"/>
    </row>
    <row r="943" spans="2:26" ht="15">
      <c r="B943" s="177"/>
      <c r="D943" s="49"/>
      <c r="E943" s="49"/>
      <c r="F943" s="49"/>
      <c r="G943" s="49"/>
      <c r="I943" s="51"/>
      <c r="X943" s="178"/>
      <c r="Z943" s="59"/>
    </row>
    <row r="944" spans="2:26" ht="15">
      <c r="B944" s="177"/>
      <c r="D944" s="49"/>
      <c r="E944" s="49"/>
      <c r="F944" s="49"/>
      <c r="G944" s="49"/>
      <c r="I944" s="51"/>
      <c r="X944" s="178"/>
      <c r="Z944" s="59"/>
    </row>
    <row r="945" spans="2:26" ht="15">
      <c r="B945" s="177"/>
      <c r="D945" s="49"/>
      <c r="E945" s="49"/>
      <c r="F945" s="49"/>
      <c r="G945" s="49"/>
      <c r="I945" s="51"/>
      <c r="X945" s="178"/>
      <c r="Z945" s="59"/>
    </row>
    <row r="946" spans="2:26" ht="15">
      <c r="B946" s="177"/>
      <c r="D946" s="49"/>
      <c r="E946" s="49"/>
      <c r="F946" s="49"/>
      <c r="G946" s="49"/>
      <c r="I946" s="51"/>
      <c r="X946" s="178"/>
      <c r="Z946" s="59"/>
    </row>
    <row r="947" spans="2:26" ht="15">
      <c r="B947" s="177"/>
      <c r="D947" s="49"/>
      <c r="E947" s="49"/>
      <c r="F947" s="49"/>
      <c r="G947" s="49"/>
      <c r="I947" s="51"/>
      <c r="X947" s="178"/>
      <c r="Z947" s="59"/>
    </row>
    <row r="948" spans="2:26" ht="15">
      <c r="B948" s="177"/>
      <c r="D948" s="49"/>
      <c r="E948" s="49"/>
      <c r="F948" s="49"/>
      <c r="G948" s="49"/>
      <c r="I948" s="51"/>
      <c r="X948" s="178"/>
      <c r="Z948" s="59"/>
    </row>
    <row r="949" spans="2:26" ht="15">
      <c r="B949" s="177"/>
      <c r="D949" s="49"/>
      <c r="E949" s="49"/>
      <c r="F949" s="49"/>
      <c r="G949" s="49"/>
      <c r="I949" s="51"/>
      <c r="X949" s="178"/>
      <c r="Z949" s="59"/>
    </row>
    <row r="950" spans="2:26" ht="15">
      <c r="B950" s="177"/>
      <c r="D950" s="49"/>
      <c r="E950" s="49"/>
      <c r="F950" s="49"/>
      <c r="G950" s="49"/>
      <c r="I950" s="51"/>
      <c r="X950" s="178"/>
      <c r="Z950" s="59"/>
    </row>
    <row r="951" spans="2:26" ht="15">
      <c r="B951" s="177"/>
      <c r="D951" s="49"/>
      <c r="E951" s="49"/>
      <c r="F951" s="49"/>
      <c r="G951" s="49"/>
      <c r="I951" s="51"/>
      <c r="X951" s="178"/>
      <c r="Z951" s="59"/>
    </row>
    <row r="952" spans="2:26" ht="15">
      <c r="B952" s="177"/>
      <c r="D952" s="49"/>
      <c r="E952" s="49"/>
      <c r="F952" s="49"/>
      <c r="G952" s="49"/>
      <c r="I952" s="51"/>
      <c r="X952" s="178"/>
      <c r="Z952" s="59"/>
    </row>
    <row r="953" spans="2:26" ht="15">
      <c r="B953" s="177"/>
      <c r="D953" s="49"/>
      <c r="E953" s="49"/>
      <c r="F953" s="49"/>
      <c r="G953" s="49"/>
      <c r="I953" s="51"/>
      <c r="X953" s="178"/>
      <c r="Z953" s="59"/>
    </row>
    <row r="954" spans="2:26" ht="15">
      <c r="B954" s="177"/>
      <c r="D954" s="49"/>
      <c r="E954" s="49"/>
      <c r="F954" s="49"/>
      <c r="G954" s="49"/>
      <c r="I954" s="51"/>
      <c r="X954" s="178"/>
      <c r="Z954" s="59"/>
    </row>
    <row r="955" spans="2:26" ht="15">
      <c r="B955" s="177"/>
      <c r="D955" s="49"/>
      <c r="E955" s="49"/>
      <c r="F955" s="49"/>
      <c r="G955" s="49"/>
      <c r="I955" s="51"/>
      <c r="X955" s="178"/>
      <c r="Z955" s="59"/>
    </row>
    <row r="956" spans="2:26" ht="15">
      <c r="B956" s="177"/>
      <c r="D956" s="49"/>
      <c r="E956" s="49"/>
      <c r="F956" s="49"/>
      <c r="G956" s="49"/>
      <c r="I956" s="51"/>
      <c r="X956" s="178"/>
      <c r="Z956" s="59"/>
    </row>
    <row r="957" spans="2:26" ht="15">
      <c r="B957" s="177"/>
      <c r="D957" s="49"/>
      <c r="E957" s="49"/>
      <c r="F957" s="49"/>
      <c r="G957" s="49"/>
      <c r="I957" s="51"/>
      <c r="X957" s="178"/>
      <c r="Z957" s="59"/>
    </row>
    <row r="958" spans="2:26" ht="15">
      <c r="B958" s="177"/>
      <c r="D958" s="49"/>
      <c r="E958" s="49"/>
      <c r="F958" s="49"/>
      <c r="G958" s="49"/>
      <c r="I958" s="51"/>
      <c r="X958" s="178"/>
      <c r="Z958" s="59"/>
    </row>
    <row r="959" spans="2:26" ht="15">
      <c r="B959" s="177"/>
      <c r="D959" s="49"/>
      <c r="E959" s="49"/>
      <c r="F959" s="49"/>
      <c r="G959" s="49"/>
      <c r="I959" s="51"/>
      <c r="X959" s="178"/>
      <c r="Z959" s="59"/>
    </row>
    <row r="960" spans="2:26" ht="15">
      <c r="B960" s="177"/>
      <c r="D960" s="49"/>
      <c r="E960" s="49"/>
      <c r="F960" s="49"/>
      <c r="G960" s="49"/>
      <c r="I960" s="51"/>
      <c r="X960" s="178"/>
      <c r="Z960" s="59"/>
    </row>
    <row r="961" spans="2:26" ht="15">
      <c r="B961" s="177"/>
      <c r="D961" s="49"/>
      <c r="E961" s="49"/>
      <c r="F961" s="49"/>
      <c r="G961" s="49"/>
      <c r="I961" s="51"/>
      <c r="X961" s="178"/>
      <c r="Z961" s="59"/>
    </row>
    <row r="962" spans="2:26" ht="15">
      <c r="B962" s="177"/>
      <c r="D962" s="49"/>
      <c r="E962" s="49"/>
      <c r="F962" s="49"/>
      <c r="G962" s="49"/>
      <c r="I962" s="51"/>
      <c r="X962" s="178"/>
      <c r="Z962" s="59"/>
    </row>
    <row r="963" spans="2:26" ht="15">
      <c r="B963" s="177"/>
      <c r="D963" s="49"/>
      <c r="E963" s="49"/>
      <c r="F963" s="49"/>
      <c r="G963" s="49"/>
      <c r="I963" s="51"/>
      <c r="X963" s="178"/>
      <c r="Z963" s="59"/>
    </row>
    <row r="964" spans="2:26" ht="15">
      <c r="B964" s="177"/>
      <c r="D964" s="49"/>
      <c r="E964" s="49"/>
      <c r="F964" s="49"/>
      <c r="G964" s="49"/>
      <c r="I964" s="51"/>
      <c r="X964" s="178"/>
      <c r="Z964" s="59"/>
    </row>
    <row r="965" spans="2:26" ht="15">
      <c r="B965" s="177"/>
      <c r="D965" s="49"/>
      <c r="E965" s="49"/>
      <c r="F965" s="49"/>
      <c r="G965" s="49"/>
      <c r="I965" s="51"/>
      <c r="X965" s="178"/>
      <c r="Z965" s="59"/>
    </row>
    <row r="966" spans="2:26" ht="15">
      <c r="B966" s="177"/>
      <c r="D966" s="49"/>
      <c r="E966" s="49"/>
      <c r="F966" s="49"/>
      <c r="G966" s="49"/>
      <c r="I966" s="51"/>
      <c r="X966" s="178"/>
      <c r="Z966" s="59"/>
    </row>
    <row r="967" spans="2:26" ht="15">
      <c r="B967" s="177"/>
      <c r="D967" s="49"/>
      <c r="E967" s="49"/>
      <c r="F967" s="49"/>
      <c r="G967" s="49"/>
      <c r="I967" s="51"/>
      <c r="X967" s="178"/>
      <c r="Z967" s="59"/>
    </row>
    <row r="968" spans="2:26" ht="15">
      <c r="B968" s="177"/>
      <c r="D968" s="49"/>
      <c r="E968" s="49"/>
      <c r="F968" s="49"/>
      <c r="G968" s="49"/>
      <c r="I968" s="51"/>
      <c r="X968" s="178"/>
      <c r="Z968" s="59"/>
    </row>
    <row r="969" spans="2:26" ht="15">
      <c r="B969" s="177"/>
      <c r="D969" s="49"/>
      <c r="E969" s="49"/>
      <c r="F969" s="49"/>
      <c r="G969" s="49"/>
      <c r="I969" s="51"/>
      <c r="X969" s="178"/>
      <c r="Z969" s="59"/>
    </row>
    <row r="970" spans="2:26" ht="15">
      <c r="B970" s="177"/>
      <c r="D970" s="49"/>
      <c r="E970" s="49"/>
      <c r="F970" s="49"/>
      <c r="G970" s="49"/>
      <c r="I970" s="51"/>
      <c r="X970" s="178"/>
      <c r="Z970" s="59"/>
    </row>
    <row r="971" spans="2:26" ht="15">
      <c r="B971" s="177"/>
      <c r="D971" s="49"/>
      <c r="E971" s="49"/>
      <c r="F971" s="49"/>
      <c r="G971" s="49"/>
      <c r="I971" s="51"/>
      <c r="X971" s="178"/>
      <c r="Z971" s="59"/>
    </row>
    <row r="972" spans="2:26" ht="15">
      <c r="B972" s="177"/>
      <c r="D972" s="49"/>
      <c r="E972" s="49"/>
      <c r="F972" s="49"/>
      <c r="G972" s="49"/>
      <c r="I972" s="51"/>
      <c r="X972" s="178"/>
      <c r="Z972" s="59"/>
    </row>
    <row r="973" spans="2:26" ht="15">
      <c r="B973" s="177"/>
      <c r="D973" s="49"/>
      <c r="E973" s="49"/>
      <c r="F973" s="49"/>
      <c r="G973" s="49"/>
      <c r="I973" s="51"/>
      <c r="X973" s="178"/>
      <c r="Z973" s="59"/>
    </row>
    <row r="974" spans="2:26" ht="15">
      <c r="B974" s="177"/>
      <c r="D974" s="49"/>
      <c r="E974" s="49"/>
      <c r="F974" s="49"/>
      <c r="G974" s="49"/>
      <c r="I974" s="51"/>
      <c r="X974" s="178"/>
      <c r="Z974" s="59"/>
    </row>
    <row r="975" spans="2:26" ht="15">
      <c r="B975" s="177"/>
      <c r="D975" s="49"/>
      <c r="E975" s="49"/>
      <c r="F975" s="49"/>
      <c r="G975" s="49"/>
      <c r="I975" s="51"/>
      <c r="X975" s="178"/>
      <c r="Z975" s="59"/>
    </row>
    <row r="976" spans="2:26" ht="15">
      <c r="B976" s="177"/>
      <c r="D976" s="49"/>
      <c r="E976" s="49"/>
      <c r="F976" s="49"/>
      <c r="G976" s="49"/>
      <c r="I976" s="51"/>
      <c r="X976" s="178"/>
      <c r="Z976" s="59"/>
    </row>
    <row r="977" spans="2:26" ht="15">
      <c r="B977" s="177"/>
      <c r="D977" s="49"/>
      <c r="E977" s="49"/>
      <c r="F977" s="49"/>
      <c r="G977" s="49"/>
      <c r="I977" s="51"/>
      <c r="X977" s="178"/>
      <c r="Z977" s="59"/>
    </row>
    <row r="978" spans="2:26" ht="15">
      <c r="B978" s="177"/>
      <c r="D978" s="49"/>
      <c r="E978" s="49"/>
      <c r="F978" s="49"/>
      <c r="G978" s="49"/>
      <c r="I978" s="51"/>
      <c r="X978" s="178"/>
      <c r="Z978" s="59"/>
    </row>
    <row r="979" spans="2:26" ht="15">
      <c r="B979" s="177"/>
      <c r="D979" s="49"/>
      <c r="E979" s="49"/>
      <c r="F979" s="49"/>
      <c r="G979" s="49"/>
      <c r="I979" s="51"/>
      <c r="X979" s="178"/>
      <c r="Z979" s="59"/>
    </row>
    <row r="980" spans="2:26" ht="15">
      <c r="B980" s="177"/>
      <c r="D980" s="49"/>
      <c r="E980" s="49"/>
      <c r="F980" s="49"/>
      <c r="G980" s="49"/>
      <c r="I980" s="51"/>
      <c r="X980" s="178"/>
      <c r="Z980" s="59"/>
    </row>
    <row r="981" spans="2:26" ht="15">
      <c r="B981" s="177"/>
      <c r="D981" s="49"/>
      <c r="E981" s="49"/>
      <c r="F981" s="49"/>
      <c r="G981" s="49"/>
      <c r="I981" s="51"/>
      <c r="X981" s="178"/>
      <c r="Z981" s="59"/>
    </row>
    <row r="982" spans="2:26" ht="15">
      <c r="B982" s="177"/>
      <c r="D982" s="49"/>
      <c r="E982" s="49"/>
      <c r="F982" s="49"/>
      <c r="G982" s="49"/>
      <c r="I982" s="51"/>
      <c r="X982" s="178"/>
      <c r="Z982" s="59"/>
    </row>
    <row r="983" spans="2:26" ht="15">
      <c r="B983" s="177"/>
      <c r="D983" s="49"/>
      <c r="E983" s="49"/>
      <c r="F983" s="49"/>
      <c r="G983" s="49"/>
      <c r="I983" s="51"/>
      <c r="X983" s="178"/>
      <c r="Z983" s="59"/>
    </row>
    <row r="984" spans="2:26" ht="15">
      <c r="B984" s="177"/>
      <c r="D984" s="49"/>
      <c r="E984" s="49"/>
      <c r="F984" s="49"/>
      <c r="G984" s="49"/>
      <c r="I984" s="51"/>
      <c r="X984" s="178"/>
      <c r="Z984" s="59"/>
    </row>
    <row r="985" spans="2:26" ht="15">
      <c r="B985" s="177"/>
      <c r="D985" s="49"/>
      <c r="E985" s="49"/>
      <c r="F985" s="49"/>
      <c r="G985" s="49"/>
      <c r="I985" s="51"/>
      <c r="X985" s="178"/>
      <c r="Z985" s="59"/>
    </row>
    <row r="986" spans="2:26" ht="15">
      <c r="B986" s="177"/>
      <c r="D986" s="49"/>
      <c r="E986" s="49"/>
      <c r="F986" s="49"/>
      <c r="G986" s="49"/>
      <c r="I986" s="51"/>
      <c r="X986" s="178"/>
      <c r="Z986" s="59"/>
    </row>
    <row r="987" spans="2:26" ht="15">
      <c r="B987" s="177"/>
      <c r="D987" s="49"/>
      <c r="E987" s="49"/>
      <c r="F987" s="49"/>
      <c r="G987" s="49"/>
      <c r="I987" s="51"/>
      <c r="X987" s="178"/>
      <c r="Z987" s="59"/>
    </row>
    <row r="988" spans="2:26" ht="15">
      <c r="B988" s="177"/>
      <c r="D988" s="49"/>
      <c r="E988" s="49"/>
      <c r="F988" s="49"/>
      <c r="G988" s="49"/>
      <c r="I988" s="51"/>
      <c r="X988" s="178"/>
      <c r="Z988" s="59"/>
    </row>
    <row r="989" spans="2:26" ht="15">
      <c r="B989" s="177"/>
      <c r="D989" s="49"/>
      <c r="E989" s="49"/>
      <c r="F989" s="49"/>
      <c r="G989" s="49"/>
      <c r="I989" s="51"/>
      <c r="X989" s="178"/>
      <c r="Z989" s="59"/>
    </row>
    <row r="990" spans="2:26" ht="15">
      <c r="B990" s="177"/>
      <c r="D990" s="49"/>
      <c r="E990" s="49"/>
      <c r="F990" s="49"/>
      <c r="G990" s="49"/>
      <c r="I990" s="51"/>
      <c r="X990" s="178"/>
      <c r="Z990" s="59"/>
    </row>
    <row r="991" spans="2:26" ht="15">
      <c r="B991" s="177"/>
      <c r="D991" s="49"/>
      <c r="E991" s="49"/>
      <c r="F991" s="49"/>
      <c r="G991" s="49"/>
      <c r="I991" s="51"/>
      <c r="X991" s="178"/>
      <c r="Z991" s="59"/>
    </row>
    <row r="992" spans="2:26" ht="15">
      <c r="B992" s="177"/>
      <c r="D992" s="49"/>
      <c r="E992" s="49"/>
      <c r="F992" s="49"/>
      <c r="G992" s="49"/>
      <c r="I992" s="51"/>
      <c r="X992" s="178"/>
      <c r="Z992" s="59"/>
    </row>
    <row r="993" spans="2:26" ht="15">
      <c r="B993" s="177"/>
      <c r="D993" s="49"/>
      <c r="E993" s="49"/>
      <c r="F993" s="49"/>
      <c r="G993" s="49"/>
      <c r="I993" s="51"/>
      <c r="X993" s="178"/>
      <c r="Z993" s="59"/>
    </row>
    <row r="994" spans="2:26" ht="15">
      <c r="B994" s="177"/>
      <c r="D994" s="49"/>
      <c r="E994" s="49"/>
      <c r="F994" s="49"/>
      <c r="G994" s="49"/>
      <c r="I994" s="51"/>
      <c r="X994" s="178"/>
      <c r="Z994" s="59"/>
    </row>
    <row r="995" spans="2:26" ht="15">
      <c r="B995" s="177"/>
      <c r="D995" s="49"/>
      <c r="E995" s="49"/>
      <c r="F995" s="49"/>
      <c r="G995" s="49"/>
      <c r="I995" s="51"/>
      <c r="X995" s="178"/>
      <c r="Z995" s="59"/>
    </row>
    <row r="996" spans="2:26" ht="15">
      <c r="B996" s="177"/>
      <c r="D996" s="49"/>
      <c r="E996" s="49"/>
      <c r="F996" s="49"/>
      <c r="G996" s="49"/>
      <c r="I996" s="51"/>
      <c r="X996" s="178"/>
      <c r="Z996" s="59"/>
    </row>
    <row r="997" spans="2:26" ht="15">
      <c r="B997" s="177"/>
      <c r="D997" s="49"/>
      <c r="E997" s="49"/>
      <c r="F997" s="49"/>
      <c r="G997" s="49"/>
      <c r="I997" s="51"/>
      <c r="X997" s="178"/>
      <c r="Z997" s="59"/>
    </row>
    <row r="998" spans="2:26" ht="15">
      <c r="B998" s="177"/>
      <c r="D998" s="49"/>
      <c r="E998" s="49"/>
      <c r="F998" s="49"/>
      <c r="G998" s="49"/>
      <c r="I998" s="51"/>
      <c r="X998" s="178"/>
      <c r="Z998" s="59"/>
    </row>
    <row r="999" spans="2:26" ht="15">
      <c r="B999" s="177"/>
      <c r="D999" s="49"/>
      <c r="E999" s="49"/>
      <c r="F999" s="49"/>
      <c r="G999" s="49"/>
      <c r="I999" s="51"/>
      <c r="X999" s="178"/>
      <c r="Z999" s="59"/>
    </row>
    <row r="1000" spans="2:26" ht="15">
      <c r="B1000" s="177"/>
      <c r="D1000" s="49"/>
      <c r="E1000" s="49"/>
      <c r="F1000" s="49"/>
      <c r="G1000" s="49"/>
      <c r="I1000" s="51"/>
      <c r="X1000" s="178"/>
      <c r="Z1000" s="59"/>
    </row>
    <row r="1001" spans="2:26" ht="15">
      <c r="B1001" s="177"/>
      <c r="D1001" s="49"/>
      <c r="E1001" s="49"/>
      <c r="F1001" s="49"/>
      <c r="G1001" s="49"/>
      <c r="I1001" s="51"/>
      <c r="X1001" s="178"/>
      <c r="Z1001" s="59"/>
    </row>
    <row r="1002" spans="2:26" ht="15">
      <c r="B1002" s="177"/>
      <c r="D1002" s="49"/>
      <c r="E1002" s="49"/>
      <c r="F1002" s="49"/>
      <c r="G1002" s="49"/>
      <c r="I1002" s="51"/>
      <c r="X1002" s="178"/>
      <c r="Z1002" s="59"/>
    </row>
    <row r="1003" spans="2:26" ht="15">
      <c r="B1003" s="177"/>
      <c r="D1003" s="49"/>
      <c r="E1003" s="49"/>
      <c r="F1003" s="49"/>
      <c r="G1003" s="49"/>
      <c r="I1003" s="51"/>
      <c r="X1003" s="178"/>
      <c r="Z1003" s="59"/>
    </row>
    <row r="1004" spans="2:26" ht="15">
      <c r="B1004" s="177"/>
      <c r="D1004" s="49"/>
      <c r="E1004" s="49"/>
      <c r="F1004" s="49"/>
      <c r="G1004" s="49"/>
      <c r="I1004" s="51"/>
      <c r="X1004" s="178"/>
      <c r="Z1004" s="59"/>
    </row>
    <row r="1005" spans="2:26" ht="15">
      <c r="B1005" s="177"/>
      <c r="D1005" s="49"/>
      <c r="E1005" s="49"/>
      <c r="F1005" s="49"/>
      <c r="G1005" s="49"/>
      <c r="I1005" s="51"/>
      <c r="X1005" s="178"/>
      <c r="Z1005" s="59"/>
    </row>
    <row r="1006" spans="2:26" ht="15">
      <c r="B1006" s="177"/>
      <c r="D1006" s="49"/>
      <c r="E1006" s="49"/>
      <c r="F1006" s="49"/>
      <c r="G1006" s="49"/>
      <c r="I1006" s="51"/>
      <c r="X1006" s="178"/>
      <c r="Z1006" s="59"/>
    </row>
    <row r="1007" spans="2:26" ht="15">
      <c r="B1007" s="177"/>
      <c r="D1007" s="49"/>
      <c r="E1007" s="49"/>
      <c r="F1007" s="49"/>
      <c r="G1007" s="49"/>
      <c r="I1007" s="51"/>
      <c r="X1007" s="178"/>
      <c r="Z1007" s="59"/>
    </row>
    <row r="1008" spans="2:26" ht="15">
      <c r="B1008" s="177"/>
      <c r="D1008" s="49"/>
      <c r="E1008" s="49"/>
      <c r="F1008" s="49"/>
      <c r="G1008" s="49"/>
      <c r="I1008" s="51"/>
      <c r="X1008" s="178"/>
      <c r="Z1008" s="59"/>
    </row>
    <row r="1009" spans="2:26" ht="15">
      <c r="B1009" s="177"/>
      <c r="D1009" s="49"/>
      <c r="E1009" s="49"/>
      <c r="F1009" s="49"/>
      <c r="G1009" s="49"/>
      <c r="I1009" s="51"/>
      <c r="X1009" s="178"/>
      <c r="Z1009" s="59"/>
    </row>
    <row r="1010" spans="2:26" ht="15">
      <c r="B1010" s="177"/>
      <c r="D1010" s="49"/>
      <c r="E1010" s="49"/>
      <c r="F1010" s="49"/>
      <c r="G1010" s="49"/>
      <c r="I1010" s="51"/>
      <c r="X1010" s="178"/>
      <c r="Z1010" s="59"/>
    </row>
    <row r="1011" spans="2:26" ht="15">
      <c r="B1011" s="177"/>
      <c r="D1011" s="49"/>
      <c r="E1011" s="49"/>
      <c r="F1011" s="49"/>
      <c r="G1011" s="49"/>
      <c r="I1011" s="51"/>
      <c r="X1011" s="178"/>
      <c r="Z1011" s="59"/>
    </row>
    <row r="1012" spans="2:26" ht="15">
      <c r="B1012" s="177"/>
      <c r="D1012" s="49"/>
      <c r="E1012" s="49"/>
      <c r="F1012" s="49"/>
      <c r="G1012" s="49"/>
      <c r="I1012" s="51"/>
      <c r="X1012" s="178"/>
      <c r="Z1012" s="59"/>
    </row>
    <row r="1013" spans="2:26" ht="15">
      <c r="B1013" s="177"/>
      <c r="D1013" s="49"/>
      <c r="E1013" s="49"/>
      <c r="F1013" s="49"/>
      <c r="G1013" s="49"/>
      <c r="I1013" s="51"/>
      <c r="X1013" s="178"/>
      <c r="Z1013" s="59"/>
    </row>
    <row r="1014" spans="2:26" ht="15">
      <c r="B1014" s="177"/>
      <c r="D1014" s="49"/>
      <c r="E1014" s="49"/>
      <c r="F1014" s="49"/>
      <c r="G1014" s="49"/>
      <c r="I1014" s="51"/>
      <c r="X1014" s="178"/>
      <c r="Z1014" s="59"/>
    </row>
    <row r="1015" spans="2:26" ht="15">
      <c r="B1015" s="177"/>
      <c r="D1015" s="49"/>
      <c r="E1015" s="49"/>
      <c r="F1015" s="49"/>
      <c r="G1015" s="49"/>
      <c r="I1015" s="51"/>
      <c r="X1015" s="178"/>
      <c r="Z1015" s="59"/>
    </row>
    <row r="1016" spans="2:26" ht="15">
      <c r="B1016" s="177"/>
      <c r="D1016" s="49"/>
      <c r="E1016" s="49"/>
      <c r="F1016" s="49"/>
      <c r="G1016" s="49"/>
      <c r="I1016" s="51"/>
      <c r="X1016" s="178"/>
      <c r="Z1016" s="59"/>
    </row>
    <row r="1017" spans="2:26" ht="15">
      <c r="B1017" s="177"/>
      <c r="D1017" s="49"/>
      <c r="E1017" s="49"/>
      <c r="F1017" s="49"/>
      <c r="G1017" s="49"/>
      <c r="I1017" s="51"/>
      <c r="X1017" s="178"/>
      <c r="Z1017" s="59"/>
    </row>
  </sheetData>
  <mergeCells count="8">
    <mergeCell ref="V5:Y5"/>
    <mergeCell ref="Z5:AD5"/>
    <mergeCell ref="AE5:AK5"/>
    <mergeCell ref="A5:B5"/>
    <mergeCell ref="D5:F5"/>
    <mergeCell ref="G5:M5"/>
    <mergeCell ref="N5:P5"/>
    <mergeCell ref="Q5:U5"/>
  </mergeCells>
  <phoneticPr fontId="40" type="noConversion"/>
  <conditionalFormatting sqref="A7:A14 A19 A23:A39">
    <cfRule type="notContainsBlanks" dxfId="0" priority="1">
      <formula>LEN(TRIM(A7))&gt;0</formula>
    </cfRule>
  </conditionalFormatting>
  <dataValidations count="1">
    <dataValidation type="list" allowBlank="1" showErrorMessage="1" sqref="A23" xr:uid="{00000000-0002-0000-0A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헤이슨!$AE$7:$AE$23</xm:f>
          </x14:formula1>
          <xm:sqref>A19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L38"/>
  <sheetViews>
    <sheetView workbookViewId="0"/>
  </sheetViews>
  <sheetFormatPr defaultColWidth="12.5703125" defaultRowHeight="15.75" customHeight="1"/>
  <cols>
    <col min="2" max="2" width="14.42578125" customWidth="1"/>
  </cols>
  <sheetData>
    <row r="1" spans="1:38" ht="15">
      <c r="A1" s="260" t="s">
        <v>165</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61"/>
      <c r="AF1" s="179"/>
      <c r="AG1" s="179"/>
      <c r="AH1" s="180"/>
      <c r="AI1" s="179"/>
      <c r="AJ1" s="179"/>
      <c r="AK1" s="179"/>
      <c r="AL1" s="179"/>
    </row>
    <row r="2" spans="1:38" ht="15">
      <c r="A2" s="262"/>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4"/>
      <c r="AF2" s="179"/>
      <c r="AG2" s="179"/>
      <c r="AH2" s="180"/>
      <c r="AI2" s="179"/>
      <c r="AJ2" s="179"/>
      <c r="AK2" s="179"/>
      <c r="AL2" s="179"/>
    </row>
    <row r="3" spans="1:38" ht="33">
      <c r="A3" s="265" t="s">
        <v>166</v>
      </c>
      <c r="B3" s="266"/>
      <c r="C3" s="266"/>
      <c r="D3" s="266"/>
      <c r="E3" s="266"/>
      <c r="F3" s="266"/>
      <c r="G3" s="266"/>
      <c r="H3" s="266"/>
      <c r="I3" s="266"/>
      <c r="J3" s="266"/>
      <c r="K3" s="266"/>
      <c r="L3" s="266"/>
      <c r="M3" s="266"/>
      <c r="N3" s="266"/>
      <c r="O3" s="266"/>
      <c r="P3" s="266"/>
      <c r="Q3" s="266"/>
      <c r="R3" s="266"/>
      <c r="S3" s="266"/>
      <c r="T3" s="266"/>
      <c r="U3" s="266"/>
      <c r="V3" s="266"/>
      <c r="W3" s="266"/>
      <c r="X3" s="266"/>
      <c r="Y3" s="266"/>
      <c r="Z3" s="266"/>
      <c r="AA3" s="266"/>
      <c r="AB3" s="266"/>
      <c r="AC3" s="266"/>
      <c r="AD3" s="266"/>
      <c r="AE3" s="267"/>
      <c r="AF3" s="181" t="s">
        <v>167</v>
      </c>
      <c r="AG3" s="181" t="s">
        <v>168</v>
      </c>
      <c r="AH3" s="180"/>
      <c r="AI3" s="179"/>
      <c r="AJ3" s="179"/>
      <c r="AK3" s="179"/>
      <c r="AL3" s="179"/>
    </row>
    <row r="4" spans="1:38" ht="16.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5"/>
      <c r="AF4" s="181">
        <v>192.41</v>
      </c>
      <c r="AG4" s="182">
        <v>1385</v>
      </c>
      <c r="AH4" s="180"/>
      <c r="AI4" s="179"/>
      <c r="AJ4" s="179"/>
      <c r="AK4" s="179"/>
      <c r="AL4" s="179"/>
    </row>
    <row r="5" spans="1:38" ht="16.5">
      <c r="A5" s="268" t="s">
        <v>4</v>
      </c>
      <c r="B5" s="236"/>
      <c r="C5" s="183" t="s">
        <v>4</v>
      </c>
      <c r="D5" s="257" t="s">
        <v>5</v>
      </c>
      <c r="E5" s="238"/>
      <c r="F5" s="236"/>
      <c r="G5" s="269" t="s">
        <v>4</v>
      </c>
      <c r="H5" s="238"/>
      <c r="I5" s="238"/>
      <c r="J5" s="238"/>
      <c r="K5" s="238"/>
      <c r="L5" s="238"/>
      <c r="M5" s="236"/>
      <c r="N5" s="257" t="s">
        <v>5</v>
      </c>
      <c r="O5" s="238"/>
      <c r="P5" s="236"/>
      <c r="Q5" s="268" t="s">
        <v>4</v>
      </c>
      <c r="R5" s="238"/>
      <c r="S5" s="238"/>
      <c r="T5" s="238"/>
      <c r="U5" s="238"/>
      <c r="V5" s="236"/>
      <c r="W5" s="257" t="s">
        <v>5</v>
      </c>
      <c r="X5" s="238"/>
      <c r="Y5" s="238"/>
      <c r="Z5" s="236"/>
      <c r="AA5" s="258" t="s">
        <v>4</v>
      </c>
      <c r="AB5" s="238"/>
      <c r="AC5" s="238"/>
      <c r="AD5" s="238"/>
      <c r="AE5" s="236"/>
      <c r="AF5" s="259" t="s">
        <v>6</v>
      </c>
      <c r="AG5" s="244"/>
      <c r="AH5" s="244"/>
      <c r="AI5" s="244"/>
      <c r="AJ5" s="244"/>
      <c r="AK5" s="244"/>
      <c r="AL5" s="245"/>
    </row>
    <row r="6" spans="1:38" ht="72">
      <c r="A6" s="184" t="s">
        <v>7</v>
      </c>
      <c r="B6" s="185" t="s">
        <v>8</v>
      </c>
      <c r="C6" s="186" t="s">
        <v>9</v>
      </c>
      <c r="D6" s="187" t="s">
        <v>10</v>
      </c>
      <c r="E6" s="187" t="s">
        <v>11</v>
      </c>
      <c r="F6" s="187" t="s">
        <v>12</v>
      </c>
      <c r="G6" s="186" t="s">
        <v>13</v>
      </c>
      <c r="H6" s="186" t="s">
        <v>14</v>
      </c>
      <c r="I6" s="188" t="s">
        <v>169</v>
      </c>
      <c r="J6" s="188" t="s">
        <v>16</v>
      </c>
      <c r="K6" s="189" t="s">
        <v>170</v>
      </c>
      <c r="L6" s="188" t="s">
        <v>171</v>
      </c>
      <c r="M6" s="190" t="s">
        <v>172</v>
      </c>
      <c r="N6" s="191" t="s">
        <v>173</v>
      </c>
      <c r="O6" s="192" t="s">
        <v>6</v>
      </c>
      <c r="P6" s="193" t="s">
        <v>174</v>
      </c>
      <c r="Q6" s="190" t="s">
        <v>175</v>
      </c>
      <c r="R6" s="186" t="s">
        <v>23</v>
      </c>
      <c r="S6" s="186" t="s">
        <v>24</v>
      </c>
      <c r="T6" s="189" t="s">
        <v>170</v>
      </c>
      <c r="U6" s="188" t="s">
        <v>171</v>
      </c>
      <c r="V6" s="186" t="s">
        <v>26</v>
      </c>
      <c r="W6" s="193" t="s">
        <v>176</v>
      </c>
      <c r="X6" s="193" t="s">
        <v>28</v>
      </c>
      <c r="Y6" s="193" t="s">
        <v>120</v>
      </c>
      <c r="Z6" s="193" t="s">
        <v>177</v>
      </c>
      <c r="AA6" s="194" t="s">
        <v>30</v>
      </c>
      <c r="AB6" s="194" t="s">
        <v>178</v>
      </c>
      <c r="AC6" s="194" t="s">
        <v>32</v>
      </c>
      <c r="AD6" s="194" t="s">
        <v>33</v>
      </c>
      <c r="AE6" s="195" t="s">
        <v>34</v>
      </c>
      <c r="AF6" s="196" t="s">
        <v>35</v>
      </c>
      <c r="AG6" s="197" t="s">
        <v>36</v>
      </c>
      <c r="AH6" s="198" t="s">
        <v>37</v>
      </c>
      <c r="AI6" s="199"/>
      <c r="AJ6" s="199"/>
      <c r="AK6" s="199"/>
      <c r="AL6" s="199"/>
    </row>
    <row r="7" spans="1:38" ht="30" customHeight="1">
      <c r="A7" s="200"/>
      <c r="B7" s="201" t="s">
        <v>82</v>
      </c>
      <c r="C7" s="202" t="s">
        <v>39</v>
      </c>
      <c r="D7" s="203">
        <v>5</v>
      </c>
      <c r="E7" s="203">
        <v>10</v>
      </c>
      <c r="F7" s="204">
        <v>6</v>
      </c>
      <c r="G7" s="205">
        <f t="shared" ref="G7:G13" si="0">PRODUCT(D7*E7*F7)</f>
        <v>300</v>
      </c>
      <c r="H7" s="206">
        <f t="shared" ref="H7:H26" si="1">G7/1000000</f>
        <v>2.9999999999999997E-4</v>
      </c>
      <c r="I7" s="207">
        <f t="shared" ref="I7:I26" si="2">1/H7</f>
        <v>3333.3333333333335</v>
      </c>
      <c r="J7" s="208">
        <f t="shared" ref="J7:J26" si="3">80/I7</f>
        <v>2.4E-2</v>
      </c>
      <c r="K7" s="209">
        <f t="shared" ref="K7:K26" si="4">27000/I7</f>
        <v>8.1</v>
      </c>
      <c r="L7" s="209">
        <f t="shared" ref="L7:L26" si="5">(J7*$AG$4)+K7</f>
        <v>41.34</v>
      </c>
      <c r="M7" s="210">
        <f t="shared" ref="M7:M13" si="6">T7/R7</f>
        <v>1.9266638020426681E-3</v>
      </c>
      <c r="N7" s="211"/>
      <c r="O7" s="212">
        <v>2.1000000000000001E-2</v>
      </c>
      <c r="P7" s="213">
        <v>19</v>
      </c>
      <c r="Q7" s="213">
        <f t="shared" ref="Q7:Q26" si="7">P7*1.15</f>
        <v>21.849999999999998</v>
      </c>
      <c r="R7" s="214">
        <f t="shared" ref="R7:R26" si="8">Q7*$AF$4</f>
        <v>4204.1584999999995</v>
      </c>
      <c r="S7" s="214">
        <f t="shared" ref="S7:S26" si="9">R7*O7</f>
        <v>88.287328500000001</v>
      </c>
      <c r="T7" s="214">
        <f t="shared" ref="T7:U7" si="10">K7</f>
        <v>8.1</v>
      </c>
      <c r="U7" s="214">
        <f t="shared" si="10"/>
        <v>41.34</v>
      </c>
      <c r="V7" s="214">
        <f t="shared" ref="V7:V26" si="11">R7+S7+T7</f>
        <v>4300.5458284999995</v>
      </c>
      <c r="W7" s="215"/>
      <c r="X7" s="216"/>
      <c r="Y7" s="214">
        <v>0</v>
      </c>
      <c r="Z7" s="214">
        <v>3050</v>
      </c>
      <c r="AA7" s="217" t="e">
        <f t="shared" ref="AA7:AA20" si="12">X7+(Z7/W7)</f>
        <v>#DIV/0!</v>
      </c>
      <c r="AB7" s="218" t="e">
        <f t="shared" ref="AB7:AB20" si="13">W7*AA7</f>
        <v>#DIV/0!</v>
      </c>
      <c r="AC7" s="218" t="e">
        <f t="shared" ref="AC7:AC13" si="14">(W7)/1.1*10%-(R7+AB7+K7+S7+N7+Y7)*10%</f>
        <v>#DIV/0!</v>
      </c>
      <c r="AD7" s="218" t="e">
        <f t="shared" ref="AD7:AD20" si="15">W7-(V7+Y7+AB7+AC7+N7)</f>
        <v>#DIV/0!</v>
      </c>
      <c r="AE7" s="219" t="e">
        <f t="shared" ref="AE7:AE20" si="16">AD7/W7</f>
        <v>#DIV/0!</v>
      </c>
      <c r="AF7" s="220" t="s">
        <v>40</v>
      </c>
      <c r="AG7" s="221" t="s">
        <v>179</v>
      </c>
      <c r="AH7" s="222">
        <v>0.08</v>
      </c>
      <c r="AI7" s="223"/>
      <c r="AJ7" s="223"/>
      <c r="AK7" s="199"/>
      <c r="AL7" s="199"/>
    </row>
    <row r="8" spans="1:38" ht="30" customHeight="1">
      <c r="A8" s="200"/>
      <c r="B8" s="201" t="s">
        <v>180</v>
      </c>
      <c r="C8" s="202" t="s">
        <v>39</v>
      </c>
      <c r="D8" s="203">
        <v>7</v>
      </c>
      <c r="E8" s="203">
        <v>12</v>
      </c>
      <c r="F8" s="204">
        <v>7</v>
      </c>
      <c r="G8" s="205">
        <f t="shared" si="0"/>
        <v>588</v>
      </c>
      <c r="H8" s="206">
        <f t="shared" si="1"/>
        <v>5.8799999999999998E-4</v>
      </c>
      <c r="I8" s="207">
        <f t="shared" si="2"/>
        <v>1700.6802721088436</v>
      </c>
      <c r="J8" s="208">
        <f t="shared" si="3"/>
        <v>4.7039999999999998E-2</v>
      </c>
      <c r="K8" s="209">
        <f t="shared" si="4"/>
        <v>15.875999999999999</v>
      </c>
      <c r="L8" s="209">
        <f t="shared" si="5"/>
        <v>81.02640000000001</v>
      </c>
      <c r="M8" s="210">
        <f t="shared" si="6"/>
        <v>2.7595753841564985E-3</v>
      </c>
      <c r="N8" s="211"/>
      <c r="O8" s="212">
        <v>2.1000000000000001E-2</v>
      </c>
      <c r="P8" s="213">
        <v>26</v>
      </c>
      <c r="Q8" s="213">
        <f t="shared" si="7"/>
        <v>29.9</v>
      </c>
      <c r="R8" s="214">
        <f t="shared" si="8"/>
        <v>5753.0589999999993</v>
      </c>
      <c r="S8" s="214">
        <f t="shared" si="9"/>
        <v>120.81423899999999</v>
      </c>
      <c r="T8" s="214">
        <f t="shared" ref="T8:U8" si="17">K8</f>
        <v>15.875999999999999</v>
      </c>
      <c r="U8" s="214">
        <f t="shared" si="17"/>
        <v>81.02640000000001</v>
      </c>
      <c r="V8" s="214">
        <f t="shared" si="11"/>
        <v>5889.7492389999998</v>
      </c>
      <c r="W8" s="215"/>
      <c r="X8" s="216"/>
      <c r="Y8" s="214">
        <v>0</v>
      </c>
      <c r="Z8" s="214">
        <v>3050</v>
      </c>
      <c r="AA8" s="217" t="e">
        <f t="shared" si="12"/>
        <v>#DIV/0!</v>
      </c>
      <c r="AB8" s="218" t="e">
        <f t="shared" si="13"/>
        <v>#DIV/0!</v>
      </c>
      <c r="AC8" s="218" t="e">
        <f t="shared" si="14"/>
        <v>#DIV/0!</v>
      </c>
      <c r="AD8" s="218" t="e">
        <f t="shared" si="15"/>
        <v>#DIV/0!</v>
      </c>
      <c r="AE8" s="219" t="e">
        <f t="shared" si="16"/>
        <v>#DIV/0!</v>
      </c>
      <c r="AF8" s="220" t="s">
        <v>43</v>
      </c>
      <c r="AG8" s="221" t="s">
        <v>181</v>
      </c>
      <c r="AH8" s="222">
        <v>2.1000000000000001E-2</v>
      </c>
      <c r="AI8" s="223"/>
      <c r="AJ8" s="223"/>
      <c r="AK8" s="199"/>
      <c r="AL8" s="199"/>
    </row>
    <row r="9" spans="1:38" ht="30" customHeight="1">
      <c r="A9" s="200"/>
      <c r="B9" s="201" t="s">
        <v>182</v>
      </c>
      <c r="C9" s="202" t="s">
        <v>39</v>
      </c>
      <c r="D9" s="203">
        <v>7</v>
      </c>
      <c r="E9" s="203">
        <v>12</v>
      </c>
      <c r="F9" s="204">
        <v>7</v>
      </c>
      <c r="G9" s="205">
        <f t="shared" si="0"/>
        <v>588</v>
      </c>
      <c r="H9" s="206">
        <f t="shared" si="1"/>
        <v>5.8799999999999998E-4</v>
      </c>
      <c r="I9" s="207">
        <f t="shared" si="2"/>
        <v>1700.6802721088436</v>
      </c>
      <c r="J9" s="208">
        <f t="shared" si="3"/>
        <v>4.7039999999999998E-2</v>
      </c>
      <c r="K9" s="209">
        <f t="shared" si="4"/>
        <v>15.875999999999999</v>
      </c>
      <c r="L9" s="209">
        <f t="shared" si="5"/>
        <v>81.02640000000001</v>
      </c>
      <c r="M9" s="210">
        <f t="shared" si="6"/>
        <v>1.6685804648388131E-3</v>
      </c>
      <c r="N9" s="211"/>
      <c r="O9" s="212">
        <v>2.1000000000000001E-2</v>
      </c>
      <c r="P9" s="213">
        <v>43</v>
      </c>
      <c r="Q9" s="213">
        <f t="shared" si="7"/>
        <v>49.449999999999996</v>
      </c>
      <c r="R9" s="214">
        <f t="shared" si="8"/>
        <v>9514.6744999999992</v>
      </c>
      <c r="S9" s="214">
        <f t="shared" si="9"/>
        <v>199.8081645</v>
      </c>
      <c r="T9" s="214">
        <f t="shared" ref="T9:U9" si="18">K9</f>
        <v>15.875999999999999</v>
      </c>
      <c r="U9" s="214">
        <f t="shared" si="18"/>
        <v>81.02640000000001</v>
      </c>
      <c r="V9" s="214">
        <f t="shared" si="11"/>
        <v>9730.3586644999996</v>
      </c>
      <c r="W9" s="215"/>
      <c r="X9" s="216"/>
      <c r="Y9" s="214">
        <v>0</v>
      </c>
      <c r="Z9" s="214">
        <v>3050</v>
      </c>
      <c r="AA9" s="217" t="e">
        <f t="shared" si="12"/>
        <v>#DIV/0!</v>
      </c>
      <c r="AB9" s="218" t="e">
        <f t="shared" si="13"/>
        <v>#DIV/0!</v>
      </c>
      <c r="AC9" s="218" t="e">
        <f t="shared" si="14"/>
        <v>#DIV/0!</v>
      </c>
      <c r="AD9" s="218" t="e">
        <f t="shared" si="15"/>
        <v>#DIV/0!</v>
      </c>
      <c r="AE9" s="219" t="e">
        <f t="shared" si="16"/>
        <v>#DIV/0!</v>
      </c>
      <c r="AF9" s="220" t="s">
        <v>45</v>
      </c>
      <c r="AG9" s="221" t="s">
        <v>183</v>
      </c>
      <c r="AH9" s="222">
        <v>1.7000000000000001E-2</v>
      </c>
      <c r="AI9" s="223"/>
      <c r="AJ9" s="223"/>
      <c r="AK9" s="199"/>
      <c r="AL9" s="199"/>
    </row>
    <row r="10" spans="1:38" ht="30" customHeight="1">
      <c r="A10" s="200"/>
      <c r="B10" s="201" t="s">
        <v>184</v>
      </c>
      <c r="C10" s="202" t="s">
        <v>39</v>
      </c>
      <c r="D10" s="204">
        <v>5</v>
      </c>
      <c r="E10" s="204">
        <v>7</v>
      </c>
      <c r="F10" s="204">
        <v>3</v>
      </c>
      <c r="G10" s="205">
        <f t="shared" si="0"/>
        <v>105</v>
      </c>
      <c r="H10" s="206">
        <f t="shared" si="1"/>
        <v>1.05E-4</v>
      </c>
      <c r="I10" s="207">
        <f t="shared" si="2"/>
        <v>9523.8095238095229</v>
      </c>
      <c r="J10" s="208">
        <f t="shared" si="3"/>
        <v>8.4000000000000012E-3</v>
      </c>
      <c r="K10" s="209">
        <f t="shared" si="4"/>
        <v>2.8350000000000004</v>
      </c>
      <c r="L10" s="209">
        <f t="shared" si="5"/>
        <v>14.469000000000003</v>
      </c>
      <c r="M10" s="210" t="e">
        <f t="shared" si="6"/>
        <v>#DIV/0!</v>
      </c>
      <c r="N10" s="211"/>
      <c r="O10" s="224"/>
      <c r="P10" s="225"/>
      <c r="Q10" s="213">
        <f t="shared" si="7"/>
        <v>0</v>
      </c>
      <c r="R10" s="214">
        <f t="shared" si="8"/>
        <v>0</v>
      </c>
      <c r="S10" s="214">
        <f t="shared" si="9"/>
        <v>0</v>
      </c>
      <c r="T10" s="214">
        <f t="shared" ref="T10:U10" si="19">K10</f>
        <v>2.8350000000000004</v>
      </c>
      <c r="U10" s="214">
        <f t="shared" si="19"/>
        <v>14.469000000000003</v>
      </c>
      <c r="V10" s="214">
        <f t="shared" si="11"/>
        <v>2.8350000000000004</v>
      </c>
      <c r="W10" s="215"/>
      <c r="X10" s="216"/>
      <c r="Y10" s="214">
        <v>0</v>
      </c>
      <c r="Z10" s="214">
        <v>3050</v>
      </c>
      <c r="AA10" s="217" t="e">
        <f t="shared" si="12"/>
        <v>#DIV/0!</v>
      </c>
      <c r="AB10" s="218" t="e">
        <f t="shared" si="13"/>
        <v>#DIV/0!</v>
      </c>
      <c r="AC10" s="218" t="e">
        <f t="shared" si="14"/>
        <v>#DIV/0!</v>
      </c>
      <c r="AD10" s="218" t="e">
        <f t="shared" si="15"/>
        <v>#DIV/0!</v>
      </c>
      <c r="AE10" s="219" t="e">
        <f t="shared" si="16"/>
        <v>#DIV/0!</v>
      </c>
      <c r="AF10" s="220" t="s">
        <v>47</v>
      </c>
      <c r="AG10" s="221" t="s">
        <v>185</v>
      </c>
      <c r="AH10" s="226">
        <v>1.7000000000000001E-2</v>
      </c>
      <c r="AI10" s="223"/>
      <c r="AJ10" s="223"/>
      <c r="AK10" s="199"/>
      <c r="AL10" s="199"/>
    </row>
    <row r="11" spans="1:38" ht="30" customHeight="1">
      <c r="A11" s="200"/>
      <c r="B11" s="201" t="s">
        <v>186</v>
      </c>
      <c r="C11" s="202" t="s">
        <v>39</v>
      </c>
      <c r="D11" s="203">
        <v>7</v>
      </c>
      <c r="E11" s="203">
        <v>12</v>
      </c>
      <c r="F11" s="204">
        <v>7</v>
      </c>
      <c r="G11" s="205">
        <f t="shared" si="0"/>
        <v>588</v>
      </c>
      <c r="H11" s="206">
        <f t="shared" si="1"/>
        <v>5.8799999999999998E-4</v>
      </c>
      <c r="I11" s="207">
        <f t="shared" si="2"/>
        <v>1700.6802721088436</v>
      </c>
      <c r="J11" s="208">
        <f t="shared" si="3"/>
        <v>4.7039999999999998E-2</v>
      </c>
      <c r="K11" s="209">
        <f t="shared" si="4"/>
        <v>15.875999999999999</v>
      </c>
      <c r="L11" s="209">
        <f t="shared" si="5"/>
        <v>81.02640000000001</v>
      </c>
      <c r="M11" s="210">
        <f t="shared" si="6"/>
        <v>3.4166171422889986E-3</v>
      </c>
      <c r="N11" s="211"/>
      <c r="O11" s="224"/>
      <c r="P11" s="213">
        <v>21</v>
      </c>
      <c r="Q11" s="213">
        <f t="shared" si="7"/>
        <v>24.15</v>
      </c>
      <c r="R11" s="214">
        <f t="shared" si="8"/>
        <v>4646.7014999999992</v>
      </c>
      <c r="S11" s="214">
        <f t="shared" si="9"/>
        <v>0</v>
      </c>
      <c r="T11" s="214">
        <f t="shared" ref="T11:U11" si="20">K11</f>
        <v>15.875999999999999</v>
      </c>
      <c r="U11" s="214">
        <f t="shared" si="20"/>
        <v>81.02640000000001</v>
      </c>
      <c r="V11" s="214">
        <f t="shared" si="11"/>
        <v>4662.5774999999994</v>
      </c>
      <c r="W11" s="215"/>
      <c r="X11" s="216"/>
      <c r="Y11" s="214">
        <v>0</v>
      </c>
      <c r="Z11" s="214">
        <v>3050</v>
      </c>
      <c r="AA11" s="217" t="e">
        <f t="shared" si="12"/>
        <v>#DIV/0!</v>
      </c>
      <c r="AB11" s="218" t="e">
        <f t="shared" si="13"/>
        <v>#DIV/0!</v>
      </c>
      <c r="AC11" s="218" t="e">
        <f t="shared" si="14"/>
        <v>#DIV/0!</v>
      </c>
      <c r="AD11" s="218" t="e">
        <f t="shared" si="15"/>
        <v>#DIV/0!</v>
      </c>
      <c r="AE11" s="219" t="e">
        <f t="shared" si="16"/>
        <v>#DIV/0!</v>
      </c>
      <c r="AF11" s="220" t="s">
        <v>47</v>
      </c>
      <c r="AG11" s="221" t="s">
        <v>185</v>
      </c>
      <c r="AH11" s="226">
        <v>1.7000000000000001E-2</v>
      </c>
      <c r="AI11" s="223"/>
      <c r="AJ11" s="223"/>
      <c r="AK11" s="199"/>
      <c r="AL11" s="199"/>
    </row>
    <row r="12" spans="1:38" ht="30" customHeight="1">
      <c r="A12" s="200"/>
      <c r="B12" s="201" t="s">
        <v>81</v>
      </c>
      <c r="C12" s="202" t="s">
        <v>39</v>
      </c>
      <c r="D12" s="203">
        <v>3</v>
      </c>
      <c r="E12" s="203">
        <v>8</v>
      </c>
      <c r="F12" s="204">
        <v>3</v>
      </c>
      <c r="G12" s="205">
        <f t="shared" si="0"/>
        <v>72</v>
      </c>
      <c r="H12" s="206">
        <f t="shared" si="1"/>
        <v>7.2000000000000002E-5</v>
      </c>
      <c r="I12" s="207">
        <f t="shared" si="2"/>
        <v>13888.888888888889</v>
      </c>
      <c r="J12" s="208">
        <f t="shared" si="3"/>
        <v>5.7600000000000004E-3</v>
      </c>
      <c r="K12" s="209">
        <f t="shared" si="4"/>
        <v>1.944</v>
      </c>
      <c r="L12" s="209">
        <f t="shared" si="5"/>
        <v>9.9216000000000015</v>
      </c>
      <c r="M12" s="210">
        <f t="shared" si="6"/>
        <v>1.9523526527365704E-3</v>
      </c>
      <c r="N12" s="211"/>
      <c r="O12" s="224"/>
      <c r="P12" s="213">
        <v>4.5</v>
      </c>
      <c r="Q12" s="213">
        <f t="shared" si="7"/>
        <v>5.1749999999999998</v>
      </c>
      <c r="R12" s="214">
        <f t="shared" si="8"/>
        <v>995.72174999999993</v>
      </c>
      <c r="S12" s="214">
        <f t="shared" si="9"/>
        <v>0</v>
      </c>
      <c r="T12" s="214">
        <f t="shared" ref="T12:U12" si="21">K12</f>
        <v>1.944</v>
      </c>
      <c r="U12" s="214">
        <f t="shared" si="21"/>
        <v>9.9216000000000015</v>
      </c>
      <c r="V12" s="214">
        <f t="shared" si="11"/>
        <v>997.66574999999989</v>
      </c>
      <c r="W12" s="215"/>
      <c r="X12" s="216"/>
      <c r="Y12" s="214">
        <v>0</v>
      </c>
      <c r="Z12" s="214">
        <v>3050</v>
      </c>
      <c r="AA12" s="217" t="e">
        <f t="shared" si="12"/>
        <v>#DIV/0!</v>
      </c>
      <c r="AB12" s="218" t="e">
        <f t="shared" si="13"/>
        <v>#DIV/0!</v>
      </c>
      <c r="AC12" s="218" t="e">
        <f t="shared" si="14"/>
        <v>#DIV/0!</v>
      </c>
      <c r="AD12" s="218" t="e">
        <f t="shared" si="15"/>
        <v>#DIV/0!</v>
      </c>
      <c r="AE12" s="219" t="e">
        <f t="shared" si="16"/>
        <v>#DIV/0!</v>
      </c>
      <c r="AF12" s="220" t="s">
        <v>47</v>
      </c>
      <c r="AG12" s="221" t="s">
        <v>185</v>
      </c>
      <c r="AH12" s="226">
        <v>1.7000000000000001E-2</v>
      </c>
      <c r="AI12" s="223"/>
      <c r="AJ12" s="223"/>
      <c r="AK12" s="199"/>
      <c r="AL12" s="199"/>
    </row>
    <row r="13" spans="1:38" ht="30" customHeight="1">
      <c r="A13" s="200"/>
      <c r="B13" s="201" t="s">
        <v>187</v>
      </c>
      <c r="C13" s="202" t="s">
        <v>39</v>
      </c>
      <c r="D13" s="203">
        <v>3</v>
      </c>
      <c r="E13" s="203">
        <v>8</v>
      </c>
      <c r="F13" s="204">
        <v>3</v>
      </c>
      <c r="G13" s="205">
        <f t="shared" si="0"/>
        <v>72</v>
      </c>
      <c r="H13" s="206">
        <f t="shared" si="1"/>
        <v>7.2000000000000002E-5</v>
      </c>
      <c r="I13" s="207">
        <f t="shared" si="2"/>
        <v>13888.888888888889</v>
      </c>
      <c r="J13" s="208">
        <f t="shared" si="3"/>
        <v>5.7600000000000004E-3</v>
      </c>
      <c r="K13" s="209">
        <f t="shared" si="4"/>
        <v>1.944</v>
      </c>
      <c r="L13" s="209">
        <f t="shared" si="5"/>
        <v>9.9216000000000015</v>
      </c>
      <c r="M13" s="210">
        <f t="shared" si="6"/>
        <v>9.2479862498048068E-4</v>
      </c>
      <c r="N13" s="211"/>
      <c r="O13" s="224"/>
      <c r="P13" s="213">
        <v>9.5</v>
      </c>
      <c r="Q13" s="213">
        <f t="shared" si="7"/>
        <v>10.924999999999999</v>
      </c>
      <c r="R13" s="214">
        <f t="shared" si="8"/>
        <v>2102.0792499999998</v>
      </c>
      <c r="S13" s="214">
        <f t="shared" si="9"/>
        <v>0</v>
      </c>
      <c r="T13" s="214">
        <f t="shared" ref="T13:U13" si="22">K13</f>
        <v>1.944</v>
      </c>
      <c r="U13" s="214">
        <f t="shared" si="22"/>
        <v>9.9216000000000015</v>
      </c>
      <c r="V13" s="214">
        <f t="shared" si="11"/>
        <v>2104.0232499999997</v>
      </c>
      <c r="W13" s="215"/>
      <c r="X13" s="216"/>
      <c r="Y13" s="214">
        <v>0</v>
      </c>
      <c r="Z13" s="214">
        <v>3050</v>
      </c>
      <c r="AA13" s="217" t="e">
        <f t="shared" si="12"/>
        <v>#DIV/0!</v>
      </c>
      <c r="AB13" s="218" t="e">
        <f t="shared" si="13"/>
        <v>#DIV/0!</v>
      </c>
      <c r="AC13" s="218" t="e">
        <f t="shared" si="14"/>
        <v>#DIV/0!</v>
      </c>
      <c r="AD13" s="218" t="e">
        <f t="shared" si="15"/>
        <v>#DIV/0!</v>
      </c>
      <c r="AE13" s="219" t="e">
        <f t="shared" si="16"/>
        <v>#DIV/0!</v>
      </c>
      <c r="AF13" s="220" t="s">
        <v>49</v>
      </c>
      <c r="AG13" s="221" t="s">
        <v>188</v>
      </c>
      <c r="AH13" s="226">
        <v>1.7000000000000001E-2</v>
      </c>
      <c r="AI13" s="223"/>
      <c r="AJ13" s="223"/>
      <c r="AK13" s="199"/>
      <c r="AL13" s="199"/>
    </row>
    <row r="14" spans="1:38" ht="30" customHeight="1">
      <c r="A14" s="200"/>
      <c r="B14" s="201" t="s">
        <v>80</v>
      </c>
      <c r="C14" s="202" t="s">
        <v>39</v>
      </c>
      <c r="D14" s="204">
        <v>7</v>
      </c>
      <c r="E14" s="204">
        <v>10</v>
      </c>
      <c r="F14" s="204">
        <v>5</v>
      </c>
      <c r="G14" s="205">
        <f t="shared" ref="G14:G15" si="23">PRODUCT(D13*E13*F13)</f>
        <v>72</v>
      </c>
      <c r="H14" s="206">
        <f t="shared" si="1"/>
        <v>7.2000000000000002E-5</v>
      </c>
      <c r="I14" s="207">
        <f t="shared" si="2"/>
        <v>13888.888888888889</v>
      </c>
      <c r="J14" s="208">
        <f t="shared" si="3"/>
        <v>5.7600000000000004E-3</v>
      </c>
      <c r="K14" s="209">
        <f t="shared" si="4"/>
        <v>1.944</v>
      </c>
      <c r="L14" s="209">
        <f t="shared" si="5"/>
        <v>9.9216000000000015</v>
      </c>
      <c r="M14" s="210">
        <f t="shared" ref="M14:M15" si="24">T13/R13</f>
        <v>9.2479862498048068E-4</v>
      </c>
      <c r="N14" s="211"/>
      <c r="O14" s="224"/>
      <c r="P14" s="213">
        <v>9.5</v>
      </c>
      <c r="Q14" s="213">
        <f t="shared" si="7"/>
        <v>10.924999999999999</v>
      </c>
      <c r="R14" s="214">
        <f t="shared" si="8"/>
        <v>2102.0792499999998</v>
      </c>
      <c r="S14" s="214">
        <f t="shared" si="9"/>
        <v>0</v>
      </c>
      <c r="T14" s="214">
        <f t="shared" ref="T14:U14" si="25">K15</f>
        <v>9.4499999999999993</v>
      </c>
      <c r="U14" s="214">
        <f t="shared" si="25"/>
        <v>48.22999999999999</v>
      </c>
      <c r="V14" s="214">
        <f t="shared" si="11"/>
        <v>2111.5292499999996</v>
      </c>
      <c r="W14" s="215"/>
      <c r="X14" s="216"/>
      <c r="Y14" s="214">
        <v>0</v>
      </c>
      <c r="Z14" s="214">
        <v>3050</v>
      </c>
      <c r="AA14" s="217" t="e">
        <f t="shared" si="12"/>
        <v>#DIV/0!</v>
      </c>
      <c r="AB14" s="218" t="e">
        <f t="shared" si="13"/>
        <v>#DIV/0!</v>
      </c>
      <c r="AC14" s="218" t="e">
        <f>(W14)/1.1*10%-(R14+AB14+K15+S14+N14+Y14)*10%</f>
        <v>#DIV/0!</v>
      </c>
      <c r="AD14" s="218" t="e">
        <f t="shared" si="15"/>
        <v>#DIV/0!</v>
      </c>
      <c r="AE14" s="219" t="e">
        <f t="shared" si="16"/>
        <v>#DIV/0!</v>
      </c>
      <c r="AF14" s="220" t="s">
        <v>51</v>
      </c>
      <c r="AG14" s="221" t="s">
        <v>189</v>
      </c>
      <c r="AH14" s="226">
        <v>2.1000000000000001E-2</v>
      </c>
      <c r="AI14" s="223"/>
      <c r="AJ14" s="223"/>
      <c r="AK14" s="199"/>
      <c r="AL14" s="199"/>
    </row>
    <row r="15" spans="1:38" ht="30" customHeight="1">
      <c r="A15" s="200"/>
      <c r="B15" s="201" t="s">
        <v>190</v>
      </c>
      <c r="C15" s="202" t="s">
        <v>39</v>
      </c>
      <c r="D15" s="203">
        <v>15</v>
      </c>
      <c r="E15" s="203">
        <v>15</v>
      </c>
      <c r="F15" s="203">
        <v>1</v>
      </c>
      <c r="G15" s="205">
        <f t="shared" si="23"/>
        <v>350</v>
      </c>
      <c r="H15" s="206">
        <f t="shared" si="1"/>
        <v>3.5E-4</v>
      </c>
      <c r="I15" s="207">
        <f t="shared" si="2"/>
        <v>2857.1428571428573</v>
      </c>
      <c r="J15" s="208">
        <f t="shared" si="3"/>
        <v>2.7999999999999997E-2</v>
      </c>
      <c r="K15" s="209">
        <f t="shared" si="4"/>
        <v>9.4499999999999993</v>
      </c>
      <c r="L15" s="209">
        <f t="shared" si="5"/>
        <v>48.22999999999999</v>
      </c>
      <c r="M15" s="210">
        <f t="shared" si="24"/>
        <v>4.4955488714328922E-3</v>
      </c>
      <c r="N15" s="211"/>
      <c r="O15" s="224"/>
      <c r="P15" s="225"/>
      <c r="Q15" s="213">
        <f t="shared" si="7"/>
        <v>0</v>
      </c>
      <c r="R15" s="214">
        <f t="shared" si="8"/>
        <v>0</v>
      </c>
      <c r="S15" s="214">
        <f t="shared" si="9"/>
        <v>0</v>
      </c>
      <c r="T15" s="214">
        <f t="shared" ref="T15:U15" si="26">K16</f>
        <v>1.458</v>
      </c>
      <c r="U15" s="214">
        <f t="shared" si="26"/>
        <v>7.4412000000000003</v>
      </c>
      <c r="V15" s="214">
        <f t="shared" si="11"/>
        <v>1.458</v>
      </c>
      <c r="W15" s="215"/>
      <c r="X15" s="216"/>
      <c r="Y15" s="214">
        <v>0</v>
      </c>
      <c r="Z15" s="214">
        <v>3050</v>
      </c>
      <c r="AA15" s="217" t="e">
        <f t="shared" si="12"/>
        <v>#DIV/0!</v>
      </c>
      <c r="AB15" s="218" t="e">
        <f t="shared" si="13"/>
        <v>#DIV/0!</v>
      </c>
      <c r="AC15" s="218" t="e">
        <f>(W15)/1.1*10%-(R15+AB15+#REF!+S15+N15+Y15)*10%</f>
        <v>#DIV/0!</v>
      </c>
      <c r="AD15" s="218" t="e">
        <f t="shared" si="15"/>
        <v>#DIV/0!</v>
      </c>
      <c r="AE15" s="219" t="e">
        <f t="shared" si="16"/>
        <v>#DIV/0!</v>
      </c>
      <c r="AF15" s="220" t="s">
        <v>58</v>
      </c>
      <c r="AG15" s="221" t="s">
        <v>76</v>
      </c>
      <c r="AH15" s="226">
        <v>2.1000000000000001E-2</v>
      </c>
      <c r="AI15" s="223"/>
      <c r="AJ15" s="223"/>
      <c r="AK15" s="199"/>
      <c r="AL15" s="199"/>
    </row>
    <row r="16" spans="1:38" ht="30" customHeight="1">
      <c r="A16" s="200"/>
      <c r="B16" s="201" t="s">
        <v>191</v>
      </c>
      <c r="C16" s="202" t="s">
        <v>39</v>
      </c>
      <c r="D16" s="203">
        <v>3</v>
      </c>
      <c r="E16" s="203">
        <v>18</v>
      </c>
      <c r="F16" s="203">
        <v>1</v>
      </c>
      <c r="G16" s="205">
        <f t="shared" ref="G16:G26" si="27">PRODUCT(D16*E16*F16)</f>
        <v>54</v>
      </c>
      <c r="H16" s="206">
        <f t="shared" si="1"/>
        <v>5.3999999999999998E-5</v>
      </c>
      <c r="I16" s="207">
        <f t="shared" si="2"/>
        <v>18518.518518518518</v>
      </c>
      <c r="J16" s="208">
        <f t="shared" si="3"/>
        <v>4.3200000000000001E-3</v>
      </c>
      <c r="K16" s="209">
        <f t="shared" si="4"/>
        <v>1.458</v>
      </c>
      <c r="L16" s="209">
        <f t="shared" si="5"/>
        <v>7.4412000000000003</v>
      </c>
      <c r="M16" s="210" t="e">
        <f t="shared" ref="M16:M26" si="28">T16/R16</f>
        <v>#DIV/0!</v>
      </c>
      <c r="N16" s="211"/>
      <c r="O16" s="224"/>
      <c r="P16" s="225"/>
      <c r="Q16" s="213">
        <f t="shared" si="7"/>
        <v>0</v>
      </c>
      <c r="R16" s="214">
        <f t="shared" si="8"/>
        <v>0</v>
      </c>
      <c r="S16" s="214">
        <f t="shared" si="9"/>
        <v>0</v>
      </c>
      <c r="T16" s="214">
        <f t="shared" ref="T16:U16" si="29">K16</f>
        <v>1.458</v>
      </c>
      <c r="U16" s="214">
        <f t="shared" si="29"/>
        <v>7.4412000000000003</v>
      </c>
      <c r="V16" s="214">
        <f t="shared" si="11"/>
        <v>1.458</v>
      </c>
      <c r="W16" s="215"/>
      <c r="X16" s="216"/>
      <c r="Y16" s="214">
        <v>0</v>
      </c>
      <c r="Z16" s="214">
        <v>3050</v>
      </c>
      <c r="AA16" s="217" t="e">
        <f t="shared" si="12"/>
        <v>#DIV/0!</v>
      </c>
      <c r="AB16" s="218" t="e">
        <f t="shared" si="13"/>
        <v>#DIV/0!</v>
      </c>
      <c r="AC16" s="218" t="e">
        <f t="shared" ref="AC16:AC20" si="30">(W16)/1.1*10%-(R16+AB16+K16+S16+N16+Y16)*10%</f>
        <v>#DIV/0!</v>
      </c>
      <c r="AD16" s="218" t="e">
        <f t="shared" si="15"/>
        <v>#DIV/0!</v>
      </c>
      <c r="AE16" s="219" t="e">
        <f t="shared" si="16"/>
        <v>#DIV/0!</v>
      </c>
      <c r="AF16" s="220" t="s">
        <v>63</v>
      </c>
      <c r="AG16" s="221" t="s">
        <v>125</v>
      </c>
      <c r="AH16" s="226">
        <v>1.7000000000000001E-2</v>
      </c>
      <c r="AI16" s="223"/>
      <c r="AJ16" s="223"/>
      <c r="AK16" s="199"/>
      <c r="AL16" s="199"/>
    </row>
    <row r="17" spans="1:38" ht="30" customHeight="1">
      <c r="A17" s="200"/>
      <c r="B17" s="201" t="s">
        <v>192</v>
      </c>
      <c r="C17" s="202" t="s">
        <v>39</v>
      </c>
      <c r="D17" s="203">
        <v>15</v>
      </c>
      <c r="E17" s="203">
        <v>13</v>
      </c>
      <c r="F17" s="203">
        <v>2.5</v>
      </c>
      <c r="G17" s="205">
        <f t="shared" si="27"/>
        <v>487.5</v>
      </c>
      <c r="H17" s="206">
        <f t="shared" si="1"/>
        <v>4.8749999999999998E-4</v>
      </c>
      <c r="I17" s="207">
        <f t="shared" si="2"/>
        <v>2051.2820512820513</v>
      </c>
      <c r="J17" s="208">
        <f t="shared" si="3"/>
        <v>3.9E-2</v>
      </c>
      <c r="K17" s="209">
        <f t="shared" si="4"/>
        <v>13.1625</v>
      </c>
      <c r="L17" s="209">
        <f t="shared" si="5"/>
        <v>67.177499999999995</v>
      </c>
      <c r="M17" s="210" t="e">
        <f t="shared" si="28"/>
        <v>#DIV/0!</v>
      </c>
      <c r="N17" s="211"/>
      <c r="O17" s="224"/>
      <c r="P17" s="225"/>
      <c r="Q17" s="213">
        <f t="shared" si="7"/>
        <v>0</v>
      </c>
      <c r="R17" s="214">
        <f t="shared" si="8"/>
        <v>0</v>
      </c>
      <c r="S17" s="214">
        <f t="shared" si="9"/>
        <v>0</v>
      </c>
      <c r="T17" s="214">
        <f t="shared" ref="T17:U17" si="31">K17</f>
        <v>13.1625</v>
      </c>
      <c r="U17" s="214">
        <f t="shared" si="31"/>
        <v>67.177499999999995</v>
      </c>
      <c r="V17" s="214">
        <f t="shared" si="11"/>
        <v>13.1625</v>
      </c>
      <c r="W17" s="215"/>
      <c r="X17" s="216"/>
      <c r="Y17" s="214">
        <v>0</v>
      </c>
      <c r="Z17" s="214">
        <v>3050</v>
      </c>
      <c r="AA17" s="217" t="e">
        <f t="shared" si="12"/>
        <v>#DIV/0!</v>
      </c>
      <c r="AB17" s="218" t="e">
        <f t="shared" si="13"/>
        <v>#DIV/0!</v>
      </c>
      <c r="AC17" s="218" t="e">
        <f t="shared" si="30"/>
        <v>#DIV/0!</v>
      </c>
      <c r="AD17" s="218" t="e">
        <f t="shared" si="15"/>
        <v>#DIV/0!</v>
      </c>
      <c r="AE17" s="219" t="e">
        <f t="shared" si="16"/>
        <v>#DIV/0!</v>
      </c>
      <c r="AF17" s="220" t="s">
        <v>66</v>
      </c>
      <c r="AG17" s="221" t="s">
        <v>193</v>
      </c>
      <c r="AH17" s="226">
        <v>2.1000000000000001E-2</v>
      </c>
      <c r="AI17" s="223"/>
      <c r="AJ17" s="223"/>
      <c r="AK17" s="199"/>
      <c r="AL17" s="199"/>
    </row>
    <row r="18" spans="1:38" ht="30" customHeight="1">
      <c r="A18" s="200"/>
      <c r="B18" s="201" t="s">
        <v>194</v>
      </c>
      <c r="C18" s="202" t="s">
        <v>39</v>
      </c>
      <c r="D18" s="203">
        <v>24</v>
      </c>
      <c r="E18" s="203">
        <v>26</v>
      </c>
      <c r="F18" s="203">
        <v>1</v>
      </c>
      <c r="G18" s="205">
        <f t="shared" si="27"/>
        <v>624</v>
      </c>
      <c r="H18" s="206">
        <f t="shared" si="1"/>
        <v>6.2399999999999999E-4</v>
      </c>
      <c r="I18" s="207">
        <f t="shared" si="2"/>
        <v>1602.5641025641025</v>
      </c>
      <c r="J18" s="208">
        <f t="shared" si="3"/>
        <v>4.9919999999999999E-2</v>
      </c>
      <c r="K18" s="209">
        <f t="shared" si="4"/>
        <v>16.847999999999999</v>
      </c>
      <c r="L18" s="209">
        <f t="shared" si="5"/>
        <v>85.987200000000001</v>
      </c>
      <c r="M18" s="210" t="e">
        <f t="shared" si="28"/>
        <v>#DIV/0!</v>
      </c>
      <c r="N18" s="211"/>
      <c r="O18" s="224"/>
      <c r="P18" s="225"/>
      <c r="Q18" s="213">
        <f t="shared" si="7"/>
        <v>0</v>
      </c>
      <c r="R18" s="214">
        <f t="shared" si="8"/>
        <v>0</v>
      </c>
      <c r="S18" s="214">
        <f t="shared" si="9"/>
        <v>0</v>
      </c>
      <c r="T18" s="214">
        <f t="shared" ref="T18:U18" si="32">K18</f>
        <v>16.847999999999999</v>
      </c>
      <c r="U18" s="214">
        <f t="shared" si="32"/>
        <v>85.987200000000001</v>
      </c>
      <c r="V18" s="214">
        <f t="shared" si="11"/>
        <v>16.847999999999999</v>
      </c>
      <c r="W18" s="215"/>
      <c r="X18" s="216"/>
      <c r="Y18" s="214">
        <v>0</v>
      </c>
      <c r="Z18" s="214">
        <v>3050</v>
      </c>
      <c r="AA18" s="217" t="e">
        <f t="shared" si="12"/>
        <v>#DIV/0!</v>
      </c>
      <c r="AB18" s="218" t="e">
        <f t="shared" si="13"/>
        <v>#DIV/0!</v>
      </c>
      <c r="AC18" s="218" t="e">
        <f t="shared" si="30"/>
        <v>#DIV/0!</v>
      </c>
      <c r="AD18" s="218" t="e">
        <f t="shared" si="15"/>
        <v>#DIV/0!</v>
      </c>
      <c r="AE18" s="219" t="e">
        <f t="shared" si="16"/>
        <v>#DIV/0!</v>
      </c>
      <c r="AF18" s="220" t="s">
        <v>122</v>
      </c>
      <c r="AG18" s="221" t="s">
        <v>195</v>
      </c>
      <c r="AH18" s="226">
        <v>7.0000000000000007E-2</v>
      </c>
      <c r="AI18" s="223"/>
      <c r="AJ18" s="223"/>
      <c r="AK18" s="199"/>
      <c r="AL18" s="199"/>
    </row>
    <row r="19" spans="1:38" ht="30" customHeight="1">
      <c r="A19" s="200"/>
      <c r="B19" s="201" t="s">
        <v>196</v>
      </c>
      <c r="C19" s="202" t="s">
        <v>39</v>
      </c>
      <c r="D19" s="203">
        <v>8</v>
      </c>
      <c r="E19" s="203">
        <v>23</v>
      </c>
      <c r="F19" s="203">
        <v>1</v>
      </c>
      <c r="G19" s="205">
        <f t="shared" si="27"/>
        <v>184</v>
      </c>
      <c r="H19" s="206">
        <f t="shared" si="1"/>
        <v>1.84E-4</v>
      </c>
      <c r="I19" s="207">
        <f t="shared" si="2"/>
        <v>5434.782608695652</v>
      </c>
      <c r="J19" s="208">
        <f t="shared" si="3"/>
        <v>1.472E-2</v>
      </c>
      <c r="K19" s="209">
        <f t="shared" si="4"/>
        <v>4.968</v>
      </c>
      <c r="L19" s="209">
        <f t="shared" si="5"/>
        <v>25.3552</v>
      </c>
      <c r="M19" s="210" t="e">
        <f t="shared" si="28"/>
        <v>#DIV/0!</v>
      </c>
      <c r="N19" s="211"/>
      <c r="O19" s="224"/>
      <c r="P19" s="225"/>
      <c r="Q19" s="213">
        <f t="shared" si="7"/>
        <v>0</v>
      </c>
      <c r="R19" s="214">
        <f t="shared" si="8"/>
        <v>0</v>
      </c>
      <c r="S19" s="214">
        <f t="shared" si="9"/>
        <v>0</v>
      </c>
      <c r="T19" s="214">
        <f t="shared" ref="T19:U19" si="33">K19</f>
        <v>4.968</v>
      </c>
      <c r="U19" s="214">
        <f t="shared" si="33"/>
        <v>25.3552</v>
      </c>
      <c r="V19" s="214">
        <f t="shared" si="11"/>
        <v>4.968</v>
      </c>
      <c r="W19" s="215"/>
      <c r="X19" s="216"/>
      <c r="Y19" s="214">
        <v>0</v>
      </c>
      <c r="Z19" s="214">
        <v>3050</v>
      </c>
      <c r="AA19" s="217" t="e">
        <f t="shared" si="12"/>
        <v>#DIV/0!</v>
      </c>
      <c r="AB19" s="218" t="e">
        <f t="shared" si="13"/>
        <v>#DIV/0!</v>
      </c>
      <c r="AC19" s="218" t="e">
        <f t="shared" si="30"/>
        <v>#DIV/0!</v>
      </c>
      <c r="AD19" s="218" t="e">
        <f t="shared" si="15"/>
        <v>#DIV/0!</v>
      </c>
      <c r="AE19" s="219" t="e">
        <f t="shared" si="16"/>
        <v>#DIV/0!</v>
      </c>
      <c r="AF19" s="220" t="s">
        <v>70</v>
      </c>
      <c r="AG19" s="221" t="s">
        <v>197</v>
      </c>
      <c r="AH19" s="226">
        <v>0.08</v>
      </c>
      <c r="AI19" s="223"/>
      <c r="AJ19" s="223"/>
      <c r="AK19" s="199"/>
      <c r="AL19" s="199"/>
    </row>
    <row r="20" spans="1:38" ht="30" customHeight="1">
      <c r="A20" s="200"/>
      <c r="B20" s="201" t="s">
        <v>75</v>
      </c>
      <c r="C20" s="202" t="s">
        <v>39</v>
      </c>
      <c r="D20" s="203">
        <v>1</v>
      </c>
      <c r="E20" s="203">
        <v>20</v>
      </c>
      <c r="F20" s="204">
        <v>1</v>
      </c>
      <c r="G20" s="205">
        <f t="shared" si="27"/>
        <v>20</v>
      </c>
      <c r="H20" s="206">
        <f t="shared" si="1"/>
        <v>2.0000000000000002E-5</v>
      </c>
      <c r="I20" s="207">
        <f t="shared" si="2"/>
        <v>49999.999999999993</v>
      </c>
      <c r="J20" s="208">
        <f t="shared" si="3"/>
        <v>1.6000000000000003E-3</v>
      </c>
      <c r="K20" s="209">
        <f t="shared" si="4"/>
        <v>0.54</v>
      </c>
      <c r="L20" s="209">
        <f t="shared" si="5"/>
        <v>2.7560000000000002</v>
      </c>
      <c r="M20" s="210">
        <f t="shared" si="28"/>
        <v>2.1221224486267071E-3</v>
      </c>
      <c r="N20" s="211"/>
      <c r="O20" s="224"/>
      <c r="P20" s="213">
        <v>1.1499999999999999</v>
      </c>
      <c r="Q20" s="213">
        <f t="shared" si="7"/>
        <v>1.3224999999999998</v>
      </c>
      <c r="R20" s="214">
        <f t="shared" si="8"/>
        <v>254.46222499999996</v>
      </c>
      <c r="S20" s="214">
        <f t="shared" si="9"/>
        <v>0</v>
      </c>
      <c r="T20" s="214">
        <f t="shared" ref="T20:U20" si="34">K20</f>
        <v>0.54</v>
      </c>
      <c r="U20" s="214">
        <f t="shared" si="34"/>
        <v>2.7560000000000002</v>
      </c>
      <c r="V20" s="214">
        <f t="shared" si="11"/>
        <v>255.00222499999995</v>
      </c>
      <c r="W20" s="215"/>
      <c r="X20" s="216"/>
      <c r="Y20" s="214">
        <v>0</v>
      </c>
      <c r="Z20" s="214">
        <v>3050</v>
      </c>
      <c r="AA20" s="217" t="e">
        <f t="shared" si="12"/>
        <v>#DIV/0!</v>
      </c>
      <c r="AB20" s="218" t="e">
        <f t="shared" si="13"/>
        <v>#DIV/0!</v>
      </c>
      <c r="AC20" s="218" t="e">
        <f t="shared" si="30"/>
        <v>#DIV/0!</v>
      </c>
      <c r="AD20" s="218" t="e">
        <f t="shared" si="15"/>
        <v>#DIV/0!</v>
      </c>
      <c r="AE20" s="219" t="e">
        <f t="shared" si="16"/>
        <v>#DIV/0!</v>
      </c>
      <c r="AF20" s="220" t="s">
        <v>124</v>
      </c>
      <c r="AG20" s="221" t="s">
        <v>198</v>
      </c>
      <c r="AH20" s="226">
        <v>0.08</v>
      </c>
      <c r="AI20" s="223"/>
      <c r="AJ20" s="223"/>
      <c r="AK20" s="199"/>
      <c r="AL20" s="199"/>
    </row>
    <row r="21" spans="1:38" ht="30" customHeight="1">
      <c r="A21" s="200"/>
      <c r="B21" s="201" t="s">
        <v>73</v>
      </c>
      <c r="C21" s="202" t="s">
        <v>39</v>
      </c>
      <c r="D21" s="203">
        <v>1</v>
      </c>
      <c r="E21" s="203">
        <v>20</v>
      </c>
      <c r="F21" s="204">
        <v>1</v>
      </c>
      <c r="G21" s="205">
        <f t="shared" si="27"/>
        <v>20</v>
      </c>
      <c r="H21" s="206">
        <f t="shared" si="1"/>
        <v>2.0000000000000002E-5</v>
      </c>
      <c r="I21" s="207">
        <f t="shared" si="2"/>
        <v>49999.999999999993</v>
      </c>
      <c r="J21" s="208">
        <f t="shared" si="3"/>
        <v>1.6000000000000003E-3</v>
      </c>
      <c r="K21" s="209">
        <f t="shared" si="4"/>
        <v>0.54</v>
      </c>
      <c r="L21" s="209">
        <f t="shared" si="5"/>
        <v>2.7560000000000002</v>
      </c>
      <c r="M21" s="210">
        <f t="shared" si="28"/>
        <v>4.067401359867856E-3</v>
      </c>
      <c r="N21" s="211"/>
      <c r="O21" s="224"/>
      <c r="P21" s="213">
        <v>0.6</v>
      </c>
      <c r="Q21" s="213">
        <f t="shared" si="7"/>
        <v>0.69</v>
      </c>
      <c r="R21" s="214">
        <f t="shared" si="8"/>
        <v>132.76289999999997</v>
      </c>
      <c r="S21" s="214">
        <f t="shared" si="9"/>
        <v>0</v>
      </c>
      <c r="T21" s="214">
        <f t="shared" ref="T21:U21" si="35">K21</f>
        <v>0.54</v>
      </c>
      <c r="U21" s="214">
        <f t="shared" si="35"/>
        <v>2.7560000000000002</v>
      </c>
      <c r="V21" s="214">
        <f t="shared" si="11"/>
        <v>133.30289999999997</v>
      </c>
      <c r="W21" s="215"/>
      <c r="X21" s="216"/>
      <c r="Y21" s="214">
        <v>0</v>
      </c>
      <c r="Z21" s="214">
        <v>3050</v>
      </c>
      <c r="AA21" s="217"/>
      <c r="AB21" s="218"/>
      <c r="AC21" s="218"/>
      <c r="AD21" s="218"/>
      <c r="AE21" s="219"/>
      <c r="AF21" s="220"/>
      <c r="AG21" s="221"/>
      <c r="AH21" s="226"/>
      <c r="AI21" s="223"/>
      <c r="AJ21" s="223"/>
      <c r="AK21" s="199"/>
      <c r="AL21" s="199"/>
    </row>
    <row r="22" spans="1:38" ht="30" customHeight="1">
      <c r="A22" s="200"/>
      <c r="B22" s="201" t="s">
        <v>199</v>
      </c>
      <c r="C22" s="202" t="s">
        <v>39</v>
      </c>
      <c r="D22" s="203">
        <v>1</v>
      </c>
      <c r="E22" s="203">
        <v>20</v>
      </c>
      <c r="F22" s="204">
        <v>1</v>
      </c>
      <c r="G22" s="205">
        <f t="shared" si="27"/>
        <v>20</v>
      </c>
      <c r="H22" s="206">
        <f t="shared" si="1"/>
        <v>2.0000000000000002E-5</v>
      </c>
      <c r="I22" s="207">
        <f t="shared" si="2"/>
        <v>49999.999999999993</v>
      </c>
      <c r="J22" s="208">
        <f t="shared" si="3"/>
        <v>1.6000000000000003E-3</v>
      </c>
      <c r="K22" s="209">
        <f t="shared" si="4"/>
        <v>0.54</v>
      </c>
      <c r="L22" s="209">
        <f t="shared" si="5"/>
        <v>2.7560000000000002</v>
      </c>
      <c r="M22" s="210">
        <f t="shared" si="28"/>
        <v>2.7116009065785702E-3</v>
      </c>
      <c r="N22" s="211"/>
      <c r="O22" s="224"/>
      <c r="P22" s="213">
        <v>0.9</v>
      </c>
      <c r="Q22" s="213">
        <f t="shared" si="7"/>
        <v>1.0349999999999999</v>
      </c>
      <c r="R22" s="214">
        <f t="shared" si="8"/>
        <v>199.14434999999997</v>
      </c>
      <c r="S22" s="214">
        <f t="shared" si="9"/>
        <v>0</v>
      </c>
      <c r="T22" s="214">
        <f t="shared" ref="T22:U22" si="36">K22</f>
        <v>0.54</v>
      </c>
      <c r="U22" s="214">
        <f t="shared" si="36"/>
        <v>2.7560000000000002</v>
      </c>
      <c r="V22" s="214">
        <f t="shared" si="11"/>
        <v>199.68434999999997</v>
      </c>
      <c r="W22" s="215"/>
      <c r="X22" s="216"/>
      <c r="Y22" s="214">
        <v>0</v>
      </c>
      <c r="Z22" s="214">
        <v>3050</v>
      </c>
      <c r="AA22" s="217"/>
      <c r="AB22" s="218"/>
      <c r="AC22" s="218"/>
      <c r="AD22" s="218"/>
      <c r="AE22" s="219"/>
      <c r="AF22" s="220"/>
      <c r="AG22" s="221"/>
      <c r="AH22" s="226"/>
      <c r="AI22" s="223"/>
      <c r="AJ22" s="223"/>
      <c r="AK22" s="199"/>
      <c r="AL22" s="199"/>
    </row>
    <row r="23" spans="1:38" ht="30" customHeight="1">
      <c r="A23" s="200"/>
      <c r="B23" s="201" t="s">
        <v>68</v>
      </c>
      <c r="C23" s="202" t="s">
        <v>39</v>
      </c>
      <c r="D23" s="203">
        <v>1</v>
      </c>
      <c r="E23" s="203">
        <v>22</v>
      </c>
      <c r="F23" s="204">
        <v>1</v>
      </c>
      <c r="G23" s="205">
        <f t="shared" si="27"/>
        <v>22</v>
      </c>
      <c r="H23" s="206">
        <f t="shared" si="1"/>
        <v>2.1999999999999999E-5</v>
      </c>
      <c r="I23" s="207">
        <f t="shared" si="2"/>
        <v>45454.545454545456</v>
      </c>
      <c r="J23" s="208">
        <f t="shared" si="3"/>
        <v>1.7599999999999998E-3</v>
      </c>
      <c r="K23" s="209">
        <f t="shared" si="4"/>
        <v>0.59399999999999997</v>
      </c>
      <c r="L23" s="209">
        <f t="shared" si="5"/>
        <v>3.0315999999999996</v>
      </c>
      <c r="M23" s="210">
        <f t="shared" si="28"/>
        <v>2.6844848975127841E-3</v>
      </c>
      <c r="N23" s="211"/>
      <c r="O23" s="224"/>
      <c r="P23" s="213">
        <v>1</v>
      </c>
      <c r="Q23" s="213">
        <f t="shared" si="7"/>
        <v>1.1499999999999999</v>
      </c>
      <c r="R23" s="214">
        <f t="shared" si="8"/>
        <v>221.27149999999997</v>
      </c>
      <c r="S23" s="214">
        <f t="shared" si="9"/>
        <v>0</v>
      </c>
      <c r="T23" s="214">
        <f t="shared" ref="T23:U23" si="37">K23</f>
        <v>0.59399999999999997</v>
      </c>
      <c r="U23" s="214">
        <f t="shared" si="37"/>
        <v>3.0315999999999996</v>
      </c>
      <c r="V23" s="214">
        <f t="shared" si="11"/>
        <v>221.86549999999997</v>
      </c>
      <c r="W23" s="215"/>
      <c r="X23" s="216"/>
      <c r="Y23" s="214">
        <v>0</v>
      </c>
      <c r="Z23" s="214">
        <v>3050</v>
      </c>
      <c r="AA23" s="217" t="e">
        <f t="shared" ref="AA23:AA26" si="38">X23+(Z23/W23)</f>
        <v>#DIV/0!</v>
      </c>
      <c r="AB23" s="218" t="e">
        <f t="shared" ref="AB23:AB26" si="39">W23*AA23</f>
        <v>#DIV/0!</v>
      </c>
      <c r="AC23" s="218" t="e">
        <f t="shared" ref="AC23:AC26" si="40">(W23)/1.1*10%-(R23+AB23+K23+S23+N23+Y23)*10%</f>
        <v>#DIV/0!</v>
      </c>
      <c r="AD23" s="218" t="e">
        <f t="shared" ref="AD23:AD26" si="41">W23-(V23+Y23+AB23+AC23+N23)</f>
        <v>#DIV/0!</v>
      </c>
      <c r="AE23" s="219" t="e">
        <f t="shared" ref="AE23:AE26" si="42">AD23/W23</f>
        <v>#DIV/0!</v>
      </c>
      <c r="AF23" s="220" t="s">
        <v>129</v>
      </c>
      <c r="AG23" s="221" t="s">
        <v>200</v>
      </c>
      <c r="AH23" s="226">
        <v>2.1000000000000001E-2</v>
      </c>
      <c r="AI23" s="223"/>
      <c r="AJ23" s="223"/>
      <c r="AK23" s="199"/>
      <c r="AL23" s="199"/>
    </row>
    <row r="24" spans="1:38" ht="30" customHeight="1">
      <c r="A24" s="200"/>
      <c r="B24" s="201" t="s">
        <v>201</v>
      </c>
      <c r="C24" s="202" t="s">
        <v>39</v>
      </c>
      <c r="D24" s="227">
        <v>32</v>
      </c>
      <c r="E24" s="227">
        <v>40</v>
      </c>
      <c r="F24" s="227">
        <v>8</v>
      </c>
      <c r="G24" s="205">
        <f t="shared" si="27"/>
        <v>10240</v>
      </c>
      <c r="H24" s="206">
        <f t="shared" si="1"/>
        <v>1.0240000000000001E-2</v>
      </c>
      <c r="I24" s="207">
        <f t="shared" si="2"/>
        <v>97.656249999999986</v>
      </c>
      <c r="J24" s="208">
        <f t="shared" si="3"/>
        <v>0.81920000000000015</v>
      </c>
      <c r="K24" s="209">
        <f t="shared" si="4"/>
        <v>276.48</v>
      </c>
      <c r="L24" s="209">
        <f t="shared" si="5"/>
        <v>1411.0720000000001</v>
      </c>
      <c r="M24" s="210">
        <f t="shared" si="28"/>
        <v>1.9523526527365706E-2</v>
      </c>
      <c r="N24" s="211"/>
      <c r="O24" s="224"/>
      <c r="P24" s="213">
        <v>64</v>
      </c>
      <c r="Q24" s="213">
        <f t="shared" si="7"/>
        <v>73.599999999999994</v>
      </c>
      <c r="R24" s="214">
        <f t="shared" si="8"/>
        <v>14161.375999999998</v>
      </c>
      <c r="S24" s="214">
        <f t="shared" si="9"/>
        <v>0</v>
      </c>
      <c r="T24" s="214">
        <f t="shared" ref="T24:U24" si="43">K24</f>
        <v>276.48</v>
      </c>
      <c r="U24" s="214">
        <f t="shared" si="43"/>
        <v>1411.0720000000001</v>
      </c>
      <c r="V24" s="214">
        <f t="shared" si="11"/>
        <v>14437.855999999998</v>
      </c>
      <c r="W24" s="215"/>
      <c r="X24" s="216"/>
      <c r="Y24" s="214">
        <v>0</v>
      </c>
      <c r="Z24" s="214">
        <v>3050</v>
      </c>
      <c r="AA24" s="217" t="e">
        <f t="shared" si="38"/>
        <v>#DIV/0!</v>
      </c>
      <c r="AB24" s="218" t="e">
        <f t="shared" si="39"/>
        <v>#DIV/0!</v>
      </c>
      <c r="AC24" s="218" t="e">
        <f t="shared" si="40"/>
        <v>#DIV/0!</v>
      </c>
      <c r="AD24" s="218" t="e">
        <f t="shared" si="41"/>
        <v>#DIV/0!</v>
      </c>
      <c r="AE24" s="219" t="e">
        <f t="shared" si="42"/>
        <v>#DIV/0!</v>
      </c>
      <c r="AF24" s="220" t="s">
        <v>119</v>
      </c>
      <c r="AG24" s="221" t="s">
        <v>202</v>
      </c>
      <c r="AH24" s="226">
        <v>0.08</v>
      </c>
      <c r="AI24" s="223"/>
      <c r="AJ24" s="223"/>
      <c r="AK24" s="199"/>
      <c r="AL24" s="199"/>
    </row>
    <row r="25" spans="1:38" ht="30" customHeight="1">
      <c r="A25" s="200"/>
      <c r="B25" s="201" t="s">
        <v>203</v>
      </c>
      <c r="C25" s="202" t="s">
        <v>39</v>
      </c>
      <c r="D25" s="203">
        <v>15</v>
      </c>
      <c r="E25" s="203">
        <v>15</v>
      </c>
      <c r="F25" s="203">
        <v>3</v>
      </c>
      <c r="G25" s="205">
        <f t="shared" si="27"/>
        <v>675</v>
      </c>
      <c r="H25" s="206">
        <f t="shared" si="1"/>
        <v>6.7500000000000004E-4</v>
      </c>
      <c r="I25" s="207">
        <f t="shared" si="2"/>
        <v>1481.4814814814813</v>
      </c>
      <c r="J25" s="208">
        <f t="shared" si="3"/>
        <v>5.4000000000000006E-2</v>
      </c>
      <c r="K25" s="209">
        <f t="shared" si="4"/>
        <v>18.225000000000001</v>
      </c>
      <c r="L25" s="209">
        <f t="shared" si="5"/>
        <v>93.015000000000015</v>
      </c>
      <c r="M25" s="210">
        <f t="shared" si="28"/>
        <v>5.4909918358216049E-2</v>
      </c>
      <c r="N25" s="211"/>
      <c r="O25" s="224"/>
      <c r="P25" s="213">
        <v>1.5</v>
      </c>
      <c r="Q25" s="213">
        <f t="shared" si="7"/>
        <v>1.7249999999999999</v>
      </c>
      <c r="R25" s="214">
        <f t="shared" si="8"/>
        <v>331.90724999999998</v>
      </c>
      <c r="S25" s="214">
        <f t="shared" si="9"/>
        <v>0</v>
      </c>
      <c r="T25" s="214">
        <f t="shared" ref="T25:U25" si="44">K25</f>
        <v>18.225000000000001</v>
      </c>
      <c r="U25" s="214">
        <f t="shared" si="44"/>
        <v>93.015000000000015</v>
      </c>
      <c r="V25" s="214">
        <f t="shared" si="11"/>
        <v>350.13225</v>
      </c>
      <c r="W25" s="215"/>
      <c r="X25" s="216"/>
      <c r="Y25" s="214">
        <v>0</v>
      </c>
      <c r="Z25" s="214">
        <v>3050</v>
      </c>
      <c r="AA25" s="217" t="e">
        <f t="shared" si="38"/>
        <v>#DIV/0!</v>
      </c>
      <c r="AB25" s="218" t="e">
        <f t="shared" si="39"/>
        <v>#DIV/0!</v>
      </c>
      <c r="AC25" s="218" t="e">
        <f t="shared" si="40"/>
        <v>#DIV/0!</v>
      </c>
      <c r="AD25" s="218" t="e">
        <f t="shared" si="41"/>
        <v>#DIV/0!</v>
      </c>
      <c r="AE25" s="219" t="e">
        <f t="shared" si="42"/>
        <v>#DIV/0!</v>
      </c>
      <c r="AF25" s="220" t="s">
        <v>148</v>
      </c>
      <c r="AG25" s="221" t="s">
        <v>204</v>
      </c>
      <c r="AH25" s="226">
        <v>1.7000000000000001E-2</v>
      </c>
      <c r="AI25" s="223"/>
      <c r="AJ25" s="223"/>
      <c r="AK25" s="199"/>
      <c r="AL25" s="199"/>
    </row>
    <row r="26" spans="1:38" ht="30" customHeight="1">
      <c r="A26" s="200"/>
      <c r="B26" s="201" t="s">
        <v>205</v>
      </c>
      <c r="C26" s="202" t="s">
        <v>39</v>
      </c>
      <c r="D26" s="203">
        <v>15</v>
      </c>
      <c r="E26" s="203">
        <v>15</v>
      </c>
      <c r="F26" s="203">
        <v>3</v>
      </c>
      <c r="G26" s="205">
        <f t="shared" si="27"/>
        <v>675</v>
      </c>
      <c r="H26" s="206">
        <f t="shared" si="1"/>
        <v>6.7500000000000004E-4</v>
      </c>
      <c r="I26" s="207">
        <f t="shared" si="2"/>
        <v>1481.4814814814813</v>
      </c>
      <c r="J26" s="208">
        <f t="shared" si="3"/>
        <v>5.4000000000000006E-2</v>
      </c>
      <c r="K26" s="209">
        <f t="shared" si="4"/>
        <v>18.225000000000001</v>
      </c>
      <c r="L26" s="209">
        <f t="shared" si="5"/>
        <v>93.015000000000015</v>
      </c>
      <c r="M26" s="210">
        <f t="shared" si="28"/>
        <v>5.4909918358216049E-2</v>
      </c>
      <c r="N26" s="211"/>
      <c r="O26" s="224"/>
      <c r="P26" s="213">
        <v>1.5</v>
      </c>
      <c r="Q26" s="213">
        <f t="shared" si="7"/>
        <v>1.7249999999999999</v>
      </c>
      <c r="R26" s="214">
        <f t="shared" si="8"/>
        <v>331.90724999999998</v>
      </c>
      <c r="S26" s="214">
        <f t="shared" si="9"/>
        <v>0</v>
      </c>
      <c r="T26" s="214">
        <f t="shared" ref="T26:U26" si="45">K26</f>
        <v>18.225000000000001</v>
      </c>
      <c r="U26" s="214">
        <f t="shared" si="45"/>
        <v>93.015000000000015</v>
      </c>
      <c r="V26" s="214">
        <f t="shared" si="11"/>
        <v>350.13225</v>
      </c>
      <c r="W26" s="215"/>
      <c r="X26" s="216"/>
      <c r="Y26" s="214">
        <v>0</v>
      </c>
      <c r="Z26" s="214">
        <v>3050</v>
      </c>
      <c r="AA26" s="217" t="e">
        <f t="shared" si="38"/>
        <v>#DIV/0!</v>
      </c>
      <c r="AB26" s="218" t="e">
        <f t="shared" si="39"/>
        <v>#DIV/0!</v>
      </c>
      <c r="AC26" s="218" t="e">
        <f t="shared" si="40"/>
        <v>#DIV/0!</v>
      </c>
      <c r="AD26" s="218" t="e">
        <f t="shared" si="41"/>
        <v>#DIV/0!</v>
      </c>
      <c r="AE26" s="219" t="e">
        <f t="shared" si="42"/>
        <v>#DIV/0!</v>
      </c>
      <c r="AF26" s="223"/>
      <c r="AG26" s="228"/>
      <c r="AH26" s="228"/>
      <c r="AI26" s="223"/>
      <c r="AJ26" s="223"/>
      <c r="AK26" s="199"/>
      <c r="AL26" s="199"/>
    </row>
    <row r="27" spans="1:38" ht="30" customHeight="1">
      <c r="A27" s="200"/>
      <c r="B27" s="201"/>
      <c r="C27" s="202"/>
      <c r="D27" s="203"/>
      <c r="E27" s="203"/>
      <c r="F27" s="204"/>
      <c r="G27" s="205"/>
      <c r="H27" s="206"/>
      <c r="I27" s="207"/>
      <c r="J27" s="208"/>
      <c r="K27" s="209"/>
      <c r="L27" s="209"/>
      <c r="M27" s="210"/>
      <c r="N27" s="200"/>
      <c r="O27" s="211"/>
      <c r="P27" s="213"/>
      <c r="Q27" s="213"/>
      <c r="R27" s="214"/>
      <c r="S27" s="214"/>
      <c r="T27" s="214"/>
      <c r="U27" s="214"/>
      <c r="V27" s="214"/>
      <c r="W27" s="229"/>
      <c r="X27" s="230"/>
      <c r="Y27" s="229"/>
      <c r="Z27" s="229"/>
      <c r="AA27" s="38"/>
      <c r="AB27" s="39"/>
      <c r="AC27" s="39"/>
      <c r="AD27" s="39"/>
      <c r="AE27" s="40"/>
      <c r="AF27" s="223"/>
      <c r="AG27" s="228"/>
      <c r="AH27" s="228"/>
      <c r="AI27" s="223"/>
      <c r="AJ27" s="223"/>
      <c r="AK27" s="199"/>
      <c r="AL27" s="199"/>
    </row>
    <row r="28" spans="1:38" ht="30" customHeight="1">
      <c r="A28" s="200"/>
      <c r="B28" s="201"/>
      <c r="C28" s="200"/>
      <c r="D28" s="200"/>
      <c r="E28" s="200"/>
      <c r="F28" s="200"/>
      <c r="G28" s="200"/>
      <c r="H28" s="200"/>
      <c r="I28" s="200"/>
      <c r="J28" s="200"/>
      <c r="K28" s="231"/>
      <c r="L28" s="200"/>
      <c r="M28" s="200"/>
      <c r="N28" s="200"/>
      <c r="O28" s="211"/>
      <c r="P28" s="200"/>
      <c r="Q28" s="200"/>
      <c r="R28" s="229"/>
      <c r="S28" s="229"/>
      <c r="T28" s="229"/>
      <c r="U28" s="229"/>
      <c r="V28" s="229"/>
      <c r="W28" s="229"/>
      <c r="X28" s="230"/>
      <c r="Y28" s="229"/>
      <c r="Z28" s="229"/>
      <c r="AA28" s="230"/>
      <c r="AB28" s="232"/>
      <c r="AC28" s="232"/>
      <c r="AD28" s="232"/>
      <c r="AE28" s="233"/>
      <c r="AF28" s="223"/>
      <c r="AG28" s="228"/>
      <c r="AH28" s="228"/>
      <c r="AI28" s="223"/>
      <c r="AJ28" s="223"/>
      <c r="AK28" s="199"/>
      <c r="AL28" s="199"/>
    </row>
    <row r="29" spans="1:38" ht="30" customHeight="1">
      <c r="A29" s="200"/>
      <c r="B29" s="201"/>
      <c r="C29" s="200"/>
      <c r="D29" s="200"/>
      <c r="E29" s="200"/>
      <c r="F29" s="200"/>
      <c r="G29" s="200"/>
      <c r="H29" s="200"/>
      <c r="I29" s="200"/>
      <c r="J29" s="200"/>
      <c r="K29" s="231"/>
      <c r="L29" s="200"/>
      <c r="M29" s="200"/>
      <c r="N29" s="200"/>
      <c r="O29" s="211"/>
      <c r="P29" s="200"/>
      <c r="Q29" s="200"/>
      <c r="R29" s="229"/>
      <c r="S29" s="229"/>
      <c r="T29" s="229"/>
      <c r="U29" s="229"/>
      <c r="V29" s="229"/>
      <c r="W29" s="229"/>
      <c r="X29" s="230"/>
      <c r="Y29" s="229"/>
      <c r="Z29" s="229"/>
      <c r="AA29" s="230"/>
      <c r="AB29" s="232"/>
      <c r="AC29" s="232"/>
      <c r="AD29" s="232"/>
      <c r="AE29" s="233"/>
      <c r="AF29" s="223"/>
      <c r="AG29" s="228"/>
      <c r="AH29" s="228"/>
      <c r="AI29" s="223"/>
      <c r="AJ29" s="223"/>
      <c r="AK29" s="199"/>
      <c r="AL29" s="199"/>
    </row>
    <row r="30" spans="1:38" ht="30" customHeight="1">
      <c r="A30" s="200"/>
      <c r="B30" s="234"/>
      <c r="C30" s="200"/>
      <c r="D30" s="200"/>
      <c r="E30" s="200"/>
      <c r="F30" s="200"/>
      <c r="G30" s="200"/>
      <c r="H30" s="200"/>
      <c r="I30" s="200"/>
      <c r="J30" s="200"/>
      <c r="K30" s="231"/>
      <c r="L30" s="200"/>
      <c r="M30" s="200"/>
      <c r="N30" s="200"/>
      <c r="O30" s="211"/>
      <c r="P30" s="200"/>
      <c r="Q30" s="200"/>
      <c r="R30" s="229"/>
      <c r="S30" s="229"/>
      <c r="T30" s="229"/>
      <c r="U30" s="229"/>
      <c r="V30" s="229"/>
      <c r="W30" s="229"/>
      <c r="X30" s="230"/>
      <c r="Y30" s="229"/>
      <c r="Z30" s="229"/>
      <c r="AA30" s="230"/>
      <c r="AB30" s="232"/>
      <c r="AC30" s="232"/>
      <c r="AD30" s="232"/>
      <c r="AE30" s="233"/>
      <c r="AF30" s="223"/>
      <c r="AG30" s="228"/>
      <c r="AH30" s="228"/>
      <c r="AI30" s="223"/>
      <c r="AJ30" s="223"/>
      <c r="AK30" s="199"/>
      <c r="AL30" s="199"/>
    </row>
    <row r="31" spans="1:38" ht="30" customHeight="1">
      <c r="A31" s="200"/>
      <c r="B31" s="234"/>
      <c r="C31" s="200"/>
      <c r="D31" s="200"/>
      <c r="E31" s="200"/>
      <c r="F31" s="200"/>
      <c r="G31" s="200"/>
      <c r="H31" s="200"/>
      <c r="I31" s="200"/>
      <c r="J31" s="200"/>
      <c r="K31" s="231"/>
      <c r="L31" s="200"/>
      <c r="M31" s="200"/>
      <c r="N31" s="200"/>
      <c r="O31" s="211"/>
      <c r="P31" s="200"/>
      <c r="Q31" s="200"/>
      <c r="R31" s="229"/>
      <c r="S31" s="229"/>
      <c r="T31" s="229"/>
      <c r="U31" s="229"/>
      <c r="V31" s="229"/>
      <c r="W31" s="229"/>
      <c r="X31" s="230"/>
      <c r="Y31" s="229"/>
      <c r="Z31" s="229"/>
      <c r="AA31" s="230"/>
      <c r="AB31" s="232"/>
      <c r="AC31" s="232"/>
      <c r="AD31" s="232"/>
      <c r="AE31" s="233"/>
      <c r="AF31" s="223"/>
      <c r="AG31" s="228"/>
      <c r="AH31" s="228"/>
      <c r="AI31" s="223"/>
      <c r="AJ31" s="223"/>
      <c r="AK31" s="199"/>
      <c r="AL31" s="199"/>
    </row>
    <row r="32" spans="1:38" ht="30" customHeight="1">
      <c r="A32" s="200"/>
      <c r="B32" s="234"/>
      <c r="C32" s="200"/>
      <c r="D32" s="200"/>
      <c r="E32" s="200"/>
      <c r="F32" s="200"/>
      <c r="G32" s="200"/>
      <c r="H32" s="200"/>
      <c r="I32" s="200"/>
      <c r="J32" s="200"/>
      <c r="K32" s="231"/>
      <c r="L32" s="200"/>
      <c r="M32" s="200"/>
      <c r="N32" s="200"/>
      <c r="O32" s="211"/>
      <c r="P32" s="200"/>
      <c r="Q32" s="200"/>
      <c r="R32" s="229"/>
      <c r="S32" s="229"/>
      <c r="T32" s="229"/>
      <c r="U32" s="229"/>
      <c r="V32" s="229"/>
      <c r="W32" s="229"/>
      <c r="X32" s="230"/>
      <c r="Y32" s="229"/>
      <c r="Z32" s="229"/>
      <c r="AA32" s="230"/>
      <c r="AB32" s="232"/>
      <c r="AC32" s="232"/>
      <c r="AD32" s="232"/>
      <c r="AE32" s="233"/>
      <c r="AF32" s="223"/>
      <c r="AG32" s="228"/>
      <c r="AH32" s="228"/>
      <c r="AI32" s="223"/>
      <c r="AJ32" s="223"/>
      <c r="AK32" s="199"/>
      <c r="AL32" s="199"/>
    </row>
    <row r="33" spans="1:38" ht="30" customHeight="1">
      <c r="A33" s="200"/>
      <c r="B33" s="234"/>
      <c r="C33" s="200"/>
      <c r="D33" s="200"/>
      <c r="E33" s="200"/>
      <c r="F33" s="200"/>
      <c r="G33" s="200"/>
      <c r="H33" s="200"/>
      <c r="I33" s="200"/>
      <c r="J33" s="200"/>
      <c r="K33" s="231"/>
      <c r="L33" s="200"/>
      <c r="M33" s="200"/>
      <c r="N33" s="200"/>
      <c r="O33" s="211"/>
      <c r="P33" s="200"/>
      <c r="Q33" s="200"/>
      <c r="R33" s="229"/>
      <c r="S33" s="229"/>
      <c r="T33" s="229"/>
      <c r="U33" s="229"/>
      <c r="V33" s="229"/>
      <c r="W33" s="229"/>
      <c r="X33" s="230"/>
      <c r="Y33" s="229"/>
      <c r="Z33" s="229"/>
      <c r="AA33" s="230"/>
      <c r="AB33" s="232"/>
      <c r="AC33" s="232"/>
      <c r="AD33" s="232"/>
      <c r="AE33" s="233"/>
      <c r="AF33" s="223"/>
      <c r="AG33" s="228"/>
      <c r="AH33" s="228"/>
      <c r="AI33" s="223"/>
      <c r="AJ33" s="223"/>
      <c r="AK33" s="199"/>
      <c r="AL33" s="199"/>
    </row>
    <row r="34" spans="1:38" ht="30" customHeight="1">
      <c r="A34" s="200"/>
      <c r="B34" s="234"/>
      <c r="C34" s="200"/>
      <c r="D34" s="200"/>
      <c r="E34" s="200"/>
      <c r="F34" s="200"/>
      <c r="G34" s="200"/>
      <c r="H34" s="200"/>
      <c r="I34" s="200"/>
      <c r="J34" s="200"/>
      <c r="K34" s="231"/>
      <c r="L34" s="200"/>
      <c r="M34" s="200"/>
      <c r="N34" s="200"/>
      <c r="O34" s="211"/>
      <c r="P34" s="200"/>
      <c r="Q34" s="200"/>
      <c r="R34" s="229"/>
      <c r="S34" s="229"/>
      <c r="T34" s="229"/>
      <c r="U34" s="229"/>
      <c r="V34" s="229"/>
      <c r="W34" s="229"/>
      <c r="X34" s="230"/>
      <c r="Y34" s="229"/>
      <c r="Z34" s="229"/>
      <c r="AA34" s="230"/>
      <c r="AB34" s="232"/>
      <c r="AC34" s="232"/>
      <c r="AD34" s="232"/>
      <c r="AE34" s="233"/>
      <c r="AF34" s="223"/>
      <c r="AG34" s="228"/>
      <c r="AH34" s="228"/>
      <c r="AI34" s="223"/>
      <c r="AJ34" s="223"/>
      <c r="AK34" s="199"/>
      <c r="AL34" s="199"/>
    </row>
    <row r="35" spans="1:38" ht="30" customHeight="1">
      <c r="A35" s="200"/>
      <c r="B35" s="234"/>
      <c r="C35" s="200"/>
      <c r="D35" s="200"/>
      <c r="E35" s="200"/>
      <c r="F35" s="200"/>
      <c r="G35" s="200"/>
      <c r="H35" s="200"/>
      <c r="I35" s="200"/>
      <c r="J35" s="200"/>
      <c r="K35" s="231"/>
      <c r="L35" s="200"/>
      <c r="M35" s="200"/>
      <c r="N35" s="200"/>
      <c r="O35" s="211"/>
      <c r="P35" s="200"/>
      <c r="Q35" s="200"/>
      <c r="R35" s="229"/>
      <c r="S35" s="229"/>
      <c r="T35" s="229"/>
      <c r="U35" s="229"/>
      <c r="V35" s="229"/>
      <c r="W35" s="229"/>
      <c r="X35" s="230"/>
      <c r="Y35" s="229"/>
      <c r="Z35" s="229"/>
      <c r="AA35" s="230"/>
      <c r="AB35" s="232"/>
      <c r="AC35" s="232"/>
      <c r="AD35" s="232"/>
      <c r="AE35" s="233"/>
      <c r="AF35" s="223"/>
      <c r="AG35" s="228"/>
      <c r="AH35" s="228"/>
      <c r="AI35" s="223"/>
      <c r="AJ35" s="223"/>
      <c r="AK35" s="199"/>
      <c r="AL35" s="199"/>
    </row>
    <row r="36" spans="1:38" ht="30" customHeight="1">
      <c r="A36" s="200"/>
      <c r="B36" s="234"/>
      <c r="C36" s="200"/>
      <c r="D36" s="200"/>
      <c r="E36" s="200"/>
      <c r="F36" s="200"/>
      <c r="G36" s="200"/>
      <c r="H36" s="200"/>
      <c r="I36" s="200"/>
      <c r="J36" s="200"/>
      <c r="K36" s="231"/>
      <c r="L36" s="200"/>
      <c r="M36" s="200"/>
      <c r="N36" s="200"/>
      <c r="O36" s="211"/>
      <c r="P36" s="200"/>
      <c r="Q36" s="200"/>
      <c r="R36" s="229"/>
      <c r="S36" s="229"/>
      <c r="T36" s="229"/>
      <c r="U36" s="229"/>
      <c r="V36" s="229"/>
      <c r="W36" s="229"/>
      <c r="X36" s="230"/>
      <c r="Y36" s="229"/>
      <c r="Z36" s="229"/>
      <c r="AA36" s="230"/>
      <c r="AB36" s="232"/>
      <c r="AC36" s="232"/>
      <c r="AD36" s="232"/>
      <c r="AE36" s="233"/>
      <c r="AF36" s="223"/>
      <c r="AG36" s="228"/>
      <c r="AH36" s="228"/>
      <c r="AI36" s="223"/>
      <c r="AJ36" s="223"/>
      <c r="AK36" s="199"/>
      <c r="AL36" s="199"/>
    </row>
    <row r="37" spans="1:38" ht="30" customHeight="1">
      <c r="A37" s="200"/>
      <c r="B37" s="234"/>
      <c r="C37" s="200"/>
      <c r="D37" s="200"/>
      <c r="E37" s="200"/>
      <c r="F37" s="200"/>
      <c r="G37" s="200"/>
      <c r="H37" s="200"/>
      <c r="I37" s="200"/>
      <c r="J37" s="200"/>
      <c r="K37" s="231"/>
      <c r="L37" s="200"/>
      <c r="M37" s="200"/>
      <c r="N37" s="200"/>
      <c r="O37" s="211"/>
      <c r="P37" s="200"/>
      <c r="Q37" s="200"/>
      <c r="R37" s="229"/>
      <c r="S37" s="229"/>
      <c r="T37" s="229"/>
      <c r="U37" s="229"/>
      <c r="V37" s="229"/>
      <c r="W37" s="229"/>
      <c r="X37" s="230"/>
      <c r="Y37" s="229"/>
      <c r="Z37" s="229"/>
      <c r="AA37" s="230"/>
      <c r="AB37" s="232"/>
      <c r="AC37" s="232"/>
      <c r="AD37" s="232"/>
      <c r="AE37" s="233"/>
      <c r="AF37" s="223"/>
      <c r="AG37" s="228"/>
      <c r="AH37" s="228"/>
      <c r="AI37" s="223"/>
      <c r="AJ37" s="223"/>
      <c r="AK37" s="199"/>
      <c r="AL37" s="199"/>
    </row>
    <row r="38" spans="1:38" ht="30" customHeight="1">
      <c r="A38" s="200"/>
      <c r="B38" s="234"/>
      <c r="C38" s="200"/>
      <c r="D38" s="200"/>
      <c r="E38" s="200"/>
      <c r="F38" s="200"/>
      <c r="G38" s="200"/>
      <c r="H38" s="200"/>
      <c r="I38" s="200"/>
      <c r="J38" s="200"/>
      <c r="K38" s="231"/>
      <c r="L38" s="200"/>
      <c r="M38" s="200"/>
      <c r="N38" s="200"/>
      <c r="O38" s="211"/>
      <c r="P38" s="200"/>
      <c r="Q38" s="200"/>
      <c r="R38" s="229"/>
      <c r="S38" s="229"/>
      <c r="T38" s="229"/>
      <c r="U38" s="229"/>
      <c r="V38" s="229"/>
      <c r="W38" s="229"/>
      <c r="X38" s="230"/>
      <c r="Y38" s="229"/>
      <c r="Z38" s="229"/>
      <c r="AA38" s="230"/>
      <c r="AB38" s="232"/>
      <c r="AC38" s="232"/>
      <c r="AD38" s="232"/>
      <c r="AE38" s="233"/>
      <c r="AF38" s="223"/>
      <c r="AG38" s="228"/>
      <c r="AH38" s="228"/>
      <c r="AI38" s="223"/>
      <c r="AJ38" s="223"/>
      <c r="AK38" s="199"/>
      <c r="AL38" s="199"/>
    </row>
  </sheetData>
  <mergeCells count="10">
    <mergeCell ref="W5:Z5"/>
    <mergeCell ref="AA5:AE5"/>
    <mergeCell ref="AF5:AL5"/>
    <mergeCell ref="A1:AE2"/>
    <mergeCell ref="A3:AE4"/>
    <mergeCell ref="A5:B5"/>
    <mergeCell ref="D5:F5"/>
    <mergeCell ref="G5:M5"/>
    <mergeCell ref="N5:P5"/>
    <mergeCell ref="Q5:V5"/>
  </mergeCells>
  <phoneticPr fontId="4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헤몬스토어</vt:lpstr>
      <vt:lpstr>헤몬라이프</vt:lpstr>
      <vt:lpstr>헤누스</vt:lpstr>
      <vt:lpstr>헤이슨</vt:lpstr>
      <vt:lpstr>헤이버</vt:lpstr>
      <vt:lpstr>헤이즈</vt:lpstr>
      <vt:lpstr>헬릭스케어</vt:lpstr>
      <vt:lpstr>우다다</vt:lpstr>
      <vt:lpstr>휴비</vt:lpstr>
      <vt:lpstr>휴멜</vt:lpstr>
      <vt:lpstr>한진 계산기</vt:lpstr>
      <vt:lpstr>공용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2025-08-21T09:08:17Z</dcterms:modified>
</cp:coreProperties>
</file>