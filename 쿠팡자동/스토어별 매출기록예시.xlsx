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auto_data2\쿠팡자동\"/>
    </mc:Choice>
  </mc:AlternateContent>
  <xr:revisionPtr revIDLastSave="0" documentId="8_{5EABE015-9AB3-41C5-B2EC-97F62587A6C2}" xr6:coauthVersionLast="47" xr6:coauthVersionMax="47" xr10:uidLastSave="{00000000-0000-0000-0000-000000000000}"/>
  <bookViews>
    <workbookView xWindow="-120" yWindow="-120" windowWidth="29040" windowHeight="15840" xr2:uid="{B78BB6F8-A6A9-4C0E-B256-53CB87CCBD0D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25" i="1" l="1"/>
  <c r="U226" i="1" s="1"/>
  <c r="O225" i="1"/>
  <c r="O226" i="1" s="1"/>
  <c r="G225" i="1"/>
  <c r="G226" i="1" s="1"/>
  <c r="Y224" i="1"/>
  <c r="Z224" i="1" s="1"/>
  <c r="D224" i="1" s="1"/>
  <c r="V224" i="1"/>
  <c r="N224" i="1"/>
  <c r="F224" i="1" s="1"/>
  <c r="L224" i="1"/>
  <c r="Y223" i="1"/>
  <c r="E223" i="1" s="1"/>
  <c r="V223" i="1"/>
  <c r="N223" i="1"/>
  <c r="L223" i="1"/>
  <c r="F223" i="1"/>
  <c r="N222" i="1"/>
  <c r="L222" i="1"/>
  <c r="F222" i="1"/>
  <c r="Y221" i="1"/>
  <c r="Z221" i="1" s="1"/>
  <c r="D221" i="1" s="1"/>
  <c r="V221" i="1"/>
  <c r="N221" i="1"/>
  <c r="F221" i="1" s="1"/>
  <c r="L221" i="1"/>
  <c r="Y220" i="1"/>
  <c r="E220" i="1" s="1"/>
  <c r="V220" i="1"/>
  <c r="N220" i="1"/>
  <c r="L220" i="1"/>
  <c r="F220" i="1"/>
  <c r="N219" i="1"/>
  <c r="L219" i="1"/>
  <c r="F219" i="1" s="1"/>
  <c r="Y218" i="1"/>
  <c r="Z218" i="1" s="1"/>
  <c r="D218" i="1" s="1"/>
  <c r="V218" i="1"/>
  <c r="N218" i="1"/>
  <c r="F218" i="1" s="1"/>
  <c r="L218" i="1"/>
  <c r="N217" i="1"/>
  <c r="I217" i="1"/>
  <c r="H217" i="1"/>
  <c r="G217" i="1"/>
  <c r="N216" i="1"/>
  <c r="N215" i="1"/>
  <c r="N214" i="1"/>
  <c r="N213" i="1"/>
  <c r="N212" i="1"/>
  <c r="N211" i="1"/>
  <c r="N210" i="1"/>
  <c r="N209" i="1"/>
  <c r="X208" i="1"/>
  <c r="W208" i="1"/>
  <c r="U208" i="1"/>
  <c r="P208" i="1"/>
  <c r="N208" i="1"/>
  <c r="F208" i="1" s="1"/>
  <c r="M208" i="1"/>
  <c r="K208" i="1"/>
  <c r="J208" i="1"/>
  <c r="L208" i="1" s="1"/>
  <c r="Y208" i="1" s="1"/>
  <c r="I208" i="1"/>
  <c r="H208" i="1"/>
  <c r="G208" i="1"/>
  <c r="Z207" i="1"/>
  <c r="D207" i="1" s="1"/>
  <c r="X207" i="1"/>
  <c r="W207" i="1"/>
  <c r="U207" i="1"/>
  <c r="P207" i="1"/>
  <c r="N207" i="1"/>
  <c r="M207" i="1"/>
  <c r="K207" i="1"/>
  <c r="J207" i="1"/>
  <c r="L207" i="1" s="1"/>
  <c r="Y207" i="1" s="1"/>
  <c r="E207" i="1" s="1"/>
  <c r="I207" i="1"/>
  <c r="H207" i="1"/>
  <c r="G207" i="1"/>
  <c r="X206" i="1"/>
  <c r="W206" i="1"/>
  <c r="U206" i="1"/>
  <c r="P206" i="1"/>
  <c r="N206" i="1"/>
  <c r="F206" i="1" s="1"/>
  <c r="M206" i="1"/>
  <c r="K206" i="1"/>
  <c r="J206" i="1"/>
  <c r="L206" i="1" s="1"/>
  <c r="Y206" i="1" s="1"/>
  <c r="I206" i="1"/>
  <c r="H206" i="1"/>
  <c r="G206" i="1"/>
  <c r="Z205" i="1"/>
  <c r="D205" i="1" s="1"/>
  <c r="Y205" i="1"/>
  <c r="E205" i="1" s="1"/>
  <c r="V205" i="1"/>
  <c r="N205" i="1"/>
  <c r="L205" i="1"/>
  <c r="F205" i="1"/>
  <c r="N204" i="1"/>
  <c r="L204" i="1"/>
  <c r="F204" i="1"/>
  <c r="X203" i="1"/>
  <c r="W203" i="1"/>
  <c r="U203" i="1"/>
  <c r="V203" i="1" s="1"/>
  <c r="P203" i="1"/>
  <c r="N203" i="1"/>
  <c r="M203" i="1"/>
  <c r="L203" i="1"/>
  <c r="Y203" i="1" s="1"/>
  <c r="K203" i="1"/>
  <c r="J203" i="1"/>
  <c r="I203" i="1"/>
  <c r="H203" i="1"/>
  <c r="G203" i="1"/>
  <c r="X202" i="1"/>
  <c r="W202" i="1"/>
  <c r="V202" i="1"/>
  <c r="U202" i="1"/>
  <c r="P202" i="1"/>
  <c r="N202" i="1"/>
  <c r="M202" i="1"/>
  <c r="L202" i="1"/>
  <c r="K202" i="1"/>
  <c r="J202" i="1"/>
  <c r="I202" i="1"/>
  <c r="H202" i="1"/>
  <c r="G202" i="1"/>
  <c r="F202" i="1"/>
  <c r="X201" i="1"/>
  <c r="W201" i="1"/>
  <c r="U201" i="1"/>
  <c r="P201" i="1"/>
  <c r="N201" i="1"/>
  <c r="M201" i="1"/>
  <c r="L201" i="1"/>
  <c r="Y201" i="1" s="1"/>
  <c r="K201" i="1"/>
  <c r="J201" i="1"/>
  <c r="I201" i="1"/>
  <c r="H201" i="1"/>
  <c r="G201" i="1"/>
  <c r="X200" i="1"/>
  <c r="W200" i="1"/>
  <c r="V200" i="1"/>
  <c r="U200" i="1"/>
  <c r="P200" i="1"/>
  <c r="N200" i="1"/>
  <c r="M200" i="1"/>
  <c r="L200" i="1"/>
  <c r="K200" i="1"/>
  <c r="J200" i="1"/>
  <c r="I200" i="1"/>
  <c r="H200" i="1"/>
  <c r="G200" i="1"/>
  <c r="F200" i="1"/>
  <c r="X199" i="1"/>
  <c r="W199" i="1"/>
  <c r="U199" i="1"/>
  <c r="P199" i="1"/>
  <c r="N199" i="1"/>
  <c r="M199" i="1"/>
  <c r="L199" i="1"/>
  <c r="K199" i="1"/>
  <c r="J199" i="1"/>
  <c r="I199" i="1"/>
  <c r="H199" i="1"/>
  <c r="G199" i="1"/>
  <c r="X198" i="1"/>
  <c r="W198" i="1"/>
  <c r="V198" i="1"/>
  <c r="U198" i="1"/>
  <c r="P198" i="1"/>
  <c r="N198" i="1"/>
  <c r="M198" i="1"/>
  <c r="L198" i="1"/>
  <c r="Y198" i="1" s="1"/>
  <c r="K198" i="1"/>
  <c r="J198" i="1"/>
  <c r="I198" i="1"/>
  <c r="H198" i="1"/>
  <c r="G198" i="1"/>
  <c r="F198" i="1"/>
  <c r="X197" i="1"/>
  <c r="W197" i="1"/>
  <c r="U197" i="1"/>
  <c r="P197" i="1"/>
  <c r="N197" i="1"/>
  <c r="M197" i="1"/>
  <c r="L197" i="1"/>
  <c r="K197" i="1"/>
  <c r="J197" i="1"/>
  <c r="I197" i="1"/>
  <c r="H197" i="1"/>
  <c r="G197" i="1"/>
  <c r="X196" i="1"/>
  <c r="W196" i="1"/>
  <c r="V196" i="1"/>
  <c r="U196" i="1"/>
  <c r="P196" i="1"/>
  <c r="N196" i="1"/>
  <c r="M196" i="1"/>
  <c r="L196" i="1"/>
  <c r="Y196" i="1" s="1"/>
  <c r="K196" i="1"/>
  <c r="J196" i="1"/>
  <c r="I196" i="1"/>
  <c r="H196" i="1"/>
  <c r="G196" i="1"/>
  <c r="F196" i="1"/>
  <c r="X195" i="1"/>
  <c r="X225" i="1" s="1"/>
  <c r="X226" i="1" s="1"/>
  <c r="W195" i="1"/>
  <c r="U195" i="1"/>
  <c r="P195" i="1"/>
  <c r="P225" i="1" s="1"/>
  <c r="P226" i="1" s="1"/>
  <c r="N195" i="1"/>
  <c r="M195" i="1"/>
  <c r="M225" i="1" s="1"/>
  <c r="M226" i="1" s="1"/>
  <c r="L195" i="1"/>
  <c r="K195" i="1"/>
  <c r="K225" i="1" s="1"/>
  <c r="K226" i="1" s="1"/>
  <c r="J195" i="1"/>
  <c r="J225" i="1" s="1"/>
  <c r="J226" i="1" s="1"/>
  <c r="L226" i="1" s="1"/>
  <c r="I195" i="1"/>
  <c r="I225" i="1" s="1"/>
  <c r="I226" i="1" s="1"/>
  <c r="H195" i="1"/>
  <c r="H225" i="1" s="1"/>
  <c r="H226" i="1" s="1"/>
  <c r="G195" i="1"/>
  <c r="AP179" i="1"/>
  <c r="AO179" i="1"/>
  <c r="S179" i="1"/>
  <c r="R179" i="1"/>
  <c r="Q179" i="1"/>
  <c r="O179" i="1"/>
  <c r="AM178" i="1"/>
  <c r="AL178" i="1"/>
  <c r="AI178" i="1"/>
  <c r="AC178" i="1"/>
  <c r="AB178" i="1"/>
  <c r="AB179" i="1" s="1"/>
  <c r="P217" i="1" s="1"/>
  <c r="Z178" i="1"/>
  <c r="Y178" i="1"/>
  <c r="X178" i="1"/>
  <c r="U178" i="1"/>
  <c r="T178" i="1"/>
  <c r="V178" i="1" s="1"/>
  <c r="P178" i="1"/>
  <c r="AE178" i="1" s="1"/>
  <c r="G178" i="1"/>
  <c r="AM177" i="1"/>
  <c r="AL177" i="1"/>
  <c r="AI177" i="1"/>
  <c r="Y177" i="1" s="1"/>
  <c r="AC177" i="1"/>
  <c r="Z177" i="1"/>
  <c r="X177" i="1"/>
  <c r="U177" i="1"/>
  <c r="T177" i="1"/>
  <c r="P177" i="1"/>
  <c r="AE177" i="1" s="1"/>
  <c r="J177" i="1"/>
  <c r="I177" i="1"/>
  <c r="G177" i="1"/>
  <c r="AM176" i="1"/>
  <c r="AL176" i="1"/>
  <c r="AI176" i="1"/>
  <c r="Y176" i="1" s="1"/>
  <c r="AC176" i="1"/>
  <c r="Z176" i="1"/>
  <c r="F176" i="1" s="1"/>
  <c r="X176" i="1"/>
  <c r="U176" i="1"/>
  <c r="T176" i="1"/>
  <c r="V176" i="1" s="1"/>
  <c r="P176" i="1"/>
  <c r="AE176" i="1" s="1"/>
  <c r="L176" i="1"/>
  <c r="J176" i="1"/>
  <c r="I176" i="1"/>
  <c r="G176" i="1"/>
  <c r="AM175" i="1"/>
  <c r="AL175" i="1"/>
  <c r="AI175" i="1"/>
  <c r="Y175" i="1" s="1"/>
  <c r="AC175" i="1"/>
  <c r="Z175" i="1"/>
  <c r="F175" i="1" s="1"/>
  <c r="X175" i="1"/>
  <c r="U175" i="1"/>
  <c r="T175" i="1"/>
  <c r="V175" i="1" s="1"/>
  <c r="P175" i="1"/>
  <c r="AE175" i="1" s="1"/>
  <c r="AF175" i="1" s="1"/>
  <c r="L175" i="1"/>
  <c r="J175" i="1"/>
  <c r="I175" i="1"/>
  <c r="G175" i="1"/>
  <c r="AM174" i="1"/>
  <c r="AL174" i="1"/>
  <c r="AI174" i="1"/>
  <c r="Y174" i="1" s="1"/>
  <c r="AC174" i="1"/>
  <c r="AA174" i="1"/>
  <c r="Z174" i="1" s="1"/>
  <c r="X174" i="1"/>
  <c r="U174" i="1"/>
  <c r="T174" i="1"/>
  <c r="P174" i="1"/>
  <c r="AE174" i="1" s="1"/>
  <c r="J174" i="1"/>
  <c r="I174" i="1"/>
  <c r="G174" i="1"/>
  <c r="AM173" i="1"/>
  <c r="AL173" i="1"/>
  <c r="AI173" i="1"/>
  <c r="Y173" i="1" s="1"/>
  <c r="AC173" i="1"/>
  <c r="Z173" i="1"/>
  <c r="X173" i="1"/>
  <c r="U173" i="1"/>
  <c r="T173" i="1"/>
  <c r="V173" i="1" s="1"/>
  <c r="P173" i="1"/>
  <c r="AE173" i="1" s="1"/>
  <c r="AF173" i="1" s="1"/>
  <c r="J173" i="1"/>
  <c r="I173" i="1"/>
  <c r="G173" i="1"/>
  <c r="AM172" i="1"/>
  <c r="AL172" i="1"/>
  <c r="AI172" i="1"/>
  <c r="Y172" i="1" s="1"/>
  <c r="AC172" i="1"/>
  <c r="Z172" i="1"/>
  <c r="X172" i="1"/>
  <c r="V172" i="1"/>
  <c r="U172" i="1"/>
  <c r="T172" i="1"/>
  <c r="P172" i="1"/>
  <c r="AE172" i="1" s="1"/>
  <c r="AF172" i="1" s="1"/>
  <c r="J172" i="1"/>
  <c r="I172" i="1"/>
  <c r="G172" i="1"/>
  <c r="AM171" i="1"/>
  <c r="AL171" i="1"/>
  <c r="AI171" i="1"/>
  <c r="Y171" i="1" s="1"/>
  <c r="AC171" i="1"/>
  <c r="Z171" i="1"/>
  <c r="X171" i="1"/>
  <c r="U171" i="1"/>
  <c r="T171" i="1"/>
  <c r="V171" i="1" s="1"/>
  <c r="P171" i="1"/>
  <c r="AE171" i="1" s="1"/>
  <c r="AF171" i="1" s="1"/>
  <c r="J171" i="1"/>
  <c r="I171" i="1"/>
  <c r="G171" i="1"/>
  <c r="AM170" i="1"/>
  <c r="AL170" i="1"/>
  <c r="AI170" i="1"/>
  <c r="Y170" i="1" s="1"/>
  <c r="AC170" i="1"/>
  <c r="Z170" i="1"/>
  <c r="X170" i="1"/>
  <c r="U170" i="1"/>
  <c r="T170" i="1"/>
  <c r="V170" i="1" s="1"/>
  <c r="P170" i="1"/>
  <c r="AE170" i="1" s="1"/>
  <c r="AF170" i="1" s="1"/>
  <c r="J170" i="1"/>
  <c r="I170" i="1"/>
  <c r="G170" i="1"/>
  <c r="AM169" i="1"/>
  <c r="AL169" i="1"/>
  <c r="AI169" i="1"/>
  <c r="Y169" i="1" s="1"/>
  <c r="AE169" i="1"/>
  <c r="AF169" i="1" s="1"/>
  <c r="AC169" i="1"/>
  <c r="Z169" i="1"/>
  <c r="X169" i="1"/>
  <c r="U169" i="1"/>
  <c r="V169" i="1" s="1"/>
  <c r="T169" i="1"/>
  <c r="P169" i="1"/>
  <c r="L169" i="1"/>
  <c r="J169" i="1"/>
  <c r="I169" i="1"/>
  <c r="G169" i="1"/>
  <c r="AM168" i="1"/>
  <c r="AL168" i="1"/>
  <c r="AI168" i="1"/>
  <c r="Y168" i="1" s="1"/>
  <c r="AE168" i="1"/>
  <c r="AF168" i="1" s="1"/>
  <c r="AC168" i="1"/>
  <c r="Z168" i="1"/>
  <c r="X168" i="1"/>
  <c r="V168" i="1"/>
  <c r="F168" i="1" s="1"/>
  <c r="U168" i="1"/>
  <c r="T168" i="1"/>
  <c r="P168" i="1"/>
  <c r="L168" i="1"/>
  <c r="J168" i="1"/>
  <c r="I168" i="1"/>
  <c r="G168" i="1"/>
  <c r="AM167" i="1"/>
  <c r="AL167" i="1"/>
  <c r="AI167" i="1"/>
  <c r="AC167" i="1"/>
  <c r="Z167" i="1"/>
  <c r="X167" i="1"/>
  <c r="V167" i="1"/>
  <c r="F167" i="1" s="1"/>
  <c r="U167" i="1"/>
  <c r="T167" i="1"/>
  <c r="P167" i="1"/>
  <c r="AE167" i="1" s="1"/>
  <c r="AF167" i="1" s="1"/>
  <c r="L167" i="1"/>
  <c r="J167" i="1"/>
  <c r="I167" i="1"/>
  <c r="G167" i="1"/>
  <c r="AM166" i="1"/>
  <c r="AL166" i="1"/>
  <c r="AI166" i="1"/>
  <c r="AC166" i="1"/>
  <c r="Z166" i="1"/>
  <c r="X166" i="1"/>
  <c r="V166" i="1"/>
  <c r="F166" i="1" s="1"/>
  <c r="U166" i="1"/>
  <c r="T166" i="1"/>
  <c r="P166" i="1"/>
  <c r="AE166" i="1" s="1"/>
  <c r="AF166" i="1" s="1"/>
  <c r="L166" i="1"/>
  <c r="J166" i="1"/>
  <c r="I166" i="1"/>
  <c r="G166" i="1"/>
  <c r="AM165" i="1"/>
  <c r="AL165" i="1"/>
  <c r="AI165" i="1"/>
  <c r="AE165" i="1"/>
  <c r="AF165" i="1" s="1"/>
  <c r="AC165" i="1"/>
  <c r="Z165" i="1"/>
  <c r="X165" i="1"/>
  <c r="V165" i="1"/>
  <c r="F165" i="1" s="1"/>
  <c r="U165" i="1"/>
  <c r="T165" i="1"/>
  <c r="P165" i="1"/>
  <c r="L165" i="1"/>
  <c r="J165" i="1"/>
  <c r="I165" i="1"/>
  <c r="G165" i="1"/>
  <c r="AM164" i="1"/>
  <c r="AL164" i="1"/>
  <c r="AI164" i="1"/>
  <c r="AC164" i="1"/>
  <c r="Z164" i="1"/>
  <c r="X164" i="1"/>
  <c r="V164" i="1"/>
  <c r="F164" i="1" s="1"/>
  <c r="U164" i="1"/>
  <c r="T164" i="1"/>
  <c r="P164" i="1"/>
  <c r="AE164" i="1" s="1"/>
  <c r="AF164" i="1" s="1"/>
  <c r="L164" i="1"/>
  <c r="J164" i="1"/>
  <c r="I164" i="1"/>
  <c r="G164" i="1"/>
  <c r="AM163" i="1"/>
  <c r="AL163" i="1"/>
  <c r="AI163" i="1"/>
  <c r="AC163" i="1"/>
  <c r="Z163" i="1"/>
  <c r="X163" i="1"/>
  <c r="X179" i="1" s="1"/>
  <c r="V163" i="1"/>
  <c r="U163" i="1"/>
  <c r="T163" i="1"/>
  <c r="P163" i="1"/>
  <c r="AE163" i="1" s="1"/>
  <c r="J163" i="1"/>
  <c r="I163" i="1"/>
  <c r="G163" i="1"/>
  <c r="AM162" i="1"/>
  <c r="AL162" i="1"/>
  <c r="AI162" i="1"/>
  <c r="AI179" i="1" s="1"/>
  <c r="AE162" i="1"/>
  <c r="AC162" i="1"/>
  <c r="AC179" i="1" s="1"/>
  <c r="Z162" i="1"/>
  <c r="Z179" i="1" s="1"/>
  <c r="X162" i="1"/>
  <c r="U162" i="1"/>
  <c r="T162" i="1"/>
  <c r="P162" i="1"/>
  <c r="L162" i="1"/>
  <c r="J162" i="1"/>
  <c r="I162" i="1"/>
  <c r="G162" i="1"/>
  <c r="AP159" i="1"/>
  <c r="AO159" i="1"/>
  <c r="S159" i="1"/>
  <c r="I216" i="1" s="1"/>
  <c r="R159" i="1"/>
  <c r="Q159" i="1"/>
  <c r="H216" i="1" s="1"/>
  <c r="O159" i="1"/>
  <c r="G216" i="1" s="1"/>
  <c r="AM158" i="1"/>
  <c r="AL158" i="1"/>
  <c r="AI158" i="1"/>
  <c r="AC158" i="1"/>
  <c r="AB158" i="1"/>
  <c r="Z158" i="1"/>
  <c r="Y158" i="1"/>
  <c r="X158" i="1"/>
  <c r="U158" i="1"/>
  <c r="T158" i="1"/>
  <c r="P158" i="1"/>
  <c r="AE158" i="1" s="1"/>
  <c r="G158" i="1"/>
  <c r="AM157" i="1"/>
  <c r="AL157" i="1"/>
  <c r="AI157" i="1"/>
  <c r="Y157" i="1" s="1"/>
  <c r="AC157" i="1"/>
  <c r="AB157" i="1"/>
  <c r="Z157" i="1"/>
  <c r="X157" i="1"/>
  <c r="V157" i="1"/>
  <c r="U157" i="1"/>
  <c r="T157" i="1"/>
  <c r="P157" i="1"/>
  <c r="J157" i="1"/>
  <c r="I157" i="1"/>
  <c r="G157" i="1"/>
  <c r="F157" i="1"/>
  <c r="AM156" i="1"/>
  <c r="AL156" i="1"/>
  <c r="AI156" i="1"/>
  <c r="Y156" i="1" s="1"/>
  <c r="AE156" i="1"/>
  <c r="AC156" i="1"/>
  <c r="Z156" i="1"/>
  <c r="X156" i="1"/>
  <c r="U156" i="1"/>
  <c r="V156" i="1" s="1"/>
  <c r="T156" i="1"/>
  <c r="P156" i="1"/>
  <c r="L156" i="1"/>
  <c r="J156" i="1"/>
  <c r="I156" i="1"/>
  <c r="G156" i="1"/>
  <c r="AM155" i="1"/>
  <c r="AL155" i="1"/>
  <c r="AI155" i="1"/>
  <c r="Y155" i="1" s="1"/>
  <c r="AE155" i="1"/>
  <c r="AC155" i="1"/>
  <c r="Z155" i="1"/>
  <c r="X155" i="1"/>
  <c r="U155" i="1"/>
  <c r="V155" i="1" s="1"/>
  <c r="T155" i="1"/>
  <c r="P155" i="1"/>
  <c r="L155" i="1"/>
  <c r="J155" i="1"/>
  <c r="I155" i="1"/>
  <c r="G155" i="1"/>
  <c r="AM154" i="1"/>
  <c r="AL154" i="1"/>
  <c r="AI154" i="1"/>
  <c r="AE154" i="1"/>
  <c r="AF154" i="1" s="1"/>
  <c r="AG154" i="1" s="1"/>
  <c r="AH154" i="1" s="1"/>
  <c r="AC154" i="1"/>
  <c r="AA154" i="1"/>
  <c r="AA159" i="1" s="1"/>
  <c r="Y154" i="1"/>
  <c r="X154" i="1"/>
  <c r="V154" i="1"/>
  <c r="U154" i="1"/>
  <c r="T154" i="1"/>
  <c r="P154" i="1"/>
  <c r="J154" i="1"/>
  <c r="I154" i="1"/>
  <c r="G154" i="1"/>
  <c r="AM153" i="1"/>
  <c r="AL153" i="1"/>
  <c r="AI153" i="1"/>
  <c r="Y153" i="1" s="1"/>
  <c r="AE153" i="1"/>
  <c r="AC153" i="1"/>
  <c r="Z153" i="1"/>
  <c r="X153" i="1"/>
  <c r="V153" i="1"/>
  <c r="U153" i="1"/>
  <c r="T153" i="1"/>
  <c r="P153" i="1"/>
  <c r="J153" i="1"/>
  <c r="I153" i="1"/>
  <c r="G153" i="1"/>
  <c r="AM152" i="1"/>
  <c r="AL152" i="1"/>
  <c r="AI152" i="1"/>
  <c r="Y152" i="1" s="1"/>
  <c r="AC152" i="1"/>
  <c r="AB152" i="1"/>
  <c r="AB159" i="1" s="1"/>
  <c r="P216" i="1" s="1"/>
  <c r="Z152" i="1"/>
  <c r="X152" i="1"/>
  <c r="U152" i="1"/>
  <c r="V152" i="1" s="1"/>
  <c r="T152" i="1"/>
  <c r="P152" i="1"/>
  <c r="AE152" i="1" s="1"/>
  <c r="AF152" i="1" s="1"/>
  <c r="J152" i="1"/>
  <c r="I152" i="1"/>
  <c r="G152" i="1"/>
  <c r="AM151" i="1"/>
  <c r="AL151" i="1"/>
  <c r="AI151" i="1"/>
  <c r="AG151" i="1"/>
  <c r="AH151" i="1" s="1"/>
  <c r="AF151" i="1"/>
  <c r="AC151" i="1"/>
  <c r="Z151" i="1"/>
  <c r="X151" i="1"/>
  <c r="V151" i="1"/>
  <c r="U151" i="1"/>
  <c r="T151" i="1"/>
  <c r="P151" i="1"/>
  <c r="AE151" i="1" s="1"/>
  <c r="J151" i="1"/>
  <c r="I151" i="1"/>
  <c r="G151" i="1"/>
  <c r="AM150" i="1"/>
  <c r="AL150" i="1"/>
  <c r="AI150" i="1"/>
  <c r="AC150" i="1"/>
  <c r="Z150" i="1"/>
  <c r="Y150" i="1"/>
  <c r="X150" i="1"/>
  <c r="U150" i="1"/>
  <c r="T150" i="1"/>
  <c r="P150" i="1"/>
  <c r="AE150" i="1" s="1"/>
  <c r="J150" i="1"/>
  <c r="I150" i="1"/>
  <c r="G150" i="1"/>
  <c r="AM149" i="1"/>
  <c r="AL149" i="1"/>
  <c r="AI149" i="1"/>
  <c r="AC149" i="1"/>
  <c r="Z149" i="1"/>
  <c r="X149" i="1"/>
  <c r="U149" i="1"/>
  <c r="T149" i="1"/>
  <c r="V149" i="1" s="1"/>
  <c r="P149" i="1"/>
  <c r="AE149" i="1" s="1"/>
  <c r="L149" i="1"/>
  <c r="J149" i="1"/>
  <c r="I149" i="1"/>
  <c r="G149" i="1"/>
  <c r="AM148" i="1"/>
  <c r="AL148" i="1"/>
  <c r="AI148" i="1"/>
  <c r="Y148" i="1" s="1"/>
  <c r="AG148" i="1"/>
  <c r="AH148" i="1" s="1"/>
  <c r="AC148" i="1"/>
  <c r="Z148" i="1"/>
  <c r="X148" i="1"/>
  <c r="U148" i="1"/>
  <c r="T148" i="1"/>
  <c r="V148" i="1" s="1"/>
  <c r="P148" i="1"/>
  <c r="AE148" i="1" s="1"/>
  <c r="AF148" i="1" s="1"/>
  <c r="L148" i="1"/>
  <c r="J148" i="1"/>
  <c r="I148" i="1"/>
  <c r="G148" i="1"/>
  <c r="F148" i="1"/>
  <c r="AM147" i="1"/>
  <c r="AL147" i="1"/>
  <c r="AI147" i="1"/>
  <c r="Y147" i="1" s="1"/>
  <c r="AE147" i="1"/>
  <c r="AF147" i="1" s="1"/>
  <c r="AC147" i="1"/>
  <c r="Z147" i="1"/>
  <c r="X147" i="1"/>
  <c r="U147" i="1"/>
  <c r="T147" i="1"/>
  <c r="V147" i="1" s="1"/>
  <c r="P147" i="1"/>
  <c r="L147" i="1"/>
  <c r="J147" i="1"/>
  <c r="I147" i="1"/>
  <c r="G147" i="1"/>
  <c r="F147" i="1"/>
  <c r="AM146" i="1"/>
  <c r="AL146" i="1"/>
  <c r="AI146" i="1"/>
  <c r="AC146" i="1"/>
  <c r="Z146" i="1"/>
  <c r="Y146" i="1"/>
  <c r="X146" i="1"/>
  <c r="V146" i="1"/>
  <c r="U146" i="1"/>
  <c r="T146" i="1"/>
  <c r="P146" i="1"/>
  <c r="AE146" i="1" s="1"/>
  <c r="AF146" i="1" s="1"/>
  <c r="L146" i="1"/>
  <c r="J146" i="1"/>
  <c r="I146" i="1"/>
  <c r="G146" i="1"/>
  <c r="F146" i="1"/>
  <c r="AM145" i="1"/>
  <c r="AL145" i="1"/>
  <c r="AI145" i="1"/>
  <c r="AC145" i="1"/>
  <c r="Z145" i="1"/>
  <c r="Y145" i="1"/>
  <c r="X145" i="1"/>
  <c r="V145" i="1"/>
  <c r="U145" i="1"/>
  <c r="T145" i="1"/>
  <c r="P145" i="1"/>
  <c r="AE145" i="1" s="1"/>
  <c r="L145" i="1"/>
  <c r="J145" i="1"/>
  <c r="I145" i="1"/>
  <c r="G145" i="1"/>
  <c r="AM144" i="1"/>
  <c r="AL144" i="1"/>
  <c r="AI144" i="1"/>
  <c r="Y144" i="1" s="1"/>
  <c r="AC144" i="1"/>
  <c r="Z144" i="1"/>
  <c r="X144" i="1"/>
  <c r="U144" i="1"/>
  <c r="T144" i="1"/>
  <c r="V144" i="1" s="1"/>
  <c r="P144" i="1"/>
  <c r="AE144" i="1" s="1"/>
  <c r="AF144" i="1" s="1"/>
  <c r="L144" i="1"/>
  <c r="J144" i="1"/>
  <c r="I144" i="1"/>
  <c r="G144" i="1"/>
  <c r="AM143" i="1"/>
  <c r="AL143" i="1"/>
  <c r="AI143" i="1"/>
  <c r="Y143" i="1" s="1"/>
  <c r="AC143" i="1"/>
  <c r="Z143" i="1"/>
  <c r="X143" i="1"/>
  <c r="V143" i="1"/>
  <c r="F143" i="1" s="1"/>
  <c r="U143" i="1"/>
  <c r="T143" i="1"/>
  <c r="P143" i="1"/>
  <c r="AE143" i="1" s="1"/>
  <c r="AF143" i="1" s="1"/>
  <c r="AG143" i="1" s="1"/>
  <c r="AH143" i="1" s="1"/>
  <c r="J143" i="1"/>
  <c r="I143" i="1"/>
  <c r="G143" i="1"/>
  <c r="AM142" i="1"/>
  <c r="AL142" i="1"/>
  <c r="AI142" i="1"/>
  <c r="AE142" i="1"/>
  <c r="AC142" i="1"/>
  <c r="Z142" i="1"/>
  <c r="X142" i="1"/>
  <c r="X159" i="1" s="1"/>
  <c r="U142" i="1"/>
  <c r="T142" i="1"/>
  <c r="P142" i="1"/>
  <c r="L142" i="1"/>
  <c r="J142" i="1"/>
  <c r="I142" i="1"/>
  <c r="G142" i="1"/>
  <c r="AP139" i="1"/>
  <c r="AO139" i="1"/>
  <c r="AB139" i="1"/>
  <c r="P215" i="1" s="1"/>
  <c r="S139" i="1"/>
  <c r="I215" i="1" s="1"/>
  <c r="R139" i="1"/>
  <c r="Q139" i="1"/>
  <c r="H215" i="1" s="1"/>
  <c r="O139" i="1"/>
  <c r="G215" i="1" s="1"/>
  <c r="AM138" i="1"/>
  <c r="AL138" i="1"/>
  <c r="AI138" i="1"/>
  <c r="AE138" i="1"/>
  <c r="AF138" i="1" s="1"/>
  <c r="AG138" i="1" s="1"/>
  <c r="AC138" i="1"/>
  <c r="AB138" i="1"/>
  <c r="Z138" i="1"/>
  <c r="F138" i="1" s="1"/>
  <c r="Y138" i="1"/>
  <c r="X138" i="1"/>
  <c r="V138" i="1"/>
  <c r="U138" i="1"/>
  <c r="T138" i="1"/>
  <c r="P138" i="1"/>
  <c r="G138" i="1"/>
  <c r="AM137" i="1"/>
  <c r="AL137" i="1"/>
  <c r="AI137" i="1"/>
  <c r="Y137" i="1" s="1"/>
  <c r="AC137" i="1"/>
  <c r="AB137" i="1"/>
  <c r="Z137" i="1"/>
  <c r="X137" i="1"/>
  <c r="U137" i="1"/>
  <c r="T137" i="1"/>
  <c r="V137" i="1" s="1"/>
  <c r="P137" i="1"/>
  <c r="AE137" i="1" s="1"/>
  <c r="AF137" i="1" s="1"/>
  <c r="J137" i="1"/>
  <c r="I137" i="1"/>
  <c r="G137" i="1"/>
  <c r="AM136" i="1"/>
  <c r="AL136" i="1"/>
  <c r="AI136" i="1"/>
  <c r="Y136" i="1" s="1"/>
  <c r="AC136" i="1"/>
  <c r="Z136" i="1"/>
  <c r="X136" i="1"/>
  <c r="V136" i="1"/>
  <c r="U136" i="1"/>
  <c r="T136" i="1"/>
  <c r="P136" i="1"/>
  <c r="AE136" i="1" s="1"/>
  <c r="AF136" i="1" s="1"/>
  <c r="AG136" i="1" s="1"/>
  <c r="AH136" i="1" s="1"/>
  <c r="L136" i="1"/>
  <c r="J136" i="1"/>
  <c r="I136" i="1"/>
  <c r="G136" i="1"/>
  <c r="AM135" i="1"/>
  <c r="AL135" i="1"/>
  <c r="AI135" i="1"/>
  <c r="AE135" i="1"/>
  <c r="AC135" i="1"/>
  <c r="Z135" i="1"/>
  <c r="X135" i="1"/>
  <c r="U135" i="1"/>
  <c r="V135" i="1" s="1"/>
  <c r="T135" i="1"/>
  <c r="P135" i="1"/>
  <c r="L135" i="1"/>
  <c r="J135" i="1"/>
  <c r="I135" i="1"/>
  <c r="G135" i="1"/>
  <c r="AM134" i="1"/>
  <c r="AL134" i="1"/>
  <c r="AI134" i="1"/>
  <c r="AE134" i="1"/>
  <c r="AC134" i="1"/>
  <c r="AA134" i="1"/>
  <c r="Y134" i="1"/>
  <c r="X134" i="1"/>
  <c r="V134" i="1"/>
  <c r="U134" i="1"/>
  <c r="T134" i="1"/>
  <c r="P134" i="1"/>
  <c r="J134" i="1"/>
  <c r="I134" i="1"/>
  <c r="G134" i="1"/>
  <c r="AM133" i="1"/>
  <c r="AL133" i="1"/>
  <c r="AI133" i="1"/>
  <c r="Y133" i="1" s="1"/>
  <c r="AC133" i="1"/>
  <c r="Z133" i="1"/>
  <c r="X133" i="1"/>
  <c r="U133" i="1"/>
  <c r="V133" i="1" s="1"/>
  <c r="T133" i="1"/>
  <c r="P133" i="1"/>
  <c r="AE133" i="1" s="1"/>
  <c r="J133" i="1"/>
  <c r="I133" i="1"/>
  <c r="G133" i="1"/>
  <c r="AM132" i="1"/>
  <c r="AL132" i="1"/>
  <c r="AI132" i="1"/>
  <c r="AG132" i="1"/>
  <c r="AH132" i="1" s="1"/>
  <c r="AE132" i="1"/>
  <c r="AC132" i="1"/>
  <c r="Z132" i="1"/>
  <c r="F132" i="1" s="1"/>
  <c r="Y132" i="1"/>
  <c r="X132" i="1"/>
  <c r="V132" i="1"/>
  <c r="AF132" i="1" s="1"/>
  <c r="U132" i="1"/>
  <c r="T132" i="1"/>
  <c r="P132" i="1"/>
  <c r="J132" i="1"/>
  <c r="I132" i="1"/>
  <c r="G132" i="1"/>
  <c r="AM131" i="1"/>
  <c r="AL131" i="1"/>
  <c r="AI131" i="1"/>
  <c r="Y131" i="1" s="1"/>
  <c r="AE131" i="1"/>
  <c r="AC131" i="1"/>
  <c r="Z131" i="1"/>
  <c r="X131" i="1"/>
  <c r="U131" i="1"/>
  <c r="T131" i="1"/>
  <c r="P131" i="1"/>
  <c r="J131" i="1"/>
  <c r="I131" i="1"/>
  <c r="G131" i="1"/>
  <c r="AM130" i="1"/>
  <c r="AL130" i="1"/>
  <c r="AI130" i="1"/>
  <c r="AC130" i="1"/>
  <c r="Z130" i="1"/>
  <c r="F130" i="1" s="1"/>
  <c r="Y130" i="1"/>
  <c r="X130" i="1"/>
  <c r="U130" i="1"/>
  <c r="T130" i="1"/>
  <c r="V130" i="1" s="1"/>
  <c r="P130" i="1"/>
  <c r="AE130" i="1" s="1"/>
  <c r="AF130" i="1" s="1"/>
  <c r="J130" i="1"/>
  <c r="I130" i="1"/>
  <c r="G130" i="1"/>
  <c r="AM129" i="1"/>
  <c r="AL129" i="1"/>
  <c r="AI129" i="1"/>
  <c r="AE129" i="1"/>
  <c r="AC129" i="1"/>
  <c r="Z129" i="1"/>
  <c r="Y129" i="1"/>
  <c r="X129" i="1"/>
  <c r="V129" i="1"/>
  <c r="U129" i="1"/>
  <c r="T129" i="1"/>
  <c r="P129" i="1"/>
  <c r="L129" i="1"/>
  <c r="J129" i="1"/>
  <c r="I129" i="1"/>
  <c r="G129" i="1"/>
  <c r="AM128" i="1"/>
  <c r="AL128" i="1"/>
  <c r="AI128" i="1"/>
  <c r="Y128" i="1" s="1"/>
  <c r="AE128" i="1"/>
  <c r="AC128" i="1"/>
  <c r="Z128" i="1"/>
  <c r="X128" i="1"/>
  <c r="U128" i="1"/>
  <c r="T128" i="1"/>
  <c r="V128" i="1" s="1"/>
  <c r="P128" i="1"/>
  <c r="L128" i="1"/>
  <c r="J128" i="1"/>
  <c r="I128" i="1"/>
  <c r="G128" i="1"/>
  <c r="AM127" i="1"/>
  <c r="AL127" i="1"/>
  <c r="AI127" i="1"/>
  <c r="AC127" i="1"/>
  <c r="Z127" i="1"/>
  <c r="X127" i="1"/>
  <c r="U127" i="1"/>
  <c r="T127" i="1"/>
  <c r="V127" i="1" s="1"/>
  <c r="P127" i="1"/>
  <c r="L127" i="1"/>
  <c r="J127" i="1"/>
  <c r="I127" i="1"/>
  <c r="G127" i="1"/>
  <c r="AM126" i="1"/>
  <c r="AL126" i="1"/>
  <c r="AI126" i="1"/>
  <c r="Y126" i="1" s="1"/>
  <c r="AC126" i="1"/>
  <c r="Z126" i="1"/>
  <c r="X126" i="1"/>
  <c r="U126" i="1"/>
  <c r="T126" i="1"/>
  <c r="V126" i="1" s="1"/>
  <c r="P126" i="1"/>
  <c r="AE126" i="1" s="1"/>
  <c r="L126" i="1"/>
  <c r="J126" i="1"/>
  <c r="I126" i="1"/>
  <c r="G126" i="1"/>
  <c r="AM125" i="1"/>
  <c r="AL125" i="1"/>
  <c r="AI125" i="1"/>
  <c r="AC125" i="1"/>
  <c r="Z125" i="1"/>
  <c r="F125" i="1" s="1"/>
  <c r="X125" i="1"/>
  <c r="V125" i="1"/>
  <c r="AG125" i="1" s="1"/>
  <c r="U125" i="1"/>
  <c r="T125" i="1"/>
  <c r="P125" i="1"/>
  <c r="AE125" i="1" s="1"/>
  <c r="AF125" i="1" s="1"/>
  <c r="L125" i="1"/>
  <c r="J125" i="1"/>
  <c r="I125" i="1"/>
  <c r="G125" i="1"/>
  <c r="AM124" i="1"/>
  <c r="AL124" i="1"/>
  <c r="AI124" i="1"/>
  <c r="Y124" i="1" s="1"/>
  <c r="AG124" i="1"/>
  <c r="AH124" i="1" s="1"/>
  <c r="AC124" i="1"/>
  <c r="Z124" i="1"/>
  <c r="F124" i="1" s="1"/>
  <c r="X124" i="1"/>
  <c r="U124" i="1"/>
  <c r="V124" i="1" s="1"/>
  <c r="T124" i="1"/>
  <c r="P124" i="1"/>
  <c r="AE124" i="1" s="1"/>
  <c r="AF124" i="1" s="1"/>
  <c r="L124" i="1"/>
  <c r="J124" i="1"/>
  <c r="I124" i="1"/>
  <c r="G124" i="1"/>
  <c r="AM123" i="1"/>
  <c r="AL123" i="1"/>
  <c r="AI123" i="1"/>
  <c r="Y123" i="1" s="1"/>
  <c r="AC123" i="1"/>
  <c r="Z123" i="1"/>
  <c r="X123" i="1"/>
  <c r="U123" i="1"/>
  <c r="V123" i="1" s="1"/>
  <c r="T123" i="1"/>
  <c r="P123" i="1"/>
  <c r="AE123" i="1" s="1"/>
  <c r="J123" i="1"/>
  <c r="I123" i="1"/>
  <c r="G123" i="1"/>
  <c r="AM122" i="1"/>
  <c r="AL122" i="1"/>
  <c r="AI122" i="1"/>
  <c r="AE122" i="1"/>
  <c r="AC122" i="1"/>
  <c r="AC139" i="1" s="1"/>
  <c r="Z122" i="1"/>
  <c r="Y122" i="1"/>
  <c r="X122" i="1"/>
  <c r="X139" i="1" s="1"/>
  <c r="V122" i="1"/>
  <c r="U122" i="1"/>
  <c r="U139" i="1" s="1"/>
  <c r="K215" i="1" s="1"/>
  <c r="T122" i="1"/>
  <c r="T139" i="1" s="1"/>
  <c r="J215" i="1" s="1"/>
  <c r="P122" i="1"/>
  <c r="P139" i="1" s="1"/>
  <c r="L122" i="1"/>
  <c r="J122" i="1"/>
  <c r="I122" i="1"/>
  <c r="G122" i="1"/>
  <c r="AP119" i="1"/>
  <c r="AO119" i="1"/>
  <c r="S119" i="1"/>
  <c r="I214" i="1" s="1"/>
  <c r="R119" i="1"/>
  <c r="Q119" i="1"/>
  <c r="H214" i="1" s="1"/>
  <c r="O119" i="1"/>
  <c r="G214" i="1" s="1"/>
  <c r="AM118" i="1"/>
  <c r="AL118" i="1"/>
  <c r="AI118" i="1"/>
  <c r="Y118" i="1" s="1"/>
  <c r="AG118" i="1"/>
  <c r="AC118" i="1"/>
  <c r="AB118" i="1"/>
  <c r="Z118" i="1"/>
  <c r="F118" i="1" s="1"/>
  <c r="X118" i="1"/>
  <c r="U118" i="1"/>
  <c r="T118" i="1"/>
  <c r="V118" i="1" s="1"/>
  <c r="P118" i="1"/>
  <c r="AE118" i="1" s="1"/>
  <c r="AF118" i="1" s="1"/>
  <c r="J118" i="1"/>
  <c r="I118" i="1"/>
  <c r="G118" i="1"/>
  <c r="AM117" i="1"/>
  <c r="AL117" i="1"/>
  <c r="AI117" i="1"/>
  <c r="AC117" i="1"/>
  <c r="AB117" i="1"/>
  <c r="AB119" i="1" s="1"/>
  <c r="P214" i="1" s="1"/>
  <c r="Z117" i="1"/>
  <c r="X117" i="1"/>
  <c r="U117" i="1"/>
  <c r="T117" i="1"/>
  <c r="V117" i="1" s="1"/>
  <c r="P117" i="1"/>
  <c r="AE117" i="1" s="1"/>
  <c r="J117" i="1"/>
  <c r="I117" i="1"/>
  <c r="G117" i="1"/>
  <c r="AM116" i="1"/>
  <c r="AL116" i="1"/>
  <c r="AI116" i="1"/>
  <c r="AC116" i="1"/>
  <c r="Z116" i="1"/>
  <c r="X116" i="1"/>
  <c r="V116" i="1"/>
  <c r="U116" i="1"/>
  <c r="T116" i="1"/>
  <c r="P116" i="1"/>
  <c r="AE116" i="1" s="1"/>
  <c r="AF116" i="1" s="1"/>
  <c r="L116" i="1"/>
  <c r="J116" i="1"/>
  <c r="I116" i="1"/>
  <c r="G116" i="1"/>
  <c r="AM115" i="1"/>
  <c r="AL115" i="1"/>
  <c r="AI115" i="1"/>
  <c r="Y115" i="1" s="1"/>
  <c r="AG115" i="1"/>
  <c r="AH115" i="1" s="1"/>
  <c r="AC115" i="1"/>
  <c r="Z115" i="1"/>
  <c r="F115" i="1" s="1"/>
  <c r="X115" i="1"/>
  <c r="V115" i="1"/>
  <c r="U115" i="1"/>
  <c r="T115" i="1"/>
  <c r="P115" i="1"/>
  <c r="AE115" i="1" s="1"/>
  <c r="AF115" i="1" s="1"/>
  <c r="L115" i="1"/>
  <c r="J115" i="1"/>
  <c r="I115" i="1"/>
  <c r="G115" i="1"/>
  <c r="AM114" i="1"/>
  <c r="AL114" i="1"/>
  <c r="AI114" i="1"/>
  <c r="AC114" i="1"/>
  <c r="AA114" i="1"/>
  <c r="AA119" i="1" s="1"/>
  <c r="Z114" i="1"/>
  <c r="X114" i="1"/>
  <c r="U114" i="1"/>
  <c r="T114" i="1"/>
  <c r="V114" i="1" s="1"/>
  <c r="P114" i="1"/>
  <c r="AE114" i="1" s="1"/>
  <c r="J114" i="1"/>
  <c r="I114" i="1"/>
  <c r="G114" i="1"/>
  <c r="AM113" i="1"/>
  <c r="AL113" i="1"/>
  <c r="AI113" i="1"/>
  <c r="AC113" i="1"/>
  <c r="Z113" i="1"/>
  <c r="F113" i="1" s="1"/>
  <c r="X113" i="1"/>
  <c r="V113" i="1"/>
  <c r="U113" i="1"/>
  <c r="T113" i="1"/>
  <c r="P113" i="1"/>
  <c r="J113" i="1"/>
  <c r="I113" i="1"/>
  <c r="G113" i="1"/>
  <c r="AM112" i="1"/>
  <c r="AL112" i="1"/>
  <c r="AI112" i="1"/>
  <c r="Y112" i="1" s="1"/>
  <c r="AC112" i="1"/>
  <c r="Z112" i="1"/>
  <c r="X112" i="1"/>
  <c r="U112" i="1"/>
  <c r="V112" i="1" s="1"/>
  <c r="T112" i="1"/>
  <c r="P112" i="1"/>
  <c r="AE112" i="1" s="1"/>
  <c r="AF112" i="1" s="1"/>
  <c r="J112" i="1"/>
  <c r="I112" i="1"/>
  <c r="G112" i="1"/>
  <c r="AM111" i="1"/>
  <c r="AL111" i="1"/>
  <c r="AI111" i="1"/>
  <c r="Y111" i="1" s="1"/>
  <c r="AE111" i="1"/>
  <c r="AF111" i="1" s="1"/>
  <c r="AG111" i="1" s="1"/>
  <c r="AC111" i="1"/>
  <c r="Z111" i="1"/>
  <c r="X111" i="1"/>
  <c r="V111" i="1"/>
  <c r="U111" i="1"/>
  <c r="T111" i="1"/>
  <c r="P111" i="1"/>
  <c r="J111" i="1"/>
  <c r="I111" i="1"/>
  <c r="G111" i="1"/>
  <c r="F111" i="1"/>
  <c r="AM110" i="1"/>
  <c r="AL110" i="1"/>
  <c r="AI110" i="1"/>
  <c r="AC110" i="1"/>
  <c r="Z110" i="1"/>
  <c r="X110" i="1"/>
  <c r="U110" i="1"/>
  <c r="T110" i="1"/>
  <c r="V110" i="1" s="1"/>
  <c r="P110" i="1"/>
  <c r="AE110" i="1" s="1"/>
  <c r="AF110" i="1" s="1"/>
  <c r="J110" i="1"/>
  <c r="I110" i="1"/>
  <c r="G110" i="1"/>
  <c r="AM109" i="1"/>
  <c r="AL109" i="1"/>
  <c r="AI109" i="1"/>
  <c r="Y109" i="1" s="1"/>
  <c r="AE109" i="1"/>
  <c r="AC109" i="1"/>
  <c r="Z109" i="1"/>
  <c r="X109" i="1"/>
  <c r="U109" i="1"/>
  <c r="T109" i="1"/>
  <c r="P109" i="1"/>
  <c r="L109" i="1"/>
  <c r="J109" i="1"/>
  <c r="I109" i="1"/>
  <c r="G109" i="1"/>
  <c r="AM108" i="1"/>
  <c r="AL108" i="1"/>
  <c r="AI108" i="1"/>
  <c r="AE108" i="1"/>
  <c r="AF108" i="1" s="1"/>
  <c r="AC108" i="1"/>
  <c r="Z108" i="1"/>
  <c r="F108" i="1" s="1"/>
  <c r="X108" i="1"/>
  <c r="U108" i="1"/>
  <c r="T108" i="1"/>
  <c r="V108" i="1" s="1"/>
  <c r="P108" i="1"/>
  <c r="L108" i="1"/>
  <c r="J108" i="1"/>
  <c r="I108" i="1"/>
  <c r="G108" i="1"/>
  <c r="AM107" i="1"/>
  <c r="AL107" i="1"/>
  <c r="AI107" i="1"/>
  <c r="Y107" i="1" s="1"/>
  <c r="AE107" i="1"/>
  <c r="AC107" i="1"/>
  <c r="Z107" i="1"/>
  <c r="X107" i="1"/>
  <c r="U107" i="1"/>
  <c r="T107" i="1"/>
  <c r="P107" i="1"/>
  <c r="L107" i="1"/>
  <c r="J107" i="1"/>
  <c r="I107" i="1"/>
  <c r="G107" i="1"/>
  <c r="AM106" i="1"/>
  <c r="AL106" i="1"/>
  <c r="AI106" i="1"/>
  <c r="Y106" i="1" s="1"/>
  <c r="AE106" i="1"/>
  <c r="AF106" i="1" s="1"/>
  <c r="AC106" i="1"/>
  <c r="Z106" i="1"/>
  <c r="F106" i="1" s="1"/>
  <c r="X106" i="1"/>
  <c r="V106" i="1"/>
  <c r="U106" i="1"/>
  <c r="T106" i="1"/>
  <c r="P106" i="1"/>
  <c r="L106" i="1"/>
  <c r="J106" i="1"/>
  <c r="I106" i="1"/>
  <c r="G106" i="1"/>
  <c r="AM105" i="1"/>
  <c r="AL105" i="1"/>
  <c r="AI105" i="1"/>
  <c r="AF105" i="1"/>
  <c r="AE105" i="1"/>
  <c r="AC105" i="1"/>
  <c r="Z105" i="1"/>
  <c r="X105" i="1"/>
  <c r="V105" i="1"/>
  <c r="U105" i="1"/>
  <c r="T105" i="1"/>
  <c r="P105" i="1"/>
  <c r="L105" i="1"/>
  <c r="J105" i="1"/>
  <c r="I105" i="1"/>
  <c r="G105" i="1"/>
  <c r="AM104" i="1"/>
  <c r="AL104" i="1"/>
  <c r="AI104" i="1"/>
  <c r="AC104" i="1"/>
  <c r="Z104" i="1"/>
  <c r="X104" i="1"/>
  <c r="U104" i="1"/>
  <c r="T104" i="1"/>
  <c r="V104" i="1" s="1"/>
  <c r="P104" i="1"/>
  <c r="AE104" i="1" s="1"/>
  <c r="L104" i="1"/>
  <c r="J104" i="1"/>
  <c r="I104" i="1"/>
  <c r="G104" i="1"/>
  <c r="AM103" i="1"/>
  <c r="AL103" i="1"/>
  <c r="AI103" i="1"/>
  <c r="Y103" i="1" s="1"/>
  <c r="AE103" i="1"/>
  <c r="AC103" i="1"/>
  <c r="Z103" i="1"/>
  <c r="X103" i="1"/>
  <c r="U103" i="1"/>
  <c r="T103" i="1"/>
  <c r="V103" i="1" s="1"/>
  <c r="P103" i="1"/>
  <c r="J103" i="1"/>
  <c r="I103" i="1"/>
  <c r="G103" i="1"/>
  <c r="AM102" i="1"/>
  <c r="AL102" i="1"/>
  <c r="AI102" i="1"/>
  <c r="AC102" i="1"/>
  <c r="AC119" i="1" s="1"/>
  <c r="Z102" i="1"/>
  <c r="X102" i="1"/>
  <c r="U102" i="1"/>
  <c r="T102" i="1"/>
  <c r="P102" i="1"/>
  <c r="L102" i="1"/>
  <c r="J102" i="1"/>
  <c r="I102" i="1"/>
  <c r="G102" i="1"/>
  <c r="AP99" i="1"/>
  <c r="AO99" i="1"/>
  <c r="AB99" i="1"/>
  <c r="P213" i="1" s="1"/>
  <c r="AA99" i="1"/>
  <c r="S99" i="1"/>
  <c r="I213" i="1" s="1"/>
  <c r="R99" i="1"/>
  <c r="Q99" i="1"/>
  <c r="H213" i="1" s="1"/>
  <c r="O99" i="1"/>
  <c r="G213" i="1" s="1"/>
  <c r="AM98" i="1"/>
  <c r="AL98" i="1"/>
  <c r="AI98" i="1"/>
  <c r="AG98" i="1"/>
  <c r="AC98" i="1"/>
  <c r="Z98" i="1"/>
  <c r="Y98" i="1"/>
  <c r="X98" i="1"/>
  <c r="V98" i="1"/>
  <c r="U98" i="1"/>
  <c r="T98" i="1"/>
  <c r="P98" i="1"/>
  <c r="AE98" i="1" s="1"/>
  <c r="AF98" i="1" s="1"/>
  <c r="J98" i="1"/>
  <c r="I98" i="1"/>
  <c r="G98" i="1"/>
  <c r="AM97" i="1"/>
  <c r="AL97" i="1"/>
  <c r="AI97" i="1"/>
  <c r="AC97" i="1"/>
  <c r="Z97" i="1"/>
  <c r="F97" i="1" s="1"/>
  <c r="X97" i="1"/>
  <c r="U97" i="1"/>
  <c r="T97" i="1"/>
  <c r="V97" i="1" s="1"/>
  <c r="P97" i="1"/>
  <c r="AE97" i="1" s="1"/>
  <c r="J97" i="1"/>
  <c r="I97" i="1"/>
  <c r="G97" i="1"/>
  <c r="AM96" i="1"/>
  <c r="AL96" i="1"/>
  <c r="AI96" i="1"/>
  <c r="Y96" i="1" s="1"/>
  <c r="AC96" i="1"/>
  <c r="Z96" i="1"/>
  <c r="X96" i="1"/>
  <c r="U96" i="1"/>
  <c r="T96" i="1"/>
  <c r="V96" i="1" s="1"/>
  <c r="P96" i="1"/>
  <c r="AE96" i="1" s="1"/>
  <c r="L96" i="1"/>
  <c r="J96" i="1"/>
  <c r="I96" i="1"/>
  <c r="G96" i="1"/>
  <c r="AM95" i="1"/>
  <c r="AL95" i="1"/>
  <c r="AI95" i="1"/>
  <c r="Y95" i="1" s="1"/>
  <c r="AE95" i="1"/>
  <c r="AC95" i="1"/>
  <c r="Z95" i="1"/>
  <c r="X95" i="1"/>
  <c r="V95" i="1"/>
  <c r="U95" i="1"/>
  <c r="T95" i="1"/>
  <c r="P95" i="1"/>
  <c r="L95" i="1"/>
  <c r="J95" i="1"/>
  <c r="I95" i="1"/>
  <c r="G95" i="1"/>
  <c r="AM94" i="1"/>
  <c r="AL94" i="1"/>
  <c r="AI94" i="1"/>
  <c r="Y94" i="1" s="1"/>
  <c r="AE94" i="1"/>
  <c r="AC94" i="1"/>
  <c r="AA94" i="1"/>
  <c r="Z94" i="1" s="1"/>
  <c r="X94" i="1"/>
  <c r="V94" i="1"/>
  <c r="U94" i="1"/>
  <c r="T94" i="1"/>
  <c r="P94" i="1"/>
  <c r="J94" i="1"/>
  <c r="I94" i="1"/>
  <c r="G94" i="1"/>
  <c r="AM93" i="1"/>
  <c r="AL93" i="1"/>
  <c r="AI93" i="1"/>
  <c r="Y93" i="1" s="1"/>
  <c r="AE93" i="1"/>
  <c r="AC93" i="1"/>
  <c r="Z93" i="1"/>
  <c r="X93" i="1"/>
  <c r="U93" i="1"/>
  <c r="T93" i="1"/>
  <c r="V93" i="1" s="1"/>
  <c r="F93" i="1" s="1"/>
  <c r="P93" i="1"/>
  <c r="J93" i="1"/>
  <c r="I93" i="1"/>
  <c r="G93" i="1"/>
  <c r="AM92" i="1"/>
  <c r="AL92" i="1"/>
  <c r="AI92" i="1"/>
  <c r="Y92" i="1" s="1"/>
  <c r="AC92" i="1"/>
  <c r="Z92" i="1"/>
  <c r="F92" i="1" s="1"/>
  <c r="X92" i="1"/>
  <c r="U92" i="1"/>
  <c r="T92" i="1"/>
  <c r="V92" i="1" s="1"/>
  <c r="P92" i="1"/>
  <c r="AE92" i="1" s="1"/>
  <c r="J92" i="1"/>
  <c r="I92" i="1"/>
  <c r="G92" i="1"/>
  <c r="AM91" i="1"/>
  <c r="AL91" i="1"/>
  <c r="AI91" i="1"/>
  <c r="AF91" i="1"/>
  <c r="AE91" i="1"/>
  <c r="AC91" i="1"/>
  <c r="Z91" i="1"/>
  <c r="F91" i="1" s="1"/>
  <c r="Y91" i="1"/>
  <c r="X91" i="1"/>
  <c r="U91" i="1"/>
  <c r="V91" i="1" s="1"/>
  <c r="T91" i="1"/>
  <c r="P91" i="1"/>
  <c r="J91" i="1"/>
  <c r="I91" i="1"/>
  <c r="G91" i="1"/>
  <c r="AM90" i="1"/>
  <c r="AL90" i="1"/>
  <c r="AI90" i="1"/>
  <c r="Y90" i="1" s="1"/>
  <c r="AC90" i="1"/>
  <c r="Z90" i="1"/>
  <c r="X90" i="1"/>
  <c r="U90" i="1"/>
  <c r="V90" i="1" s="1"/>
  <c r="T90" i="1"/>
  <c r="P90" i="1"/>
  <c r="AE90" i="1" s="1"/>
  <c r="AF90" i="1" s="1"/>
  <c r="J90" i="1"/>
  <c r="I90" i="1"/>
  <c r="G90" i="1"/>
  <c r="AM89" i="1"/>
  <c r="AL89" i="1"/>
  <c r="AI89" i="1"/>
  <c r="Y89" i="1" s="1"/>
  <c r="AC89" i="1"/>
  <c r="Z89" i="1"/>
  <c r="X89" i="1"/>
  <c r="U89" i="1"/>
  <c r="T89" i="1"/>
  <c r="V89" i="1" s="1"/>
  <c r="P89" i="1"/>
  <c r="AE89" i="1" s="1"/>
  <c r="L89" i="1"/>
  <c r="J89" i="1"/>
  <c r="I89" i="1"/>
  <c r="G89" i="1"/>
  <c r="AM88" i="1"/>
  <c r="AL88" i="1"/>
  <c r="AI88" i="1"/>
  <c r="Y88" i="1" s="1"/>
  <c r="AE88" i="1"/>
  <c r="AC88" i="1"/>
  <c r="Z88" i="1"/>
  <c r="X88" i="1"/>
  <c r="U88" i="1"/>
  <c r="T88" i="1"/>
  <c r="V88" i="1" s="1"/>
  <c r="P88" i="1"/>
  <c r="L88" i="1"/>
  <c r="J88" i="1"/>
  <c r="I88" i="1"/>
  <c r="G88" i="1"/>
  <c r="AM87" i="1"/>
  <c r="AL87" i="1"/>
  <c r="AI87" i="1"/>
  <c r="AC87" i="1"/>
  <c r="Z87" i="1"/>
  <c r="X87" i="1"/>
  <c r="U87" i="1"/>
  <c r="T87" i="1"/>
  <c r="V87" i="1" s="1"/>
  <c r="P87" i="1"/>
  <c r="AE87" i="1" s="1"/>
  <c r="AF87" i="1" s="1"/>
  <c r="L87" i="1"/>
  <c r="J87" i="1"/>
  <c r="I87" i="1"/>
  <c r="G87" i="1"/>
  <c r="F87" i="1"/>
  <c r="AM86" i="1"/>
  <c r="AL86" i="1"/>
  <c r="AI86" i="1"/>
  <c r="Y86" i="1" s="1"/>
  <c r="AE86" i="1"/>
  <c r="AF86" i="1" s="1"/>
  <c r="AC86" i="1"/>
  <c r="Z86" i="1"/>
  <c r="F86" i="1" s="1"/>
  <c r="X86" i="1"/>
  <c r="V86" i="1"/>
  <c r="U86" i="1"/>
  <c r="T86" i="1"/>
  <c r="P86" i="1"/>
  <c r="L86" i="1"/>
  <c r="J86" i="1"/>
  <c r="I86" i="1"/>
  <c r="G86" i="1"/>
  <c r="AM85" i="1"/>
  <c r="AL85" i="1"/>
  <c r="AI85" i="1"/>
  <c r="AF85" i="1"/>
  <c r="AE85" i="1"/>
  <c r="AC85" i="1"/>
  <c r="Z85" i="1"/>
  <c r="X85" i="1"/>
  <c r="V85" i="1"/>
  <c r="U85" i="1"/>
  <c r="T85" i="1"/>
  <c r="P85" i="1"/>
  <c r="L85" i="1"/>
  <c r="J85" i="1"/>
  <c r="I85" i="1"/>
  <c r="G85" i="1"/>
  <c r="AM84" i="1"/>
  <c r="AL84" i="1"/>
  <c r="AI84" i="1"/>
  <c r="Y84" i="1" s="1"/>
  <c r="AC84" i="1"/>
  <c r="Z84" i="1"/>
  <c r="F84" i="1" s="1"/>
  <c r="X84" i="1"/>
  <c r="U84" i="1"/>
  <c r="T84" i="1"/>
  <c r="V84" i="1" s="1"/>
  <c r="P84" i="1"/>
  <c r="AE84" i="1" s="1"/>
  <c r="L84" i="1"/>
  <c r="J84" i="1"/>
  <c r="I84" i="1"/>
  <c r="G84" i="1"/>
  <c r="AM83" i="1"/>
  <c r="AL83" i="1"/>
  <c r="AI83" i="1"/>
  <c r="Y83" i="1" s="1"/>
  <c r="AC83" i="1"/>
  <c r="Z83" i="1"/>
  <c r="F83" i="1" s="1"/>
  <c r="X83" i="1"/>
  <c r="X99" i="1" s="1"/>
  <c r="U83" i="1"/>
  <c r="T83" i="1"/>
  <c r="V83" i="1" s="1"/>
  <c r="P83" i="1"/>
  <c r="AE83" i="1" s="1"/>
  <c r="J83" i="1"/>
  <c r="I83" i="1"/>
  <c r="G83" i="1"/>
  <c r="AM82" i="1"/>
  <c r="AL82" i="1"/>
  <c r="AI82" i="1"/>
  <c r="Y82" i="1" s="1"/>
  <c r="AF82" i="1"/>
  <c r="AG82" i="1" s="1"/>
  <c r="AE82" i="1"/>
  <c r="AC82" i="1"/>
  <c r="Z82" i="1"/>
  <c r="X82" i="1"/>
  <c r="V82" i="1"/>
  <c r="U82" i="1"/>
  <c r="T82" i="1"/>
  <c r="P82" i="1"/>
  <c r="L82" i="1"/>
  <c r="J82" i="1"/>
  <c r="I82" i="1"/>
  <c r="G82" i="1"/>
  <c r="AP79" i="1"/>
  <c r="AO79" i="1"/>
  <c r="AB79" i="1"/>
  <c r="P212" i="1" s="1"/>
  <c r="S79" i="1"/>
  <c r="I212" i="1" s="1"/>
  <c r="R79" i="1"/>
  <c r="Q79" i="1"/>
  <c r="H212" i="1" s="1"/>
  <c r="O79" i="1"/>
  <c r="G212" i="1" s="1"/>
  <c r="AM78" i="1"/>
  <c r="AL78" i="1"/>
  <c r="AI78" i="1"/>
  <c r="Y78" i="1" s="1"/>
  <c r="AF78" i="1"/>
  <c r="AE78" i="1"/>
  <c r="AC78" i="1"/>
  <c r="Z78" i="1"/>
  <c r="X78" i="1"/>
  <c r="V78" i="1"/>
  <c r="U78" i="1"/>
  <c r="T78" i="1"/>
  <c r="P78" i="1"/>
  <c r="J78" i="1"/>
  <c r="I78" i="1"/>
  <c r="G78" i="1"/>
  <c r="AM77" i="1"/>
  <c r="AL77" i="1"/>
  <c r="AI77" i="1"/>
  <c r="Y77" i="1" s="1"/>
  <c r="AE77" i="1"/>
  <c r="AF77" i="1" s="1"/>
  <c r="AC77" i="1"/>
  <c r="Z77" i="1"/>
  <c r="X77" i="1"/>
  <c r="U77" i="1"/>
  <c r="V77" i="1" s="1"/>
  <c r="F77" i="1" s="1"/>
  <c r="T77" i="1"/>
  <c r="P77" i="1"/>
  <c r="J77" i="1"/>
  <c r="I77" i="1"/>
  <c r="G77" i="1"/>
  <c r="AM76" i="1"/>
  <c r="AL76" i="1"/>
  <c r="AI76" i="1"/>
  <c r="Y76" i="1" s="1"/>
  <c r="AE76" i="1"/>
  <c r="AF76" i="1" s="1"/>
  <c r="AC76" i="1"/>
  <c r="Z76" i="1"/>
  <c r="X76" i="1"/>
  <c r="U76" i="1"/>
  <c r="T76" i="1"/>
  <c r="V76" i="1" s="1"/>
  <c r="P76" i="1"/>
  <c r="L76" i="1"/>
  <c r="J76" i="1"/>
  <c r="I76" i="1"/>
  <c r="G76" i="1"/>
  <c r="F76" i="1"/>
  <c r="AM75" i="1"/>
  <c r="AL75" i="1"/>
  <c r="AI75" i="1"/>
  <c r="Y75" i="1" s="1"/>
  <c r="AE75" i="1"/>
  <c r="AF75" i="1" s="1"/>
  <c r="AC75" i="1"/>
  <c r="Z75" i="1"/>
  <c r="X75" i="1"/>
  <c r="U75" i="1"/>
  <c r="T75" i="1"/>
  <c r="V75" i="1" s="1"/>
  <c r="P75" i="1"/>
  <c r="L75" i="1"/>
  <c r="J75" i="1"/>
  <c r="I75" i="1"/>
  <c r="G75" i="1"/>
  <c r="AM74" i="1"/>
  <c r="AL74" i="1"/>
  <c r="AI74" i="1"/>
  <c r="Y74" i="1" s="1"/>
  <c r="AE74" i="1"/>
  <c r="AC74" i="1"/>
  <c r="AA74" i="1"/>
  <c r="Z74" i="1" s="1"/>
  <c r="F74" i="1" s="1"/>
  <c r="X74" i="1"/>
  <c r="U74" i="1"/>
  <c r="T74" i="1"/>
  <c r="V74" i="1" s="1"/>
  <c r="P74" i="1"/>
  <c r="J74" i="1"/>
  <c r="I74" i="1"/>
  <c r="G74" i="1"/>
  <c r="AM73" i="1"/>
  <c r="AL73" i="1"/>
  <c r="AI73" i="1"/>
  <c r="Y73" i="1" s="1"/>
  <c r="AE73" i="1"/>
  <c r="AC73" i="1"/>
  <c r="Z73" i="1"/>
  <c r="X73" i="1"/>
  <c r="U73" i="1"/>
  <c r="T73" i="1"/>
  <c r="V73" i="1" s="1"/>
  <c r="P73" i="1"/>
  <c r="J73" i="1"/>
  <c r="I73" i="1"/>
  <c r="G73" i="1"/>
  <c r="AM72" i="1"/>
  <c r="AL72" i="1"/>
  <c r="AI72" i="1"/>
  <c r="Y72" i="1" s="1"/>
  <c r="AC72" i="1"/>
  <c r="Z72" i="1"/>
  <c r="X72" i="1"/>
  <c r="U72" i="1"/>
  <c r="V72" i="1" s="1"/>
  <c r="T72" i="1"/>
  <c r="P72" i="1"/>
  <c r="AE72" i="1" s="1"/>
  <c r="J72" i="1"/>
  <c r="I72" i="1"/>
  <c r="G72" i="1"/>
  <c r="AM71" i="1"/>
  <c r="AL71" i="1"/>
  <c r="AI71" i="1"/>
  <c r="AC71" i="1"/>
  <c r="AA71" i="1"/>
  <c r="Z71" i="1"/>
  <c r="X71" i="1"/>
  <c r="U71" i="1"/>
  <c r="V71" i="1" s="1"/>
  <c r="T71" i="1"/>
  <c r="P71" i="1"/>
  <c r="J71" i="1"/>
  <c r="I71" i="1"/>
  <c r="G71" i="1"/>
  <c r="AM70" i="1"/>
  <c r="AL70" i="1"/>
  <c r="AI70" i="1"/>
  <c r="AE70" i="1"/>
  <c r="AF70" i="1" s="1"/>
  <c r="AC70" i="1"/>
  <c r="Z70" i="1"/>
  <c r="F70" i="1" s="1"/>
  <c r="Y70" i="1"/>
  <c r="X70" i="1"/>
  <c r="U70" i="1"/>
  <c r="T70" i="1"/>
  <c r="V70" i="1" s="1"/>
  <c r="P70" i="1"/>
  <c r="J70" i="1"/>
  <c r="I70" i="1"/>
  <c r="G70" i="1"/>
  <c r="AM69" i="1"/>
  <c r="AL69" i="1"/>
  <c r="AI69" i="1"/>
  <c r="AC69" i="1"/>
  <c r="Z69" i="1"/>
  <c r="Y69" i="1"/>
  <c r="X69" i="1"/>
  <c r="V69" i="1"/>
  <c r="U69" i="1"/>
  <c r="T69" i="1"/>
  <c r="P69" i="1"/>
  <c r="AE69" i="1" s="1"/>
  <c r="L69" i="1"/>
  <c r="J69" i="1"/>
  <c r="I69" i="1"/>
  <c r="G69" i="1"/>
  <c r="AM68" i="1"/>
  <c r="AL68" i="1"/>
  <c r="AI68" i="1"/>
  <c r="AC68" i="1"/>
  <c r="Z68" i="1"/>
  <c r="Y68" i="1"/>
  <c r="X68" i="1"/>
  <c r="V68" i="1"/>
  <c r="U68" i="1"/>
  <c r="T68" i="1"/>
  <c r="P68" i="1"/>
  <c r="AE68" i="1" s="1"/>
  <c r="AF68" i="1" s="1"/>
  <c r="AG68" i="1" s="1"/>
  <c r="L68" i="1"/>
  <c r="J68" i="1"/>
  <c r="I68" i="1"/>
  <c r="G68" i="1"/>
  <c r="AM67" i="1"/>
  <c r="AL67" i="1"/>
  <c r="AI67" i="1"/>
  <c r="AC67" i="1"/>
  <c r="Z67" i="1"/>
  <c r="Y67" i="1"/>
  <c r="X67" i="1"/>
  <c r="V67" i="1"/>
  <c r="U67" i="1"/>
  <c r="T67" i="1"/>
  <c r="P67" i="1"/>
  <c r="AE67" i="1" s="1"/>
  <c r="L67" i="1"/>
  <c r="J67" i="1"/>
  <c r="I67" i="1"/>
  <c r="G67" i="1"/>
  <c r="AM66" i="1"/>
  <c r="AL66" i="1"/>
  <c r="AI66" i="1"/>
  <c r="AC66" i="1"/>
  <c r="Z66" i="1"/>
  <c r="Y66" i="1"/>
  <c r="X66" i="1"/>
  <c r="V66" i="1"/>
  <c r="U66" i="1"/>
  <c r="T66" i="1"/>
  <c r="P66" i="1"/>
  <c r="AE66" i="1" s="1"/>
  <c r="AF66" i="1" s="1"/>
  <c r="AG66" i="1" s="1"/>
  <c r="L66" i="1"/>
  <c r="J66" i="1"/>
  <c r="I66" i="1"/>
  <c r="G66" i="1"/>
  <c r="AM65" i="1"/>
  <c r="AL65" i="1"/>
  <c r="AI65" i="1"/>
  <c r="AC65" i="1"/>
  <c r="AA65" i="1"/>
  <c r="AA79" i="1" s="1"/>
  <c r="Z65" i="1"/>
  <c r="F65" i="1" s="1"/>
  <c r="Y65" i="1"/>
  <c r="X65" i="1"/>
  <c r="U65" i="1"/>
  <c r="T65" i="1"/>
  <c r="V65" i="1" s="1"/>
  <c r="AG65" i="1" s="1"/>
  <c r="P65" i="1"/>
  <c r="AE65" i="1" s="1"/>
  <c r="AF65" i="1" s="1"/>
  <c r="L65" i="1"/>
  <c r="J65" i="1"/>
  <c r="I65" i="1"/>
  <c r="G65" i="1"/>
  <c r="AM64" i="1"/>
  <c r="AL64" i="1"/>
  <c r="AI64" i="1"/>
  <c r="AE64" i="1"/>
  <c r="AC64" i="1"/>
  <c r="Z64" i="1"/>
  <c r="Y64" i="1"/>
  <c r="X64" i="1"/>
  <c r="U64" i="1"/>
  <c r="T64" i="1"/>
  <c r="V64" i="1" s="1"/>
  <c r="P64" i="1"/>
  <c r="L64" i="1"/>
  <c r="J64" i="1"/>
  <c r="I64" i="1"/>
  <c r="G64" i="1"/>
  <c r="AM63" i="1"/>
  <c r="AL63" i="1"/>
  <c r="AI63" i="1"/>
  <c r="AC63" i="1"/>
  <c r="Z63" i="1"/>
  <c r="Y63" i="1"/>
  <c r="X63" i="1"/>
  <c r="U63" i="1"/>
  <c r="T63" i="1"/>
  <c r="V63" i="1" s="1"/>
  <c r="P63" i="1"/>
  <c r="AE63" i="1" s="1"/>
  <c r="J63" i="1"/>
  <c r="I63" i="1"/>
  <c r="G63" i="1"/>
  <c r="AM62" i="1"/>
  <c r="AL62" i="1"/>
  <c r="AI62" i="1"/>
  <c r="AC62" i="1"/>
  <c r="Z62" i="1"/>
  <c r="Y62" i="1"/>
  <c r="X62" i="1"/>
  <c r="X79" i="1" s="1"/>
  <c r="V62" i="1"/>
  <c r="U62" i="1"/>
  <c r="T62" i="1"/>
  <c r="P62" i="1"/>
  <c r="L62" i="1"/>
  <c r="J62" i="1"/>
  <c r="I62" i="1"/>
  <c r="G62" i="1"/>
  <c r="AP59" i="1"/>
  <c r="AO59" i="1"/>
  <c r="AB59" i="1"/>
  <c r="P211" i="1" s="1"/>
  <c r="AA59" i="1"/>
  <c r="S59" i="1"/>
  <c r="I211" i="1" s="1"/>
  <c r="R59" i="1"/>
  <c r="Q59" i="1"/>
  <c r="H211" i="1" s="1"/>
  <c r="O59" i="1"/>
  <c r="G211" i="1" s="1"/>
  <c r="AM58" i="1"/>
  <c r="AL58" i="1"/>
  <c r="AI58" i="1"/>
  <c r="AC58" i="1"/>
  <c r="Z58" i="1"/>
  <c r="Y58" i="1"/>
  <c r="X58" i="1"/>
  <c r="U58" i="1"/>
  <c r="T58" i="1"/>
  <c r="P58" i="1"/>
  <c r="AE58" i="1" s="1"/>
  <c r="J58" i="1"/>
  <c r="I58" i="1"/>
  <c r="G58" i="1"/>
  <c r="AM57" i="1"/>
  <c r="AL57" i="1"/>
  <c r="AI57" i="1"/>
  <c r="AC57" i="1"/>
  <c r="Z57" i="1"/>
  <c r="F57" i="1" s="1"/>
  <c r="Y57" i="1"/>
  <c r="X57" i="1"/>
  <c r="U57" i="1"/>
  <c r="T57" i="1"/>
  <c r="V57" i="1" s="1"/>
  <c r="P57" i="1"/>
  <c r="AE57" i="1" s="1"/>
  <c r="J57" i="1"/>
  <c r="I57" i="1"/>
  <c r="G57" i="1"/>
  <c r="AM56" i="1"/>
  <c r="AL56" i="1"/>
  <c r="AI56" i="1"/>
  <c r="Y56" i="1" s="1"/>
  <c r="AC56" i="1"/>
  <c r="Z56" i="1"/>
  <c r="X56" i="1"/>
  <c r="V56" i="1"/>
  <c r="U56" i="1"/>
  <c r="T56" i="1"/>
  <c r="P56" i="1"/>
  <c r="AE56" i="1" s="1"/>
  <c r="AF56" i="1" s="1"/>
  <c r="L56" i="1"/>
  <c r="J56" i="1"/>
  <c r="I56" i="1"/>
  <c r="G56" i="1"/>
  <c r="AM55" i="1"/>
  <c r="AL55" i="1"/>
  <c r="AI55" i="1"/>
  <c r="AC55" i="1"/>
  <c r="Z55" i="1"/>
  <c r="Y55" i="1"/>
  <c r="X55" i="1"/>
  <c r="V55" i="1"/>
  <c r="U55" i="1"/>
  <c r="T55" i="1"/>
  <c r="P55" i="1"/>
  <c r="AE55" i="1" s="1"/>
  <c r="L55" i="1"/>
  <c r="J55" i="1"/>
  <c r="I55" i="1"/>
  <c r="G55" i="1"/>
  <c r="AM54" i="1"/>
  <c r="AL54" i="1"/>
  <c r="AI54" i="1"/>
  <c r="Y54" i="1" s="1"/>
  <c r="AC54" i="1"/>
  <c r="AA54" i="1"/>
  <c r="Z54" i="1"/>
  <c r="X54" i="1"/>
  <c r="U54" i="1"/>
  <c r="T54" i="1"/>
  <c r="V54" i="1" s="1"/>
  <c r="P54" i="1"/>
  <c r="AE54" i="1" s="1"/>
  <c r="J54" i="1"/>
  <c r="I54" i="1"/>
  <c r="G54" i="1"/>
  <c r="AM53" i="1"/>
  <c r="AL53" i="1"/>
  <c r="AI53" i="1"/>
  <c r="AC53" i="1"/>
  <c r="Z53" i="1"/>
  <c r="Y53" i="1"/>
  <c r="X53" i="1"/>
  <c r="V53" i="1"/>
  <c r="U53" i="1"/>
  <c r="T53" i="1"/>
  <c r="P53" i="1"/>
  <c r="AE53" i="1" s="1"/>
  <c r="J53" i="1"/>
  <c r="I53" i="1"/>
  <c r="G53" i="1"/>
  <c r="AM52" i="1"/>
  <c r="AL52" i="1"/>
  <c r="AI52" i="1"/>
  <c r="AC52" i="1"/>
  <c r="Z52" i="1"/>
  <c r="X52" i="1"/>
  <c r="U52" i="1"/>
  <c r="V52" i="1" s="1"/>
  <c r="T52" i="1"/>
  <c r="P52" i="1"/>
  <c r="AE52" i="1" s="1"/>
  <c r="J52" i="1"/>
  <c r="I52" i="1"/>
  <c r="G52" i="1"/>
  <c r="AM51" i="1"/>
  <c r="AL51" i="1"/>
  <c r="AI51" i="1"/>
  <c r="Y51" i="1" s="1"/>
  <c r="AE51" i="1"/>
  <c r="AC51" i="1"/>
  <c r="Z51" i="1"/>
  <c r="X51" i="1"/>
  <c r="U51" i="1"/>
  <c r="V51" i="1" s="1"/>
  <c r="T51" i="1"/>
  <c r="P51" i="1"/>
  <c r="J51" i="1"/>
  <c r="I51" i="1"/>
  <c r="G51" i="1"/>
  <c r="AM50" i="1"/>
  <c r="AL50" i="1"/>
  <c r="AI50" i="1"/>
  <c r="AC50" i="1"/>
  <c r="Z50" i="1"/>
  <c r="X50" i="1"/>
  <c r="U50" i="1"/>
  <c r="T50" i="1"/>
  <c r="P50" i="1"/>
  <c r="AE50" i="1" s="1"/>
  <c r="J50" i="1"/>
  <c r="I50" i="1"/>
  <c r="G50" i="1"/>
  <c r="AM49" i="1"/>
  <c r="AL49" i="1"/>
  <c r="AI49" i="1"/>
  <c r="Y49" i="1" s="1"/>
  <c r="AE49" i="1"/>
  <c r="AC49" i="1"/>
  <c r="Z49" i="1"/>
  <c r="X49" i="1"/>
  <c r="U49" i="1"/>
  <c r="T49" i="1"/>
  <c r="V49" i="1" s="1"/>
  <c r="P49" i="1"/>
  <c r="L49" i="1"/>
  <c r="J49" i="1"/>
  <c r="I49" i="1"/>
  <c r="G49" i="1"/>
  <c r="AM48" i="1"/>
  <c r="AL48" i="1"/>
  <c r="AI48" i="1"/>
  <c r="AC48" i="1"/>
  <c r="Z48" i="1"/>
  <c r="X48" i="1"/>
  <c r="U48" i="1"/>
  <c r="T48" i="1"/>
  <c r="V48" i="1" s="1"/>
  <c r="P48" i="1"/>
  <c r="AE48" i="1" s="1"/>
  <c r="L48" i="1"/>
  <c r="J48" i="1"/>
  <c r="I48" i="1"/>
  <c r="G48" i="1"/>
  <c r="AM47" i="1"/>
  <c r="AL47" i="1"/>
  <c r="AI47" i="1"/>
  <c r="Y47" i="1" s="1"/>
  <c r="AE47" i="1"/>
  <c r="AF47" i="1" s="1"/>
  <c r="AC47" i="1"/>
  <c r="Z47" i="1"/>
  <c r="X47" i="1"/>
  <c r="V47" i="1"/>
  <c r="U47" i="1"/>
  <c r="T47" i="1"/>
  <c r="P47" i="1"/>
  <c r="L47" i="1"/>
  <c r="J47" i="1"/>
  <c r="I47" i="1"/>
  <c r="G47" i="1"/>
  <c r="AM46" i="1"/>
  <c r="AL46" i="1"/>
  <c r="AI46" i="1"/>
  <c r="Y46" i="1" s="1"/>
  <c r="AC46" i="1"/>
  <c r="Z46" i="1"/>
  <c r="X46" i="1"/>
  <c r="U46" i="1"/>
  <c r="T46" i="1"/>
  <c r="V46" i="1" s="1"/>
  <c r="P46" i="1"/>
  <c r="AE46" i="1" s="1"/>
  <c r="L46" i="1"/>
  <c r="J46" i="1"/>
  <c r="I46" i="1"/>
  <c r="G46" i="1"/>
  <c r="AM45" i="1"/>
  <c r="AL45" i="1"/>
  <c r="AI45" i="1"/>
  <c r="Y45" i="1" s="1"/>
  <c r="AE45" i="1"/>
  <c r="AF45" i="1" s="1"/>
  <c r="AC45" i="1"/>
  <c r="Z45" i="1"/>
  <c r="X45" i="1"/>
  <c r="V45" i="1"/>
  <c r="U45" i="1"/>
  <c r="T45" i="1"/>
  <c r="P45" i="1"/>
  <c r="L45" i="1"/>
  <c r="J45" i="1"/>
  <c r="I45" i="1"/>
  <c r="G45" i="1"/>
  <c r="AM44" i="1"/>
  <c r="AL44" i="1"/>
  <c r="AI44" i="1"/>
  <c r="AC44" i="1"/>
  <c r="Z44" i="1"/>
  <c r="X44" i="1"/>
  <c r="U44" i="1"/>
  <c r="V44" i="1" s="1"/>
  <c r="T44" i="1"/>
  <c r="P44" i="1"/>
  <c r="AE44" i="1" s="1"/>
  <c r="L44" i="1"/>
  <c r="J44" i="1"/>
  <c r="I44" i="1"/>
  <c r="G44" i="1"/>
  <c r="AM43" i="1"/>
  <c r="AL43" i="1"/>
  <c r="AI43" i="1"/>
  <c r="AC43" i="1"/>
  <c r="Z43" i="1"/>
  <c r="X43" i="1"/>
  <c r="U43" i="1"/>
  <c r="V43" i="1" s="1"/>
  <c r="T43" i="1"/>
  <c r="P43" i="1"/>
  <c r="AE43" i="1" s="1"/>
  <c r="J43" i="1"/>
  <c r="I43" i="1"/>
  <c r="G43" i="1"/>
  <c r="AM42" i="1"/>
  <c r="AL42" i="1"/>
  <c r="AI42" i="1"/>
  <c r="AI59" i="1" s="1"/>
  <c r="AC42" i="1"/>
  <c r="AC59" i="1" s="1"/>
  <c r="Z42" i="1"/>
  <c r="Z59" i="1" s="1"/>
  <c r="Y42" i="1"/>
  <c r="X42" i="1"/>
  <c r="U42" i="1"/>
  <c r="T42" i="1"/>
  <c r="P42" i="1"/>
  <c r="L42" i="1"/>
  <c r="J42" i="1"/>
  <c r="I42" i="1"/>
  <c r="G42" i="1"/>
  <c r="AP39" i="1"/>
  <c r="AO39" i="1"/>
  <c r="AB39" i="1"/>
  <c r="P210" i="1" s="1"/>
  <c r="AA39" i="1"/>
  <c r="S39" i="1"/>
  <c r="I210" i="1" s="1"/>
  <c r="R39" i="1"/>
  <c r="Q39" i="1"/>
  <c r="H210" i="1" s="1"/>
  <c r="O39" i="1"/>
  <c r="G210" i="1" s="1"/>
  <c r="AM38" i="1"/>
  <c r="AL38" i="1"/>
  <c r="AI38" i="1"/>
  <c r="AC38" i="1"/>
  <c r="Z38" i="1"/>
  <c r="Y38" i="1"/>
  <c r="X38" i="1"/>
  <c r="V38" i="1"/>
  <c r="U38" i="1"/>
  <c r="T38" i="1"/>
  <c r="P38" i="1"/>
  <c r="AE38" i="1" s="1"/>
  <c r="AF38" i="1" s="1"/>
  <c r="L38" i="1"/>
  <c r="J38" i="1"/>
  <c r="I38" i="1"/>
  <c r="G38" i="1"/>
  <c r="AM37" i="1"/>
  <c r="AL37" i="1"/>
  <c r="AI37" i="1"/>
  <c r="Y37" i="1" s="1"/>
  <c r="AC37" i="1"/>
  <c r="Z37" i="1"/>
  <c r="X37" i="1"/>
  <c r="U37" i="1"/>
  <c r="T37" i="1"/>
  <c r="V37" i="1" s="1"/>
  <c r="P37" i="1"/>
  <c r="AE37" i="1" s="1"/>
  <c r="AF37" i="1" s="1"/>
  <c r="L37" i="1"/>
  <c r="J37" i="1"/>
  <c r="I37" i="1"/>
  <c r="G37" i="1"/>
  <c r="AM36" i="1"/>
  <c r="AL36" i="1"/>
  <c r="AI36" i="1"/>
  <c r="Y36" i="1" s="1"/>
  <c r="AE36" i="1"/>
  <c r="AC36" i="1"/>
  <c r="AB36" i="1"/>
  <c r="Z36" i="1"/>
  <c r="X36" i="1"/>
  <c r="U36" i="1"/>
  <c r="V36" i="1" s="1"/>
  <c r="T36" i="1"/>
  <c r="P36" i="1"/>
  <c r="J36" i="1"/>
  <c r="I36" i="1"/>
  <c r="G36" i="1"/>
  <c r="AM35" i="1"/>
  <c r="AL35" i="1"/>
  <c r="AI35" i="1"/>
  <c r="Y35" i="1" s="1"/>
  <c r="AE35" i="1"/>
  <c r="AC35" i="1"/>
  <c r="Z35" i="1"/>
  <c r="X35" i="1"/>
  <c r="U35" i="1"/>
  <c r="V35" i="1" s="1"/>
  <c r="T35" i="1"/>
  <c r="P35" i="1"/>
  <c r="J35" i="1"/>
  <c r="I35" i="1"/>
  <c r="G35" i="1"/>
  <c r="AM34" i="1"/>
  <c r="AL34" i="1"/>
  <c r="AI34" i="1"/>
  <c r="Y34" i="1" s="1"/>
  <c r="AC34" i="1"/>
  <c r="AA34" i="1"/>
  <c r="Z34" i="1" s="1"/>
  <c r="F34" i="1" s="1"/>
  <c r="X34" i="1"/>
  <c r="U34" i="1"/>
  <c r="V34" i="1" s="1"/>
  <c r="T34" i="1"/>
  <c r="P34" i="1"/>
  <c r="AE34" i="1" s="1"/>
  <c r="AF34" i="1" s="1"/>
  <c r="J34" i="1"/>
  <c r="I34" i="1"/>
  <c r="G34" i="1"/>
  <c r="AM33" i="1"/>
  <c r="AL33" i="1"/>
  <c r="AI33" i="1"/>
  <c r="Y33" i="1" s="1"/>
  <c r="AE33" i="1"/>
  <c r="AC33" i="1"/>
  <c r="Z33" i="1"/>
  <c r="X33" i="1"/>
  <c r="U33" i="1"/>
  <c r="T33" i="1"/>
  <c r="V33" i="1" s="1"/>
  <c r="P33" i="1"/>
  <c r="J33" i="1"/>
  <c r="I33" i="1"/>
  <c r="G33" i="1"/>
  <c r="AM32" i="1"/>
  <c r="AL32" i="1"/>
  <c r="AI32" i="1"/>
  <c r="Y32" i="1" s="1"/>
  <c r="AC32" i="1"/>
  <c r="Z32" i="1"/>
  <c r="X32" i="1"/>
  <c r="U32" i="1"/>
  <c r="V32" i="1" s="1"/>
  <c r="T32" i="1"/>
  <c r="P32" i="1"/>
  <c r="AE32" i="1" s="1"/>
  <c r="J32" i="1"/>
  <c r="I32" i="1"/>
  <c r="G32" i="1"/>
  <c r="AM31" i="1"/>
  <c r="AL31" i="1"/>
  <c r="AI31" i="1"/>
  <c r="AE31" i="1"/>
  <c r="AF31" i="1" s="1"/>
  <c r="AC31" i="1"/>
  <c r="AA31" i="1"/>
  <c r="Z31" i="1"/>
  <c r="F31" i="1" s="1"/>
  <c r="Y31" i="1"/>
  <c r="X31" i="1"/>
  <c r="V31" i="1"/>
  <c r="U31" i="1"/>
  <c r="T31" i="1"/>
  <c r="P31" i="1"/>
  <c r="J31" i="1"/>
  <c r="I31" i="1"/>
  <c r="G31" i="1"/>
  <c r="AM30" i="1"/>
  <c r="AL30" i="1"/>
  <c r="AI30" i="1"/>
  <c r="AC30" i="1"/>
  <c r="Z30" i="1"/>
  <c r="Y30" i="1"/>
  <c r="X30" i="1"/>
  <c r="V30" i="1"/>
  <c r="U30" i="1"/>
  <c r="T30" i="1"/>
  <c r="P30" i="1"/>
  <c r="AE30" i="1" s="1"/>
  <c r="AF30" i="1" s="1"/>
  <c r="L30" i="1"/>
  <c r="J30" i="1"/>
  <c r="I30" i="1"/>
  <c r="G30" i="1"/>
  <c r="AM29" i="1"/>
  <c r="AL29" i="1"/>
  <c r="AI29" i="1"/>
  <c r="Y29" i="1" s="1"/>
  <c r="AC29" i="1"/>
  <c r="Z29" i="1"/>
  <c r="X29" i="1"/>
  <c r="U29" i="1"/>
  <c r="V29" i="1" s="1"/>
  <c r="T29" i="1"/>
  <c r="P29" i="1"/>
  <c r="AE29" i="1" s="1"/>
  <c r="AF29" i="1" s="1"/>
  <c r="L29" i="1"/>
  <c r="J29" i="1"/>
  <c r="I29" i="1"/>
  <c r="G29" i="1"/>
  <c r="AM28" i="1"/>
  <c r="AL28" i="1"/>
  <c r="AI28" i="1"/>
  <c r="AC28" i="1"/>
  <c r="Z28" i="1"/>
  <c r="Y28" i="1"/>
  <c r="X28" i="1"/>
  <c r="U28" i="1"/>
  <c r="T28" i="1"/>
  <c r="V28" i="1" s="1"/>
  <c r="P28" i="1"/>
  <c r="AE28" i="1" s="1"/>
  <c r="J28" i="1"/>
  <c r="I28" i="1"/>
  <c r="G28" i="1"/>
  <c r="AM27" i="1"/>
  <c r="AL27" i="1"/>
  <c r="AI27" i="1"/>
  <c r="Y27" i="1" s="1"/>
  <c r="AC27" i="1"/>
  <c r="Z27" i="1"/>
  <c r="X27" i="1"/>
  <c r="V27" i="1"/>
  <c r="F27" i="1" s="1"/>
  <c r="U27" i="1"/>
  <c r="T27" i="1"/>
  <c r="P27" i="1"/>
  <c r="AE27" i="1" s="1"/>
  <c r="AF27" i="1" s="1"/>
  <c r="L27" i="1"/>
  <c r="J27" i="1"/>
  <c r="I27" i="1"/>
  <c r="G27" i="1"/>
  <c r="AM26" i="1"/>
  <c r="AL26" i="1"/>
  <c r="AI26" i="1"/>
  <c r="Y26" i="1" s="1"/>
  <c r="AC26" i="1"/>
  <c r="Z26" i="1"/>
  <c r="X26" i="1"/>
  <c r="U26" i="1"/>
  <c r="V26" i="1" s="1"/>
  <c r="T26" i="1"/>
  <c r="P26" i="1"/>
  <c r="AE26" i="1" s="1"/>
  <c r="AF26" i="1" s="1"/>
  <c r="L26" i="1"/>
  <c r="J26" i="1"/>
  <c r="I26" i="1"/>
  <c r="G26" i="1"/>
  <c r="AM25" i="1"/>
  <c r="AL25" i="1"/>
  <c r="AI25" i="1"/>
  <c r="AE25" i="1"/>
  <c r="AC25" i="1"/>
  <c r="Z25" i="1"/>
  <c r="Y25" i="1"/>
  <c r="X25" i="1"/>
  <c r="U25" i="1"/>
  <c r="T25" i="1"/>
  <c r="V25" i="1" s="1"/>
  <c r="P25" i="1"/>
  <c r="L25" i="1"/>
  <c r="J25" i="1"/>
  <c r="I25" i="1"/>
  <c r="G25" i="1"/>
  <c r="AM24" i="1"/>
  <c r="AL24" i="1"/>
  <c r="AI24" i="1"/>
  <c r="Y24" i="1" s="1"/>
  <c r="AE24" i="1"/>
  <c r="AF24" i="1" s="1"/>
  <c r="AC24" i="1"/>
  <c r="Z24" i="1"/>
  <c r="X24" i="1"/>
  <c r="U24" i="1"/>
  <c r="V24" i="1" s="1"/>
  <c r="T24" i="1"/>
  <c r="P24" i="1"/>
  <c r="L24" i="1"/>
  <c r="J24" i="1"/>
  <c r="I24" i="1"/>
  <c r="G24" i="1"/>
  <c r="AM23" i="1"/>
  <c r="AL23" i="1"/>
  <c r="AI23" i="1"/>
  <c r="AE23" i="1"/>
  <c r="AF23" i="1" s="1"/>
  <c r="AC23" i="1"/>
  <c r="Z23" i="1"/>
  <c r="Y23" i="1"/>
  <c r="X23" i="1"/>
  <c r="V23" i="1"/>
  <c r="U23" i="1"/>
  <c r="T23" i="1"/>
  <c r="P23" i="1"/>
  <c r="J23" i="1"/>
  <c r="I23" i="1"/>
  <c r="G23" i="1"/>
  <c r="F23" i="1"/>
  <c r="AM22" i="1"/>
  <c r="AL22" i="1"/>
  <c r="AI22" i="1"/>
  <c r="AI39" i="1" s="1"/>
  <c r="AC22" i="1"/>
  <c r="AC39" i="1" s="1"/>
  <c r="Z22" i="1"/>
  <c r="X22" i="1"/>
  <c r="X39" i="1" s="1"/>
  <c r="U22" i="1"/>
  <c r="U39" i="1" s="1"/>
  <c r="K210" i="1" s="1"/>
  <c r="T22" i="1"/>
  <c r="T39" i="1" s="1"/>
  <c r="J210" i="1" s="1"/>
  <c r="P22" i="1"/>
  <c r="P39" i="1" s="1"/>
  <c r="L22" i="1"/>
  <c r="J22" i="1"/>
  <c r="I22" i="1"/>
  <c r="G22" i="1"/>
  <c r="AP19" i="1"/>
  <c r="AO19" i="1"/>
  <c r="X19" i="1"/>
  <c r="S19" i="1"/>
  <c r="I209" i="1" s="1"/>
  <c r="R19" i="1"/>
  <c r="Q19" i="1"/>
  <c r="H209" i="1" s="1"/>
  <c r="O19" i="1"/>
  <c r="G209" i="1" s="1"/>
  <c r="AM18" i="1"/>
  <c r="AL18" i="1"/>
  <c r="AI18" i="1"/>
  <c r="AC18" i="1"/>
  <c r="Z18" i="1"/>
  <c r="Y18" i="1"/>
  <c r="X18" i="1"/>
  <c r="V18" i="1"/>
  <c r="U18" i="1"/>
  <c r="T18" i="1"/>
  <c r="P18" i="1"/>
  <c r="AE18" i="1" s="1"/>
  <c r="AF18" i="1" s="1"/>
  <c r="L18" i="1"/>
  <c r="J18" i="1"/>
  <c r="I18" i="1"/>
  <c r="G18" i="1"/>
  <c r="AM17" i="1"/>
  <c r="AL17" i="1"/>
  <c r="AI17" i="1"/>
  <c r="Y17" i="1" s="1"/>
  <c r="AC17" i="1"/>
  <c r="Z17" i="1"/>
  <c r="X17" i="1"/>
  <c r="U17" i="1"/>
  <c r="V17" i="1" s="1"/>
  <c r="T17" i="1"/>
  <c r="P17" i="1"/>
  <c r="AE17" i="1" s="1"/>
  <c r="AF17" i="1" s="1"/>
  <c r="L17" i="1"/>
  <c r="J17" i="1"/>
  <c r="I17" i="1"/>
  <c r="G17" i="1"/>
  <c r="AM16" i="1"/>
  <c r="AL16" i="1"/>
  <c r="AI16" i="1"/>
  <c r="Y16" i="1" s="1"/>
  <c r="AC16" i="1"/>
  <c r="AB16" i="1"/>
  <c r="AB19" i="1" s="1"/>
  <c r="P209" i="1" s="1"/>
  <c r="Z16" i="1"/>
  <c r="X16" i="1"/>
  <c r="U16" i="1"/>
  <c r="V16" i="1" s="1"/>
  <c r="T16" i="1"/>
  <c r="P16" i="1"/>
  <c r="AE16" i="1" s="1"/>
  <c r="AF16" i="1" s="1"/>
  <c r="J16" i="1"/>
  <c r="I16" i="1"/>
  <c r="G16" i="1"/>
  <c r="AM15" i="1"/>
  <c r="AL15" i="1"/>
  <c r="AI15" i="1"/>
  <c r="Y15" i="1" s="1"/>
  <c r="AC15" i="1"/>
  <c r="Z15" i="1"/>
  <c r="X15" i="1"/>
  <c r="U15" i="1"/>
  <c r="T15" i="1"/>
  <c r="V15" i="1" s="1"/>
  <c r="P15" i="1"/>
  <c r="AE15" i="1" s="1"/>
  <c r="AF15" i="1" s="1"/>
  <c r="J15" i="1"/>
  <c r="I15" i="1"/>
  <c r="G15" i="1"/>
  <c r="AM14" i="1"/>
  <c r="AL14" i="1"/>
  <c r="AI14" i="1"/>
  <c r="Y14" i="1" s="1"/>
  <c r="AC14" i="1"/>
  <c r="AA14" i="1"/>
  <c r="Z14" i="1"/>
  <c r="X14" i="1"/>
  <c r="U14" i="1"/>
  <c r="T14" i="1"/>
  <c r="V14" i="1" s="1"/>
  <c r="P14" i="1"/>
  <c r="AE14" i="1" s="1"/>
  <c r="AF14" i="1" s="1"/>
  <c r="J14" i="1"/>
  <c r="I14" i="1"/>
  <c r="G14" i="1"/>
  <c r="AM13" i="1"/>
  <c r="AL13" i="1"/>
  <c r="AI13" i="1"/>
  <c r="AE13" i="1"/>
  <c r="AC13" i="1"/>
  <c r="Z13" i="1"/>
  <c r="Y13" i="1"/>
  <c r="X13" i="1"/>
  <c r="U13" i="1"/>
  <c r="T13" i="1"/>
  <c r="V13" i="1" s="1"/>
  <c r="P13" i="1"/>
  <c r="J13" i="1"/>
  <c r="I13" i="1"/>
  <c r="G13" i="1"/>
  <c r="AM12" i="1"/>
  <c r="AL12" i="1"/>
  <c r="AI12" i="1"/>
  <c r="Y12" i="1" s="1"/>
  <c r="AE12" i="1"/>
  <c r="AF12" i="1" s="1"/>
  <c r="AG12" i="1" s="1"/>
  <c r="AC12" i="1"/>
  <c r="Z12" i="1"/>
  <c r="X12" i="1"/>
  <c r="V12" i="1"/>
  <c r="U12" i="1"/>
  <c r="T12" i="1"/>
  <c r="P12" i="1"/>
  <c r="J12" i="1"/>
  <c r="I12" i="1"/>
  <c r="G12" i="1"/>
  <c r="F12" i="1"/>
  <c r="AM11" i="1"/>
  <c r="AL11" i="1"/>
  <c r="AI11" i="1"/>
  <c r="AE11" i="1"/>
  <c r="AF11" i="1" s="1"/>
  <c r="AC11" i="1"/>
  <c r="AA11" i="1"/>
  <c r="AA19" i="1" s="1"/>
  <c r="Z11" i="1"/>
  <c r="X11" i="1"/>
  <c r="V11" i="1"/>
  <c r="U11" i="1"/>
  <c r="T11" i="1"/>
  <c r="P11" i="1"/>
  <c r="Y11" i="1" s="1"/>
  <c r="J11" i="1"/>
  <c r="I11" i="1"/>
  <c r="G11" i="1"/>
  <c r="F11" i="1"/>
  <c r="AM10" i="1"/>
  <c r="AL10" i="1"/>
  <c r="AI10" i="1"/>
  <c r="AE10" i="1"/>
  <c r="AF10" i="1" s="1"/>
  <c r="AC10" i="1"/>
  <c r="Z10" i="1"/>
  <c r="Y10" i="1"/>
  <c r="X10" i="1"/>
  <c r="V10" i="1"/>
  <c r="U10" i="1"/>
  <c r="T10" i="1"/>
  <c r="P10" i="1"/>
  <c r="L10" i="1"/>
  <c r="J10" i="1"/>
  <c r="I10" i="1"/>
  <c r="G10" i="1"/>
  <c r="F10" i="1"/>
  <c r="AM9" i="1"/>
  <c r="AL9" i="1"/>
  <c r="AI9" i="1"/>
  <c r="AE9" i="1"/>
  <c r="AF9" i="1" s="1"/>
  <c r="AC9" i="1"/>
  <c r="Z9" i="1"/>
  <c r="Y9" i="1"/>
  <c r="X9" i="1"/>
  <c r="V9" i="1"/>
  <c r="U9" i="1"/>
  <c r="T9" i="1"/>
  <c r="P9" i="1"/>
  <c r="L9" i="1"/>
  <c r="J9" i="1"/>
  <c r="I9" i="1"/>
  <c r="G9" i="1"/>
  <c r="F9" i="1"/>
  <c r="AM8" i="1"/>
  <c r="AL8" i="1"/>
  <c r="AI8" i="1"/>
  <c r="AE8" i="1"/>
  <c r="AF8" i="1" s="1"/>
  <c r="AC8" i="1"/>
  <c r="Z8" i="1"/>
  <c r="Y8" i="1"/>
  <c r="X8" i="1"/>
  <c r="V8" i="1"/>
  <c r="U8" i="1"/>
  <c r="T8" i="1"/>
  <c r="P8" i="1"/>
  <c r="J8" i="1"/>
  <c r="I8" i="1"/>
  <c r="G8" i="1"/>
  <c r="F8" i="1"/>
  <c r="AM7" i="1"/>
  <c r="AL7" i="1"/>
  <c r="AI7" i="1"/>
  <c r="AE7" i="1"/>
  <c r="AC7" i="1"/>
  <c r="Z7" i="1"/>
  <c r="Y7" i="1"/>
  <c r="X7" i="1"/>
  <c r="U7" i="1"/>
  <c r="V7" i="1" s="1"/>
  <c r="T7" i="1"/>
  <c r="P7" i="1"/>
  <c r="L7" i="1"/>
  <c r="J7" i="1"/>
  <c r="I7" i="1"/>
  <c r="G7" i="1"/>
  <c r="AM6" i="1"/>
  <c r="AL6" i="1"/>
  <c r="AI6" i="1"/>
  <c r="Y6" i="1" s="1"/>
  <c r="AE6" i="1"/>
  <c r="AC6" i="1"/>
  <c r="Z6" i="1"/>
  <c r="X6" i="1"/>
  <c r="U6" i="1"/>
  <c r="V6" i="1" s="1"/>
  <c r="T6" i="1"/>
  <c r="P6" i="1"/>
  <c r="L6" i="1"/>
  <c r="J6" i="1"/>
  <c r="I6" i="1"/>
  <c r="G6" i="1"/>
  <c r="AM5" i="1"/>
  <c r="AL5" i="1"/>
  <c r="AI5" i="1"/>
  <c r="Y5" i="1" s="1"/>
  <c r="AE5" i="1"/>
  <c r="AF5" i="1" s="1"/>
  <c r="AC5" i="1"/>
  <c r="Z5" i="1"/>
  <c r="F5" i="1" s="1"/>
  <c r="X5" i="1"/>
  <c r="U5" i="1"/>
  <c r="V5" i="1" s="1"/>
  <c r="T5" i="1"/>
  <c r="P5" i="1"/>
  <c r="L5" i="1"/>
  <c r="J5" i="1"/>
  <c r="I5" i="1"/>
  <c r="G5" i="1"/>
  <c r="AM4" i="1"/>
  <c r="AL4" i="1"/>
  <c r="AI4" i="1"/>
  <c r="Y4" i="1" s="1"/>
  <c r="AE4" i="1"/>
  <c r="AF4" i="1" s="1"/>
  <c r="AC4" i="1"/>
  <c r="Z4" i="1"/>
  <c r="X4" i="1"/>
  <c r="U4" i="1"/>
  <c r="V4" i="1" s="1"/>
  <c r="T4" i="1"/>
  <c r="P4" i="1"/>
  <c r="L4" i="1"/>
  <c r="J4" i="1"/>
  <c r="I4" i="1"/>
  <c r="G4" i="1"/>
  <c r="AM3" i="1"/>
  <c r="AL3" i="1"/>
  <c r="AI3" i="1"/>
  <c r="Y3" i="1" s="1"/>
  <c r="AE3" i="1"/>
  <c r="AF3" i="1" s="1"/>
  <c r="AC3" i="1"/>
  <c r="Z3" i="1"/>
  <c r="F3" i="1" s="1"/>
  <c r="X3" i="1"/>
  <c r="V3" i="1"/>
  <c r="U3" i="1"/>
  <c r="T3" i="1"/>
  <c r="P3" i="1"/>
  <c r="J3" i="1"/>
  <c r="I3" i="1"/>
  <c r="G3" i="1"/>
  <c r="AM2" i="1"/>
  <c r="AL2" i="1"/>
  <c r="AI2" i="1"/>
  <c r="AI19" i="1" s="1"/>
  <c r="AC2" i="1"/>
  <c r="AC19" i="1" s="1"/>
  <c r="Z2" i="1"/>
  <c r="Z19" i="1" s="1"/>
  <c r="Y2" i="1"/>
  <c r="X2" i="1"/>
  <c r="V2" i="1"/>
  <c r="U2" i="1"/>
  <c r="U19" i="1" s="1"/>
  <c r="K209" i="1" s="1"/>
  <c r="T2" i="1"/>
  <c r="T19" i="1" s="1"/>
  <c r="J209" i="1" s="1"/>
  <c r="L209" i="1" s="1"/>
  <c r="P2" i="1"/>
  <c r="P19" i="1" s="1"/>
  <c r="L2" i="1"/>
  <c r="J2" i="1"/>
  <c r="I2" i="1"/>
  <c r="G2" i="1"/>
  <c r="F6" i="1" l="1"/>
  <c r="F14" i="1"/>
  <c r="AG14" i="1"/>
  <c r="AH14" i="1" s="1"/>
  <c r="AJ14" i="1" s="1"/>
  <c r="AH32" i="1"/>
  <c r="AG32" i="1"/>
  <c r="AJ32" i="1" s="1"/>
  <c r="F33" i="1"/>
  <c r="AG15" i="1"/>
  <c r="F15" i="1"/>
  <c r="AH15" i="1"/>
  <c r="AJ15" i="1" s="1"/>
  <c r="F26" i="1"/>
  <c r="AH26" i="1"/>
  <c r="AJ26" i="1" s="1"/>
  <c r="AG26" i="1"/>
  <c r="AF28" i="1"/>
  <c r="AG34" i="1"/>
  <c r="AJ34" i="1" s="1"/>
  <c r="AH34" i="1"/>
  <c r="F35" i="1"/>
  <c r="AF48" i="1"/>
  <c r="AG48" i="1" s="1"/>
  <c r="AH48" i="1" s="1"/>
  <c r="AF6" i="1"/>
  <c r="AG16" i="1"/>
  <c r="AH16" i="1" s="1"/>
  <c r="L210" i="1"/>
  <c r="AG28" i="1"/>
  <c r="AH28" i="1" s="1"/>
  <c r="AJ28" i="1" s="1"/>
  <c r="F28" i="1"/>
  <c r="F36" i="1"/>
  <c r="AF36" i="1"/>
  <c r="AG36" i="1" s="1"/>
  <c r="F7" i="1"/>
  <c r="AH6" i="1"/>
  <c r="AG6" i="1"/>
  <c r="AJ6" i="1" s="1"/>
  <c r="Y19" i="1"/>
  <c r="M209" i="1" s="1"/>
  <c r="AG17" i="1"/>
  <c r="AH17" i="1" s="1"/>
  <c r="AJ17" i="1" s="1"/>
  <c r="AG37" i="1"/>
  <c r="AH37" i="1" s="1"/>
  <c r="F37" i="1"/>
  <c r="AF43" i="1"/>
  <c r="F19" i="1"/>
  <c r="AF7" i="1"/>
  <c r="AG7" i="1" s="1"/>
  <c r="AH29" i="1"/>
  <c r="AG29" i="1"/>
  <c r="AJ29" i="1"/>
  <c r="AF35" i="1"/>
  <c r="AG35" i="1" s="1"/>
  <c r="AF44" i="1"/>
  <c r="AG44" i="1" s="1"/>
  <c r="AH44" i="1" s="1"/>
  <c r="F51" i="1"/>
  <c r="AG4" i="1"/>
  <c r="AG43" i="1"/>
  <c r="AH43" i="1" s="1"/>
  <c r="F43" i="1"/>
  <c r="AG52" i="1"/>
  <c r="AH52" i="1" s="1"/>
  <c r="AF52" i="1"/>
  <c r="F44" i="1"/>
  <c r="AG54" i="1"/>
  <c r="AF13" i="1"/>
  <c r="AG13" i="1" s="1"/>
  <c r="F13" i="1"/>
  <c r="F4" i="1"/>
  <c r="AH5" i="1"/>
  <c r="AG5" i="1"/>
  <c r="AJ5" i="1" s="1"/>
  <c r="AG24" i="1"/>
  <c r="F24" i="1"/>
  <c r="F25" i="1"/>
  <c r="AF25" i="1"/>
  <c r="AG25" i="1" s="1"/>
  <c r="AF46" i="1"/>
  <c r="AG46" i="1" s="1"/>
  <c r="AH70" i="1"/>
  <c r="AF49" i="1"/>
  <c r="AG49" i="1" s="1"/>
  <c r="V19" i="1"/>
  <c r="V22" i="1"/>
  <c r="AG27" i="1"/>
  <c r="AH27" i="1" s="1"/>
  <c r="Y43" i="1"/>
  <c r="Y59" i="1" s="1"/>
  <c r="M211" i="1" s="1"/>
  <c r="V50" i="1"/>
  <c r="AF53" i="1"/>
  <c r="F55" i="1"/>
  <c r="V58" i="1"/>
  <c r="Y79" i="1"/>
  <c r="M212" i="1" s="1"/>
  <c r="AE99" i="1"/>
  <c r="F96" i="1"/>
  <c r="P119" i="1"/>
  <c r="AE102" i="1"/>
  <c r="Y102" i="1"/>
  <c r="AF123" i="1"/>
  <c r="AG123" i="1" s="1"/>
  <c r="F2" i="1"/>
  <c r="AJ27" i="1"/>
  <c r="AE71" i="1"/>
  <c r="AF71" i="1" s="1"/>
  <c r="Y71" i="1"/>
  <c r="AJ71" i="1" s="1"/>
  <c r="AF73" i="1"/>
  <c r="AG73" i="1" s="1"/>
  <c r="Y99" i="1"/>
  <c r="M213" i="1" s="1"/>
  <c r="F32" i="1"/>
  <c r="AE2" i="1"/>
  <c r="AG8" i="1"/>
  <c r="AG9" i="1"/>
  <c r="AH9" i="1" s="1"/>
  <c r="AG10" i="1"/>
  <c r="AH10" i="1" s="1"/>
  <c r="AG11" i="1"/>
  <c r="AH11" i="1" s="1"/>
  <c r="AH12" i="1"/>
  <c r="AJ12" i="1" s="1"/>
  <c r="F18" i="1"/>
  <c r="AE22" i="1"/>
  <c r="AG23" i="1"/>
  <c r="AH23" i="1" s="1"/>
  <c r="F30" i="1"/>
  <c r="AF54" i="1"/>
  <c r="AI79" i="1"/>
  <c r="F63" i="1"/>
  <c r="AJ68" i="1"/>
  <c r="AH68" i="1"/>
  <c r="F68" i="1"/>
  <c r="AC99" i="1"/>
  <c r="AJ85" i="1"/>
  <c r="AH85" i="1"/>
  <c r="AG85" i="1"/>
  <c r="AF89" i="1"/>
  <c r="AF93" i="1"/>
  <c r="AI99" i="1"/>
  <c r="AF104" i="1"/>
  <c r="AH112" i="1"/>
  <c r="AG112" i="1"/>
  <c r="AJ112" i="1" s="1"/>
  <c r="AG38" i="1"/>
  <c r="F52" i="1"/>
  <c r="AG3" i="1"/>
  <c r="AH3" i="1" s="1"/>
  <c r="AJ3" i="1" s="1"/>
  <c r="F16" i="1"/>
  <c r="F17" i="1"/>
  <c r="F29" i="1"/>
  <c r="F38" i="1"/>
  <c r="F46" i="1"/>
  <c r="F48" i="1"/>
  <c r="AH54" i="1"/>
  <c r="AJ54" i="1" s="1"/>
  <c r="F56" i="1"/>
  <c r="U59" i="1"/>
  <c r="K211" i="1" s="1"/>
  <c r="AG71" i="1"/>
  <c r="AH71" i="1" s="1"/>
  <c r="F73" i="1"/>
  <c r="AG75" i="1"/>
  <c r="AJ78" i="1"/>
  <c r="AH78" i="1"/>
  <c r="F78" i="1"/>
  <c r="P99" i="1"/>
  <c r="AH89" i="1"/>
  <c r="AJ89" i="1" s="1"/>
  <c r="AG89" i="1"/>
  <c r="F94" i="1"/>
  <c r="AG104" i="1"/>
  <c r="AH104" i="1" s="1"/>
  <c r="Y117" i="1"/>
  <c r="AH117" i="1"/>
  <c r="AJ117" i="1" s="1"/>
  <c r="Z39" i="1"/>
  <c r="AE42" i="1"/>
  <c r="P59" i="1"/>
  <c r="Y50" i="1"/>
  <c r="F53" i="1"/>
  <c r="AF57" i="1"/>
  <c r="AG57" i="1" s="1"/>
  <c r="AH66" i="1"/>
  <c r="AJ66" i="1" s="1"/>
  <c r="F66" i="1"/>
  <c r="AF69" i="1"/>
  <c r="AG69" i="1" s="1"/>
  <c r="AF74" i="1"/>
  <c r="AG74" i="1" s="1"/>
  <c r="T99" i="1"/>
  <c r="J213" i="1" s="1"/>
  <c r="F85" i="1"/>
  <c r="F112" i="1"/>
  <c r="F88" i="1"/>
  <c r="AE113" i="1"/>
  <c r="AF113" i="1" s="1"/>
  <c r="AG113" i="1" s="1"/>
  <c r="AH113" i="1"/>
  <c r="Y113" i="1"/>
  <c r="AJ113" i="1" s="1"/>
  <c r="AG31" i="1"/>
  <c r="AJ31" i="1" s="1"/>
  <c r="AF32" i="1"/>
  <c r="T59" i="1"/>
  <c r="J211" i="1" s="1"/>
  <c r="L211" i="1" s="1"/>
  <c r="AE62" i="1"/>
  <c r="P79" i="1"/>
  <c r="F71" i="1"/>
  <c r="AF72" i="1"/>
  <c r="U99" i="1"/>
  <c r="K213" i="1" s="1"/>
  <c r="AF88" i="1"/>
  <c r="AG88" i="1" s="1"/>
  <c r="AH90" i="1"/>
  <c r="AG90" i="1"/>
  <c r="AJ90" i="1" s="1"/>
  <c r="F90" i="1"/>
  <c r="F95" i="1"/>
  <c r="AF103" i="1"/>
  <c r="AG103" i="1" s="1"/>
  <c r="AG108" i="1"/>
  <c r="AH108" i="1"/>
  <c r="AF131" i="1"/>
  <c r="F109" i="1"/>
  <c r="AC79" i="1"/>
  <c r="F103" i="1"/>
  <c r="AG18" i="1"/>
  <c r="AJ18" i="1" s="1"/>
  <c r="Y22" i="1"/>
  <c r="Y39" i="1" s="1"/>
  <c r="M210" i="1" s="1"/>
  <c r="AG30" i="1"/>
  <c r="AJ30" i="1" s="1"/>
  <c r="AH31" i="1"/>
  <c r="Y44" i="1"/>
  <c r="AJ44" i="1" s="1"/>
  <c r="AG53" i="1"/>
  <c r="T79" i="1"/>
  <c r="J212" i="1" s="1"/>
  <c r="L212" i="1" s="1"/>
  <c r="AF67" i="1"/>
  <c r="AG67" i="1" s="1"/>
  <c r="F82" i="1"/>
  <c r="V99" i="1"/>
  <c r="AH82" i="1"/>
  <c r="F89" i="1"/>
  <c r="AG91" i="1"/>
  <c r="AG94" i="1"/>
  <c r="AF96" i="1"/>
  <c r="AG96" i="1" s="1"/>
  <c r="F104" i="1"/>
  <c r="AH77" i="1"/>
  <c r="AJ77" i="1" s="1"/>
  <c r="AG77" i="1"/>
  <c r="AH18" i="1"/>
  <c r="AH30" i="1"/>
  <c r="V42" i="1"/>
  <c r="AG45" i="1"/>
  <c r="AH45" i="1" s="1"/>
  <c r="AG47" i="1"/>
  <c r="AH47" i="1" s="1"/>
  <c r="Y48" i="1"/>
  <c r="F54" i="1"/>
  <c r="AF55" i="1"/>
  <c r="AG55" i="1" s="1"/>
  <c r="U79" i="1"/>
  <c r="K212" i="1" s="1"/>
  <c r="F64" i="1"/>
  <c r="F69" i="1"/>
  <c r="AG72" i="1"/>
  <c r="AH76" i="1"/>
  <c r="AG76" i="1"/>
  <c r="AJ76" i="1" s="1"/>
  <c r="AF83" i="1"/>
  <c r="AG83" i="1" s="1"/>
  <c r="AF97" i="1"/>
  <c r="AG105" i="1"/>
  <c r="AJ105" i="1"/>
  <c r="AH105" i="1"/>
  <c r="X59" i="1"/>
  <c r="AF51" i="1"/>
  <c r="AG51" i="1" s="1"/>
  <c r="AG56" i="1"/>
  <c r="AH56" i="1" s="1"/>
  <c r="V79" i="1"/>
  <c r="F62" i="1"/>
  <c r="AH92" i="1"/>
  <c r="AG92" i="1"/>
  <c r="AJ92" i="1" s="1"/>
  <c r="AF92" i="1"/>
  <c r="AG97" i="1"/>
  <c r="AH97" i="1" s="1"/>
  <c r="Y125" i="1"/>
  <c r="AH125" i="1"/>
  <c r="AF33" i="1"/>
  <c r="AG33" i="1" s="1"/>
  <c r="F45" i="1"/>
  <c r="F47" i="1"/>
  <c r="F49" i="1"/>
  <c r="AF58" i="1"/>
  <c r="AF63" i="1"/>
  <c r="AG63" i="1" s="1"/>
  <c r="AF64" i="1"/>
  <c r="AG64" i="1" s="1"/>
  <c r="AJ65" i="1"/>
  <c r="AH65" i="1"/>
  <c r="F67" i="1"/>
  <c r="AG70" i="1"/>
  <c r="AJ70" i="1" s="1"/>
  <c r="F72" i="1"/>
  <c r="F75" i="1"/>
  <c r="AG78" i="1"/>
  <c r="AF84" i="1"/>
  <c r="AG84" i="1" s="1"/>
  <c r="AG87" i="1"/>
  <c r="AH87" i="1" s="1"/>
  <c r="AG93" i="1"/>
  <c r="F105" i="1"/>
  <c r="AG110" i="1"/>
  <c r="AH110" i="1" s="1"/>
  <c r="AJ110" i="1" s="1"/>
  <c r="F110" i="1"/>
  <c r="AF95" i="1"/>
  <c r="AG95" i="1" s="1"/>
  <c r="AH98" i="1"/>
  <c r="Y104" i="1"/>
  <c r="AF114" i="1"/>
  <c r="AG114" i="1" s="1"/>
  <c r="AH114" i="1" s="1"/>
  <c r="F145" i="1"/>
  <c r="AF149" i="1"/>
  <c r="F153" i="1"/>
  <c r="AG163" i="1"/>
  <c r="AH163" i="1" s="1"/>
  <c r="F163" i="1"/>
  <c r="AF94" i="1"/>
  <c r="Z119" i="1"/>
  <c r="L215" i="1"/>
  <c r="AH129" i="1"/>
  <c r="AG129" i="1"/>
  <c r="AJ129" i="1" s="1"/>
  <c r="F129" i="1"/>
  <c r="AG133" i="1"/>
  <c r="AG149" i="1"/>
  <c r="AH149" i="1" s="1"/>
  <c r="F149" i="1"/>
  <c r="AF126" i="1"/>
  <c r="AG130" i="1"/>
  <c r="AJ130" i="1" s="1"/>
  <c r="AH130" i="1"/>
  <c r="P159" i="1"/>
  <c r="Y52" i="1"/>
  <c r="AJ52" i="1" s="1"/>
  <c r="Z79" i="1"/>
  <c r="F79" i="1" s="1"/>
  <c r="AG126" i="1"/>
  <c r="F126" i="1"/>
  <c r="F133" i="1"/>
  <c r="AG170" i="1"/>
  <c r="Y195" i="1"/>
  <c r="L225" i="1"/>
  <c r="F195" i="1"/>
  <c r="Y114" i="1"/>
  <c r="AJ114" i="1" s="1"/>
  <c r="AE127" i="1"/>
  <c r="AF127" i="1" s="1"/>
  <c r="Y127" i="1"/>
  <c r="T159" i="1"/>
  <c r="J216" i="1" s="1"/>
  <c r="F98" i="1"/>
  <c r="F114" i="1"/>
  <c r="Y116" i="1"/>
  <c r="AJ116" i="1" s="1"/>
  <c r="AF117" i="1"/>
  <c r="AG117" i="1" s="1"/>
  <c r="AH118" i="1"/>
  <c r="AG127" i="1"/>
  <c r="F127" i="1"/>
  <c r="AH137" i="1"/>
  <c r="AJ137" i="1" s="1"/>
  <c r="AJ148" i="1"/>
  <c r="AG86" i="1"/>
  <c r="AH86" i="1" s="1"/>
  <c r="Y87" i="1"/>
  <c r="AI119" i="1"/>
  <c r="V107" i="1"/>
  <c r="F116" i="1"/>
  <c r="Y149" i="1"/>
  <c r="AJ149" i="1" s="1"/>
  <c r="F150" i="1"/>
  <c r="AJ178" i="1"/>
  <c r="AH178" i="1"/>
  <c r="AG178" i="1"/>
  <c r="F178" i="1"/>
  <c r="AC159" i="1"/>
  <c r="AG155" i="1"/>
  <c r="F155" i="1"/>
  <c r="T119" i="1"/>
  <c r="J214" i="1" s="1"/>
  <c r="L214" i="1" s="1"/>
  <c r="F214" i="1" s="1"/>
  <c r="AG116" i="1"/>
  <c r="AF134" i="1"/>
  <c r="AG134" i="1" s="1"/>
  <c r="AF142" i="1"/>
  <c r="AH144" i="1"/>
  <c r="AG144" i="1"/>
  <c r="AJ144" i="1" s="1"/>
  <c r="F144" i="1"/>
  <c r="V177" i="1"/>
  <c r="AJ98" i="1"/>
  <c r="U119" i="1"/>
  <c r="K214" i="1" s="1"/>
  <c r="Y105" i="1"/>
  <c r="Y108" i="1"/>
  <c r="AJ108" i="1" s="1"/>
  <c r="V109" i="1"/>
  <c r="AJ115" i="1"/>
  <c r="AH116" i="1"/>
  <c r="F117" i="1"/>
  <c r="AF122" i="1"/>
  <c r="AG122" i="1" s="1"/>
  <c r="F123" i="1"/>
  <c r="F135" i="1"/>
  <c r="AF145" i="1"/>
  <c r="AG145" i="1" s="1"/>
  <c r="AG152" i="1"/>
  <c r="AH152" i="1" s="1"/>
  <c r="F156" i="1"/>
  <c r="AH157" i="1"/>
  <c r="AE157" i="1"/>
  <c r="AF157" i="1" s="1"/>
  <c r="AG157" i="1" s="1"/>
  <c r="AJ157" i="1" s="1"/>
  <c r="AF163" i="1"/>
  <c r="Z99" i="1"/>
  <c r="F99" i="1" s="1"/>
  <c r="Y85" i="1"/>
  <c r="V102" i="1"/>
  <c r="AJ118" i="1"/>
  <c r="AJ124" i="1"/>
  <c r="AH138" i="1"/>
  <c r="AJ138" i="1" s="1"/>
  <c r="Y97" i="1"/>
  <c r="X119" i="1"/>
  <c r="AG106" i="1"/>
  <c r="Y110" i="1"/>
  <c r="AH111" i="1"/>
  <c r="AJ111" i="1" s="1"/>
  <c r="AI139" i="1"/>
  <c r="F128" i="1"/>
  <c r="AF133" i="1"/>
  <c r="AF135" i="1"/>
  <c r="AG135" i="1" s="1"/>
  <c r="AG137" i="1"/>
  <c r="F137" i="1"/>
  <c r="AF156" i="1"/>
  <c r="AG156" i="1" s="1"/>
  <c r="Y165" i="1"/>
  <c r="AJ165" i="1" s="1"/>
  <c r="AH165" i="1"/>
  <c r="E196" i="1"/>
  <c r="Z196" i="1"/>
  <c r="D196" i="1" s="1"/>
  <c r="F209" i="1"/>
  <c r="AJ132" i="1"/>
  <c r="AA139" i="1"/>
  <c r="Z134" i="1"/>
  <c r="AJ143" i="1"/>
  <c r="AG147" i="1"/>
  <c r="Y151" i="1"/>
  <c r="AJ151" i="1" s="1"/>
  <c r="F170" i="1"/>
  <c r="N225" i="1"/>
  <c r="Y197" i="1"/>
  <c r="F197" i="1"/>
  <c r="V197" i="1"/>
  <c r="Y219" i="1"/>
  <c r="V219" i="1"/>
  <c r="P179" i="1"/>
  <c r="E198" i="1"/>
  <c r="Z198" i="1"/>
  <c r="D198" i="1" s="1"/>
  <c r="Z206" i="1"/>
  <c r="D206" i="1" s="1"/>
  <c r="E206" i="1"/>
  <c r="Z208" i="1"/>
  <c r="D208" i="1" s="1"/>
  <c r="E208" i="1"/>
  <c r="Y222" i="1"/>
  <c r="V222" i="1"/>
  <c r="AI159" i="1"/>
  <c r="Y142" i="1"/>
  <c r="AF153" i="1"/>
  <c r="AG153" i="1" s="1"/>
  <c r="T179" i="1"/>
  <c r="J217" i="1" s="1"/>
  <c r="F171" i="1"/>
  <c r="V195" i="1"/>
  <c r="Y199" i="1"/>
  <c r="F199" i="1"/>
  <c r="Y204" i="1"/>
  <c r="V204" i="1"/>
  <c r="F210" i="1"/>
  <c r="AF129" i="1"/>
  <c r="V131" i="1"/>
  <c r="Y135" i="1"/>
  <c r="AG146" i="1"/>
  <c r="U179" i="1"/>
  <c r="K217" i="1" s="1"/>
  <c r="Y163" i="1"/>
  <c r="AJ163" i="1" s="1"/>
  <c r="Y166" i="1"/>
  <c r="AG172" i="1"/>
  <c r="AG173" i="1"/>
  <c r="F173" i="1"/>
  <c r="AF174" i="1"/>
  <c r="Y200" i="1"/>
  <c r="F207" i="1"/>
  <c r="V139" i="1"/>
  <c r="AF128" i="1"/>
  <c r="AG128" i="1" s="1"/>
  <c r="AJ136" i="1"/>
  <c r="AJ154" i="1"/>
  <c r="AF155" i="1"/>
  <c r="V158" i="1"/>
  <c r="F158" i="1" s="1"/>
  <c r="V162" i="1"/>
  <c r="AG171" i="1"/>
  <c r="V174" i="1"/>
  <c r="Z201" i="1"/>
  <c r="D201" i="1" s="1"/>
  <c r="E201" i="1"/>
  <c r="V226" i="1"/>
  <c r="W226" i="1" s="1"/>
  <c r="Y226" i="1" s="1"/>
  <c r="U159" i="1"/>
  <c r="K216" i="1" s="1"/>
  <c r="Y202" i="1"/>
  <c r="V207" i="1"/>
  <c r="V142" i="1"/>
  <c r="V150" i="1"/>
  <c r="AF150" i="1" s="1"/>
  <c r="F152" i="1"/>
  <c r="AG175" i="1"/>
  <c r="AH175" i="1" s="1"/>
  <c r="AJ175" i="1" s="1"/>
  <c r="V199" i="1"/>
  <c r="F201" i="1"/>
  <c r="Z203" i="1"/>
  <c r="D203" i="1" s="1"/>
  <c r="E203" i="1"/>
  <c r="V206" i="1"/>
  <c r="V208" i="1"/>
  <c r="F211" i="1"/>
  <c r="F151" i="1"/>
  <c r="Y164" i="1"/>
  <c r="Y167" i="1"/>
  <c r="AH172" i="1"/>
  <c r="AJ172" i="1" s="1"/>
  <c r="F174" i="1"/>
  <c r="AF176" i="1"/>
  <c r="Z220" i="1"/>
  <c r="D220" i="1" s="1"/>
  <c r="F122" i="1"/>
  <c r="F136" i="1"/>
  <c r="AE179" i="1"/>
  <c r="AF162" i="1"/>
  <c r="F169" i="1"/>
  <c r="AG169" i="1"/>
  <c r="AH176" i="1"/>
  <c r="AG176" i="1"/>
  <c r="AJ176" i="1" s="1"/>
  <c r="AF177" i="1"/>
  <c r="AF178" i="1"/>
  <c r="V201" i="1"/>
  <c r="F203" i="1"/>
  <c r="F215" i="1"/>
  <c r="Z223" i="1"/>
  <c r="D223" i="1" s="1"/>
  <c r="AG164" i="1"/>
  <c r="AH164" i="1" s="1"/>
  <c r="AJ164" i="1" s="1"/>
  <c r="AG165" i="1"/>
  <c r="AG166" i="1"/>
  <c r="AH166" i="1" s="1"/>
  <c r="AG167" i="1"/>
  <c r="AH167" i="1" s="1"/>
  <c r="AG168" i="1"/>
  <c r="AH168" i="1" s="1"/>
  <c r="E218" i="1"/>
  <c r="E221" i="1"/>
  <c r="E224" i="1"/>
  <c r="AA179" i="1"/>
  <c r="F172" i="1"/>
  <c r="Z154" i="1"/>
  <c r="F154" i="1" s="1"/>
  <c r="Y162" i="1"/>
  <c r="E175" i="1" l="1"/>
  <c r="AK175" i="1"/>
  <c r="D175" i="1" s="1"/>
  <c r="AK70" i="1"/>
  <c r="D70" i="1" s="1"/>
  <c r="E70" i="1"/>
  <c r="E117" i="1"/>
  <c r="AK117" i="1"/>
  <c r="D117" i="1" s="1"/>
  <c r="AH13" i="1"/>
  <c r="AJ13" i="1" s="1"/>
  <c r="AH36" i="1"/>
  <c r="AJ36" i="1" s="1"/>
  <c r="E116" i="1"/>
  <c r="AK116" i="1"/>
  <c r="D116" i="1" s="1"/>
  <c r="E176" i="1"/>
  <c r="AK176" i="1"/>
  <c r="D176" i="1" s="1"/>
  <c r="E163" i="1"/>
  <c r="AK163" i="1"/>
  <c r="D163" i="1" s="1"/>
  <c r="AH134" i="1"/>
  <c r="AJ134" i="1" s="1"/>
  <c r="AH95" i="1"/>
  <c r="AJ95" i="1"/>
  <c r="AJ83" i="1"/>
  <c r="AH83" i="1"/>
  <c r="AG99" i="1"/>
  <c r="W213" i="1" s="1"/>
  <c r="AH74" i="1"/>
  <c r="AJ74" i="1" s="1"/>
  <c r="AH7" i="1"/>
  <c r="AJ7" i="1" s="1"/>
  <c r="AK129" i="1"/>
  <c r="D129" i="1" s="1"/>
  <c r="E129" i="1"/>
  <c r="E26" i="1"/>
  <c r="AK26" i="1"/>
  <c r="D26" i="1" s="1"/>
  <c r="AK92" i="1"/>
  <c r="D92" i="1" s="1"/>
  <c r="E92" i="1"/>
  <c r="AK76" i="1"/>
  <c r="D76" i="1" s="1"/>
  <c r="E76" i="1"/>
  <c r="AH67" i="1"/>
  <c r="AJ67" i="1" s="1"/>
  <c r="AK54" i="1"/>
  <c r="D54" i="1" s="1"/>
  <c r="E54" i="1"/>
  <c r="AH46" i="1"/>
  <c r="AJ46" i="1" s="1"/>
  <c r="E28" i="1"/>
  <c r="AK28" i="1"/>
  <c r="D28" i="1" s="1"/>
  <c r="E15" i="1"/>
  <c r="AK15" i="1"/>
  <c r="D15" i="1" s="1"/>
  <c r="AH153" i="1"/>
  <c r="AJ153" i="1" s="1"/>
  <c r="E52" i="1"/>
  <c r="AK52" i="1"/>
  <c r="D52" i="1" s="1"/>
  <c r="E110" i="1"/>
  <c r="AK110" i="1"/>
  <c r="D110" i="1" s="1"/>
  <c r="AH64" i="1"/>
  <c r="AJ64" i="1" s="1"/>
  <c r="AJ25" i="1"/>
  <c r="AH25" i="1"/>
  <c r="AH135" i="1"/>
  <c r="AJ135" i="1" s="1"/>
  <c r="AH128" i="1"/>
  <c r="AJ128" i="1" s="1"/>
  <c r="E111" i="1"/>
  <c r="AK111" i="1"/>
  <c r="D111" i="1" s="1"/>
  <c r="E157" i="1"/>
  <c r="AK157" i="1"/>
  <c r="D157" i="1" s="1"/>
  <c r="AK108" i="1"/>
  <c r="D108" i="1" s="1"/>
  <c r="E108" i="1"/>
  <c r="AJ87" i="1"/>
  <c r="AH63" i="1"/>
  <c r="AJ63" i="1" s="1"/>
  <c r="AH103" i="1"/>
  <c r="AJ103" i="1" s="1"/>
  <c r="AK66" i="1"/>
  <c r="D66" i="1" s="1"/>
  <c r="E66" i="1"/>
  <c r="E89" i="1"/>
  <c r="AK89" i="1"/>
  <c r="D89" i="1" s="1"/>
  <c r="AJ73" i="1"/>
  <c r="AH73" i="1"/>
  <c r="E172" i="1"/>
  <c r="AK172" i="1"/>
  <c r="D172" i="1" s="1"/>
  <c r="E77" i="1"/>
  <c r="AK77" i="1"/>
  <c r="D77" i="1" s="1"/>
  <c r="AK44" i="1"/>
  <c r="D44" i="1" s="1"/>
  <c r="E44" i="1"/>
  <c r="AK31" i="1"/>
  <c r="D31" i="1" s="1"/>
  <c r="E31" i="1"/>
  <c r="AH57" i="1"/>
  <c r="AJ57" i="1" s="1"/>
  <c r="AK71" i="1"/>
  <c r="D71" i="1" s="1"/>
  <c r="E71" i="1"/>
  <c r="E164" i="1"/>
  <c r="AK164" i="1"/>
  <c r="D164" i="1" s="1"/>
  <c r="E226" i="1"/>
  <c r="E114" i="1"/>
  <c r="AK114" i="1"/>
  <c r="D114" i="1" s="1"/>
  <c r="AK130" i="1"/>
  <c r="D130" i="1" s="1"/>
  <c r="E130" i="1"/>
  <c r="E113" i="1"/>
  <c r="AK113" i="1"/>
  <c r="D113" i="1" s="1"/>
  <c r="AK17" i="1"/>
  <c r="D17" i="1" s="1"/>
  <c r="E17" i="1"/>
  <c r="AK32" i="1"/>
  <c r="D32" i="1" s="1"/>
  <c r="E32" i="1"/>
  <c r="AH49" i="1"/>
  <c r="AJ49" i="1"/>
  <c r="E137" i="1"/>
  <c r="AK137" i="1"/>
  <c r="D137" i="1" s="1"/>
  <c r="AH84" i="1"/>
  <c r="AJ84" i="1" s="1"/>
  <c r="AH51" i="1"/>
  <c r="AJ51" i="1" s="1"/>
  <c r="AH96" i="1"/>
  <c r="AJ96" i="1" s="1"/>
  <c r="E30" i="1"/>
  <c r="AK30" i="1"/>
  <c r="D30" i="1" s="1"/>
  <c r="E90" i="1"/>
  <c r="AK90" i="1"/>
  <c r="D90" i="1" s="1"/>
  <c r="AK5" i="1"/>
  <c r="D5" i="1" s="1"/>
  <c r="E5" i="1"/>
  <c r="E165" i="1"/>
  <c r="AK165" i="1"/>
  <c r="D165" i="1" s="1"/>
  <c r="AJ97" i="1"/>
  <c r="AH145" i="1"/>
  <c r="AJ145" i="1" s="1"/>
  <c r="AK12" i="1"/>
  <c r="D12" i="1" s="1"/>
  <c r="E12" i="1"/>
  <c r="E6" i="1"/>
  <c r="AK6" i="1"/>
  <c r="D6" i="1" s="1"/>
  <c r="E14" i="1"/>
  <c r="AK14" i="1"/>
  <c r="D14" i="1" s="1"/>
  <c r="E112" i="1"/>
  <c r="AK112" i="1"/>
  <c r="D112" i="1" s="1"/>
  <c r="AH156" i="1"/>
  <c r="AJ156" i="1" s="1"/>
  <c r="AK138" i="1"/>
  <c r="D138" i="1" s="1"/>
  <c r="E138" i="1"/>
  <c r="AJ127" i="1"/>
  <c r="AH33" i="1"/>
  <c r="AJ33" i="1" s="1"/>
  <c r="E18" i="1"/>
  <c r="AK18" i="1"/>
  <c r="D18" i="1" s="1"/>
  <c r="AH88" i="1"/>
  <c r="AJ88" i="1" s="1"/>
  <c r="AK3" i="1"/>
  <c r="D3" i="1" s="1"/>
  <c r="E3" i="1"/>
  <c r="AH123" i="1"/>
  <c r="AJ123" i="1" s="1"/>
  <c r="AH35" i="1"/>
  <c r="AJ35" i="1"/>
  <c r="AK34" i="1"/>
  <c r="D34" i="1" s="1"/>
  <c r="E34" i="1"/>
  <c r="AK149" i="1"/>
  <c r="D149" i="1" s="1"/>
  <c r="E149" i="1"/>
  <c r="AK151" i="1"/>
  <c r="D151" i="1" s="1"/>
  <c r="E151" i="1"/>
  <c r="AK144" i="1"/>
  <c r="D144" i="1" s="1"/>
  <c r="E144" i="1"/>
  <c r="AJ48" i="1"/>
  <c r="L217" i="1"/>
  <c r="AJ56" i="1"/>
  <c r="AE39" i="1"/>
  <c r="AF22" i="1"/>
  <c r="E85" i="1"/>
  <c r="AK85" i="1"/>
  <c r="D85" i="1" s="1"/>
  <c r="AJ167" i="1"/>
  <c r="AH169" i="1"/>
  <c r="AJ169" i="1" s="1"/>
  <c r="Y159" i="1"/>
  <c r="M216" i="1" s="1"/>
  <c r="F134" i="1"/>
  <c r="Z139" i="1"/>
  <c r="F139" i="1" s="1"/>
  <c r="AH127" i="1"/>
  <c r="V225" i="1"/>
  <c r="W225" i="1" s="1"/>
  <c r="Y225" i="1" s="1"/>
  <c r="AH126" i="1"/>
  <c r="AJ126" i="1" s="1"/>
  <c r="AH38" i="1"/>
  <c r="AJ38" i="1" s="1"/>
  <c r="AG58" i="1"/>
  <c r="AK143" i="1"/>
  <c r="D143" i="1" s="1"/>
  <c r="E143" i="1"/>
  <c r="AJ166" i="1"/>
  <c r="E200" i="1"/>
  <c r="Z200" i="1"/>
  <c r="D200" i="1" s="1"/>
  <c r="AG131" i="1"/>
  <c r="AG139" i="1" s="1"/>
  <c r="W215" i="1" s="1"/>
  <c r="F131" i="1"/>
  <c r="AH147" i="1"/>
  <c r="AJ147" i="1" s="1"/>
  <c r="E115" i="1"/>
  <c r="AK115" i="1"/>
  <c r="D115" i="1" s="1"/>
  <c r="AE159" i="1"/>
  <c r="AH155" i="1"/>
  <c r="AJ155" i="1" s="1"/>
  <c r="Z195" i="1"/>
  <c r="D195" i="1" s="1"/>
  <c r="E195" i="1"/>
  <c r="AH72" i="1"/>
  <c r="AJ72" i="1" s="1"/>
  <c r="V59" i="1"/>
  <c r="F42" i="1"/>
  <c r="AH91" i="1"/>
  <c r="AJ91" i="1" s="1"/>
  <c r="AH106" i="1"/>
  <c r="AJ106" i="1" s="1"/>
  <c r="AJ104" i="1"/>
  <c r="AH75" i="1"/>
  <c r="AJ75" i="1" s="1"/>
  <c r="AJ152" i="1"/>
  <c r="Y119" i="1"/>
  <c r="M214" i="1" s="1"/>
  <c r="AJ45" i="1"/>
  <c r="AH24" i="1"/>
  <c r="AJ24" i="1" s="1"/>
  <c r="AJ43" i="1"/>
  <c r="E132" i="1"/>
  <c r="AK132" i="1"/>
  <c r="D132" i="1" s="1"/>
  <c r="E124" i="1"/>
  <c r="AK124" i="1"/>
  <c r="D124" i="1" s="1"/>
  <c r="AH53" i="1"/>
  <c r="AJ53" i="1" s="1"/>
  <c r="AF102" i="1"/>
  <c r="AE119" i="1"/>
  <c r="AH55" i="1"/>
  <c r="AJ55" i="1" s="1"/>
  <c r="AJ37" i="1"/>
  <c r="E78" i="1"/>
  <c r="AK78" i="1"/>
  <c r="D78" i="1" s="1"/>
  <c r="AG174" i="1"/>
  <c r="AH174" i="1" s="1"/>
  <c r="AJ174" i="1" s="1"/>
  <c r="E222" i="1"/>
  <c r="Z222" i="1"/>
  <c r="D222" i="1" s="1"/>
  <c r="E219" i="1"/>
  <c r="Z219" i="1"/>
  <c r="D219" i="1" s="1"/>
  <c r="AH122" i="1"/>
  <c r="E118" i="1"/>
  <c r="AK118" i="1"/>
  <c r="D118" i="1" s="1"/>
  <c r="AH170" i="1"/>
  <c r="AJ170" i="1" s="1"/>
  <c r="F119" i="1"/>
  <c r="AK105" i="1"/>
  <c r="D105" i="1" s="1"/>
  <c r="E105" i="1"/>
  <c r="AK68" i="1"/>
  <c r="D68" i="1" s="1"/>
  <c r="E68" i="1"/>
  <c r="AJ16" i="1"/>
  <c r="U217" i="1"/>
  <c r="AH150" i="1"/>
  <c r="AG150" i="1"/>
  <c r="AJ150" i="1" s="1"/>
  <c r="AG107" i="1"/>
  <c r="AH107" i="1" s="1"/>
  <c r="AF107" i="1"/>
  <c r="F107" i="1"/>
  <c r="AH93" i="1"/>
  <c r="AJ93" i="1" s="1"/>
  <c r="AH69" i="1"/>
  <c r="AJ69" i="1" s="1"/>
  <c r="AF62" i="1"/>
  <c r="AG62" i="1" s="1"/>
  <c r="AE79" i="1"/>
  <c r="E27" i="1"/>
  <c r="AK27" i="1"/>
  <c r="D27" i="1" s="1"/>
  <c r="E29" i="1"/>
  <c r="AK29" i="1"/>
  <c r="D29" i="1" s="1"/>
  <c r="Z159" i="1"/>
  <c r="F159" i="1" s="1"/>
  <c r="V159" i="1"/>
  <c r="AG142" i="1"/>
  <c r="AG159" i="1" s="1"/>
  <c r="W216" i="1" s="1"/>
  <c r="F142" i="1"/>
  <c r="AG162" i="1"/>
  <c r="F162" i="1"/>
  <c r="V179" i="1"/>
  <c r="AH162" i="1"/>
  <c r="AH173" i="1"/>
  <c r="AJ173" i="1" s="1"/>
  <c r="E204" i="1"/>
  <c r="Z204" i="1"/>
  <c r="D204" i="1" s="1"/>
  <c r="V119" i="1"/>
  <c r="AG102" i="1"/>
  <c r="F102" i="1"/>
  <c r="AH146" i="1"/>
  <c r="AJ146" i="1" s="1"/>
  <c r="AJ125" i="1"/>
  <c r="AJ86" i="1"/>
  <c r="Y139" i="1"/>
  <c r="M215" i="1" s="1"/>
  <c r="AE19" i="1"/>
  <c r="AF2" i="1"/>
  <c r="AG2" i="1" s="1"/>
  <c r="F50" i="1"/>
  <c r="AF50" i="1"/>
  <c r="AG50" i="1" s="1"/>
  <c r="Z197" i="1"/>
  <c r="D197" i="1" s="1"/>
  <c r="E197" i="1"/>
  <c r="AE139" i="1"/>
  <c r="AK65" i="1"/>
  <c r="D65" i="1" s="1"/>
  <c r="E65" i="1"/>
  <c r="AH99" i="1"/>
  <c r="X213" i="1" s="1"/>
  <c r="F58" i="1"/>
  <c r="AJ11" i="1"/>
  <c r="AJ10" i="1"/>
  <c r="AG158" i="1"/>
  <c r="AH158" i="1" s="1"/>
  <c r="AF158" i="1"/>
  <c r="E202" i="1"/>
  <c r="Z202" i="1"/>
  <c r="D202" i="1" s="1"/>
  <c r="Z199" i="1"/>
  <c r="D199" i="1" s="1"/>
  <c r="E199" i="1"/>
  <c r="N226" i="1"/>
  <c r="F226" i="1" s="1"/>
  <c r="F225" i="1"/>
  <c r="AK98" i="1"/>
  <c r="D98" i="1" s="1"/>
  <c r="E98" i="1"/>
  <c r="F212" i="1"/>
  <c r="L216" i="1"/>
  <c r="AH133" i="1"/>
  <c r="AJ133" i="1" s="1"/>
  <c r="AJ82" i="1"/>
  <c r="AF42" i="1"/>
  <c r="AG42" i="1" s="1"/>
  <c r="AE59" i="1"/>
  <c r="AF109" i="1"/>
  <c r="AG109" i="1" s="1"/>
  <c r="AJ23" i="1"/>
  <c r="AJ168" i="1"/>
  <c r="AJ47" i="1"/>
  <c r="Y179" i="1"/>
  <c r="M217" i="1" s="1"/>
  <c r="AH171" i="1"/>
  <c r="AJ171" i="1" s="1"/>
  <c r="E154" i="1"/>
  <c r="AK154" i="1"/>
  <c r="D154" i="1" s="1"/>
  <c r="AG177" i="1"/>
  <c r="AH177" i="1" s="1"/>
  <c r="AJ177" i="1" s="1"/>
  <c r="F177" i="1"/>
  <c r="AK148" i="1"/>
  <c r="D148" i="1" s="1"/>
  <c r="E148" i="1"/>
  <c r="L213" i="1"/>
  <c r="AH8" i="1"/>
  <c r="AJ8" i="1" s="1"/>
  <c r="AH94" i="1"/>
  <c r="AJ94" i="1" s="1"/>
  <c r="U213" i="1"/>
  <c r="V213" i="1" s="1"/>
  <c r="AF99" i="1"/>
  <c r="V39" i="1"/>
  <c r="AG22" i="1"/>
  <c r="AG39" i="1" s="1"/>
  <c r="W210" i="1" s="1"/>
  <c r="AJ9" i="1"/>
  <c r="AH4" i="1"/>
  <c r="AJ4" i="1" s="1"/>
  <c r="F22" i="1"/>
  <c r="AK178" i="1"/>
  <c r="D178" i="1" s="1"/>
  <c r="E178" i="1"/>
  <c r="E136" i="1"/>
  <c r="AK136" i="1"/>
  <c r="D136" i="1" s="1"/>
  <c r="AH109" i="1" l="1"/>
  <c r="AJ109" i="1" s="1"/>
  <c r="E91" i="1"/>
  <c r="AK91" i="1"/>
  <c r="D91" i="1" s="1"/>
  <c r="E88" i="1"/>
  <c r="AK88" i="1"/>
  <c r="D88" i="1" s="1"/>
  <c r="AK57" i="1"/>
  <c r="D57" i="1" s="1"/>
  <c r="E57" i="1"/>
  <c r="E128" i="1"/>
  <c r="AK128" i="1"/>
  <c r="D128" i="1" s="1"/>
  <c r="AG59" i="1"/>
  <c r="W211" i="1" s="1"/>
  <c r="AJ42" i="1"/>
  <c r="AH42" i="1"/>
  <c r="AH50" i="1"/>
  <c r="AJ50" i="1" s="1"/>
  <c r="E169" i="1"/>
  <c r="AK169" i="1"/>
  <c r="D169" i="1" s="1"/>
  <c r="E96" i="1"/>
  <c r="AK96" i="1"/>
  <c r="D96" i="1" s="1"/>
  <c r="AK46" i="1"/>
  <c r="D46" i="1" s="1"/>
  <c r="E46" i="1"/>
  <c r="AK7" i="1"/>
  <c r="D7" i="1" s="1"/>
  <c r="E7" i="1"/>
  <c r="E173" i="1"/>
  <c r="AK173" i="1"/>
  <c r="D173" i="1" s="1"/>
  <c r="AK72" i="1"/>
  <c r="D72" i="1" s="1"/>
  <c r="E72" i="1"/>
  <c r="E33" i="1"/>
  <c r="AK33" i="1"/>
  <c r="D33" i="1" s="1"/>
  <c r="E51" i="1"/>
  <c r="AK51" i="1"/>
  <c r="D51" i="1" s="1"/>
  <c r="AK103" i="1"/>
  <c r="D103" i="1" s="1"/>
  <c r="E103" i="1"/>
  <c r="AK74" i="1"/>
  <c r="D74" i="1" s="1"/>
  <c r="E74" i="1"/>
  <c r="E177" i="1"/>
  <c r="AK177" i="1"/>
  <c r="D177" i="1" s="1"/>
  <c r="E133" i="1"/>
  <c r="AK133" i="1"/>
  <c r="D133" i="1" s="1"/>
  <c r="E174" i="1"/>
  <c r="AK174" i="1"/>
  <c r="D174" i="1" s="1"/>
  <c r="AK145" i="1"/>
  <c r="D145" i="1" s="1"/>
  <c r="E145" i="1"/>
  <c r="AK84" i="1"/>
  <c r="D84" i="1" s="1"/>
  <c r="E84" i="1"/>
  <c r="AK63" i="1"/>
  <c r="D63" i="1" s="1"/>
  <c r="E63" i="1"/>
  <c r="AK64" i="1"/>
  <c r="D64" i="1" s="1"/>
  <c r="E64" i="1"/>
  <c r="E36" i="1"/>
  <c r="AK36" i="1"/>
  <c r="D36" i="1" s="1"/>
  <c r="AK4" i="1"/>
  <c r="D4" i="1" s="1"/>
  <c r="E4" i="1"/>
  <c r="E24" i="1"/>
  <c r="AK24" i="1"/>
  <c r="D24" i="1" s="1"/>
  <c r="AK67" i="1"/>
  <c r="D67" i="1" s="1"/>
  <c r="E67" i="1"/>
  <c r="E13" i="1"/>
  <c r="AK13" i="1"/>
  <c r="D13" i="1" s="1"/>
  <c r="Y210" i="1"/>
  <c r="AK69" i="1"/>
  <c r="D69" i="1" s="1"/>
  <c r="E69" i="1"/>
  <c r="E155" i="1"/>
  <c r="AK155" i="1"/>
  <c r="D155" i="1" s="1"/>
  <c r="E171" i="1"/>
  <c r="AK171" i="1"/>
  <c r="D171" i="1" s="1"/>
  <c r="E93" i="1"/>
  <c r="AK93" i="1"/>
  <c r="D93" i="1" s="1"/>
  <c r="E38" i="1"/>
  <c r="AK38" i="1"/>
  <c r="D38" i="1" s="1"/>
  <c r="E156" i="1"/>
  <c r="AK156" i="1"/>
  <c r="D156" i="1" s="1"/>
  <c r="E170" i="1"/>
  <c r="AK170" i="1"/>
  <c r="D170" i="1" s="1"/>
  <c r="AK55" i="1"/>
  <c r="D55" i="1" s="1"/>
  <c r="E55" i="1"/>
  <c r="E126" i="1"/>
  <c r="AK126" i="1"/>
  <c r="D126" i="1" s="1"/>
  <c r="AK146" i="1"/>
  <c r="D146" i="1" s="1"/>
  <c r="E146" i="1"/>
  <c r="AK75" i="1"/>
  <c r="D75" i="1" s="1"/>
  <c r="E75" i="1"/>
  <c r="E225" i="1"/>
  <c r="Z225" i="1"/>
  <c r="D225" i="1" s="1"/>
  <c r="E123" i="1"/>
  <c r="AK123" i="1"/>
  <c r="D123" i="1" s="1"/>
  <c r="AK153" i="1"/>
  <c r="D153" i="1" s="1"/>
  <c r="E153" i="1"/>
  <c r="AK134" i="1"/>
  <c r="D134" i="1" s="1"/>
  <c r="E134" i="1"/>
  <c r="AK135" i="1"/>
  <c r="D135" i="1" s="1"/>
  <c r="E135" i="1"/>
  <c r="E94" i="1"/>
  <c r="AK94" i="1"/>
  <c r="D94" i="1" s="1"/>
  <c r="AK147" i="1"/>
  <c r="D147" i="1" s="1"/>
  <c r="E147" i="1"/>
  <c r="AK8" i="1"/>
  <c r="D8" i="1" s="1"/>
  <c r="E8" i="1"/>
  <c r="E150" i="1"/>
  <c r="AK150" i="1"/>
  <c r="D150" i="1" s="1"/>
  <c r="AK53" i="1"/>
  <c r="D53" i="1" s="1"/>
  <c r="E53" i="1"/>
  <c r="AK106" i="1"/>
  <c r="D106" i="1" s="1"/>
  <c r="E106" i="1"/>
  <c r="AK23" i="1"/>
  <c r="D23" i="1" s="1"/>
  <c r="E23" i="1"/>
  <c r="AG19" i="1"/>
  <c r="AH2" i="1"/>
  <c r="AH19" i="1" s="1"/>
  <c r="X209" i="1" s="1"/>
  <c r="AJ107" i="1"/>
  <c r="AK73" i="1"/>
  <c r="D73" i="1" s="1"/>
  <c r="E73" i="1"/>
  <c r="E25" i="1"/>
  <c r="AK25" i="1"/>
  <c r="D25" i="1" s="1"/>
  <c r="E83" i="1"/>
  <c r="AK83" i="1"/>
  <c r="D83" i="1" s="1"/>
  <c r="U216" i="1"/>
  <c r="V216" i="1" s="1"/>
  <c r="AF159" i="1"/>
  <c r="F217" i="1"/>
  <c r="U211" i="1"/>
  <c r="V211" i="1" s="1"/>
  <c r="AF59" i="1"/>
  <c r="AH179" i="1"/>
  <c r="X217" i="1" s="1"/>
  <c r="AK48" i="1"/>
  <c r="D48" i="1" s="1"/>
  <c r="E48" i="1"/>
  <c r="AK35" i="1"/>
  <c r="D35" i="1" s="1"/>
  <c r="E35" i="1"/>
  <c r="AH22" i="1"/>
  <c r="AH39" i="1" s="1"/>
  <c r="X210" i="1" s="1"/>
  <c r="AK86" i="1"/>
  <c r="D86" i="1" s="1"/>
  <c r="E86" i="1"/>
  <c r="F179" i="1"/>
  <c r="AH58" i="1"/>
  <c r="AJ58" i="1" s="1"/>
  <c r="E167" i="1"/>
  <c r="AK167" i="1"/>
  <c r="D167" i="1" s="1"/>
  <c r="AK49" i="1"/>
  <c r="D49" i="1" s="1"/>
  <c r="E49" i="1"/>
  <c r="E95" i="1"/>
  <c r="AK95" i="1"/>
  <c r="D95" i="1" s="1"/>
  <c r="AJ22" i="1"/>
  <c r="E82" i="1"/>
  <c r="AK82" i="1"/>
  <c r="D82" i="1" s="1"/>
  <c r="U215" i="1"/>
  <c r="V215" i="1" s="1"/>
  <c r="AF139" i="1"/>
  <c r="E125" i="1"/>
  <c r="AK125" i="1"/>
  <c r="D125" i="1" s="1"/>
  <c r="E127" i="1"/>
  <c r="AK127" i="1"/>
  <c r="D127" i="1" s="1"/>
  <c r="AG179" i="1"/>
  <c r="W217" i="1" s="1"/>
  <c r="Y217" i="1" s="1"/>
  <c r="U212" i="1"/>
  <c r="V212" i="1" s="1"/>
  <c r="AF79" i="1"/>
  <c r="E43" i="1"/>
  <c r="AK43" i="1"/>
  <c r="D43" i="1" s="1"/>
  <c r="AJ162" i="1"/>
  <c r="AG79" i="1"/>
  <c r="AH62" i="1"/>
  <c r="AH79" i="1" s="1"/>
  <c r="X212" i="1" s="1"/>
  <c r="AF179" i="1"/>
  <c r="F59" i="1"/>
  <c r="Z226" i="1"/>
  <c r="D226" i="1" s="1"/>
  <c r="F216" i="1"/>
  <c r="AJ158" i="1"/>
  <c r="V217" i="1"/>
  <c r="E37" i="1"/>
  <c r="AK37" i="1"/>
  <c r="D37" i="1" s="1"/>
  <c r="AK45" i="1"/>
  <c r="D45" i="1" s="1"/>
  <c r="E45" i="1"/>
  <c r="AK9" i="1"/>
  <c r="D9" i="1" s="1"/>
  <c r="E9" i="1"/>
  <c r="U209" i="1"/>
  <c r="V209" i="1" s="1"/>
  <c r="AF19" i="1"/>
  <c r="AG119" i="1"/>
  <c r="W214" i="1" s="1"/>
  <c r="AK16" i="1"/>
  <c r="D16" i="1" s="1"/>
  <c r="E16" i="1"/>
  <c r="AH131" i="1"/>
  <c r="AH139" i="1" s="1"/>
  <c r="U210" i="1"/>
  <c r="V210" i="1" s="1"/>
  <c r="AF39" i="1"/>
  <c r="AK10" i="1"/>
  <c r="D10" i="1" s="1"/>
  <c r="E10" i="1"/>
  <c r="AH102" i="1"/>
  <c r="AH142" i="1"/>
  <c r="AH159" i="1" s="1"/>
  <c r="X216" i="1" s="1"/>
  <c r="Y216" i="1" s="1"/>
  <c r="U214" i="1"/>
  <c r="V214" i="1" s="1"/>
  <c r="AF119" i="1"/>
  <c r="E152" i="1"/>
  <c r="AK152" i="1"/>
  <c r="D152" i="1" s="1"/>
  <c r="AJ122" i="1"/>
  <c r="AK56" i="1"/>
  <c r="D56" i="1" s="1"/>
  <c r="E56" i="1"/>
  <c r="E97" i="1"/>
  <c r="AK97" i="1"/>
  <c r="D97" i="1" s="1"/>
  <c r="Y213" i="1"/>
  <c r="F213" i="1"/>
  <c r="AK47" i="1"/>
  <c r="D47" i="1" s="1"/>
  <c r="E47" i="1"/>
  <c r="AK11" i="1"/>
  <c r="D11" i="1" s="1"/>
  <c r="E11" i="1"/>
  <c r="F39" i="1"/>
  <c r="AJ99" i="1"/>
  <c r="E168" i="1"/>
  <c r="AK168" i="1"/>
  <c r="D168" i="1" s="1"/>
  <c r="E104" i="1"/>
  <c r="AK104" i="1"/>
  <c r="D104" i="1" s="1"/>
  <c r="E166" i="1"/>
  <c r="AK166" i="1"/>
  <c r="D166" i="1" s="1"/>
  <c r="AK87" i="1"/>
  <c r="D87" i="1" s="1"/>
  <c r="E87" i="1"/>
  <c r="E217" i="1" l="1"/>
  <c r="Z217" i="1"/>
  <c r="D217" i="1" s="1"/>
  <c r="AK58" i="1"/>
  <c r="D58" i="1" s="1"/>
  <c r="E58" i="1"/>
  <c r="Z216" i="1"/>
  <c r="D216" i="1" s="1"/>
  <c r="E216" i="1"/>
  <c r="X215" i="1"/>
  <c r="Y215" i="1" s="1"/>
  <c r="AJ139" i="1"/>
  <c r="AK50" i="1"/>
  <c r="D50" i="1" s="1"/>
  <c r="E50" i="1"/>
  <c r="AK109" i="1"/>
  <c r="D109" i="1" s="1"/>
  <c r="E109" i="1"/>
  <c r="AK22" i="1"/>
  <c r="D22" i="1" s="1"/>
  <c r="E22" i="1"/>
  <c r="AH119" i="1"/>
  <c r="X214" i="1" s="1"/>
  <c r="Y214" i="1" s="1"/>
  <c r="AJ102" i="1"/>
  <c r="AJ39" i="1"/>
  <c r="AK42" i="1"/>
  <c r="D42" i="1" s="1"/>
  <c r="E42" i="1"/>
  <c r="AJ142" i="1"/>
  <c r="E213" i="1"/>
  <c r="Z213" i="1"/>
  <c r="D213" i="1" s="1"/>
  <c r="Z210" i="1"/>
  <c r="D210" i="1" s="1"/>
  <c r="E210" i="1"/>
  <c r="AJ131" i="1"/>
  <c r="E158" i="1"/>
  <c r="AK158" i="1"/>
  <c r="D158" i="1" s="1"/>
  <c r="E99" i="1"/>
  <c r="AK99" i="1"/>
  <c r="D99" i="1" s="1"/>
  <c r="AJ62" i="1"/>
  <c r="E107" i="1"/>
  <c r="AK107" i="1"/>
  <c r="D107" i="1" s="1"/>
  <c r="W212" i="1"/>
  <c r="Y212" i="1" s="1"/>
  <c r="AJ79" i="1"/>
  <c r="AJ2" i="1"/>
  <c r="AJ159" i="1"/>
  <c r="E122" i="1"/>
  <c r="AK122" i="1"/>
  <c r="D122" i="1" s="1"/>
  <c r="E162" i="1"/>
  <c r="AK162" i="1"/>
  <c r="D162" i="1" s="1"/>
  <c r="AJ119" i="1"/>
  <c r="AJ179" i="1"/>
  <c r="W209" i="1"/>
  <c r="Y209" i="1" s="1"/>
  <c r="AJ19" i="1"/>
  <c r="AH59" i="1"/>
  <c r="Z214" i="1" l="1"/>
  <c r="D214" i="1" s="1"/>
  <c r="E214" i="1"/>
  <c r="X211" i="1"/>
  <c r="Y211" i="1" s="1"/>
  <c r="AJ59" i="1"/>
  <c r="Z212" i="1"/>
  <c r="D212" i="1" s="1"/>
  <c r="E212" i="1"/>
  <c r="E19" i="1"/>
  <c r="AK19" i="1"/>
  <c r="D19" i="1" s="1"/>
  <c r="AK142" i="1"/>
  <c r="D142" i="1" s="1"/>
  <c r="E142" i="1"/>
  <c r="E209" i="1"/>
  <c r="Z209" i="1"/>
  <c r="D209" i="1" s="1"/>
  <c r="E179" i="1"/>
  <c r="AK179" i="1"/>
  <c r="D179" i="1" s="1"/>
  <c r="AK62" i="1"/>
  <c r="D62" i="1" s="1"/>
  <c r="E62" i="1"/>
  <c r="AK139" i="1"/>
  <c r="D139" i="1" s="1"/>
  <c r="E139" i="1"/>
  <c r="E119" i="1"/>
  <c r="AK119" i="1"/>
  <c r="D119" i="1" s="1"/>
  <c r="E39" i="1"/>
  <c r="AK39" i="1"/>
  <c r="D39" i="1" s="1"/>
  <c r="E215" i="1"/>
  <c r="Z215" i="1"/>
  <c r="D215" i="1" s="1"/>
  <c r="AK102" i="1"/>
  <c r="D102" i="1" s="1"/>
  <c r="E102" i="1"/>
  <c r="E79" i="1"/>
  <c r="AK79" i="1"/>
  <c r="D79" i="1" s="1"/>
  <c r="AK131" i="1"/>
  <c r="D131" i="1" s="1"/>
  <c r="E131" i="1"/>
  <c r="E159" i="1"/>
  <c r="AK159" i="1"/>
  <c r="D159" i="1" s="1"/>
  <c r="AK2" i="1"/>
  <c r="D2" i="1" s="1"/>
  <c r="E2" i="1"/>
  <c r="AK59" i="1" l="1"/>
  <c r="D59" i="1" s="1"/>
  <c r="E59" i="1"/>
  <c r="E211" i="1"/>
  <c r="Z211" i="1"/>
  <c r="D211" i="1" s="1"/>
</calcChain>
</file>

<file path=xl/sharedStrings.xml><?xml version="1.0" encoding="utf-8"?>
<sst xmlns="http://schemas.openxmlformats.org/spreadsheetml/2006/main" count="665" uniqueCount="78">
  <si>
    <t>이윤율</t>
  </si>
  <si>
    <t>마진율</t>
  </si>
  <si>
    <t>광고비율</t>
  </si>
  <si>
    <t>전환율</t>
  </si>
  <si>
    <t>발주남은수량</t>
  </si>
  <si>
    <t>창고안전</t>
  </si>
  <si>
    <t>쿠팡안전</t>
  </si>
  <si>
    <t>창고재고</t>
  </si>
  <si>
    <t>쿠팡재고</t>
  </si>
  <si>
    <t>미포장분</t>
  </si>
  <si>
    <t>목표판매량</t>
  </si>
  <si>
    <t>판매수</t>
  </si>
  <si>
    <t>순판매개수</t>
  </si>
  <si>
    <t>취소개수</t>
  </si>
  <si>
    <t>광고전환</t>
  </si>
  <si>
    <t>가구매</t>
  </si>
  <si>
    <t>매출</t>
  </si>
  <si>
    <t>가구매금액</t>
  </si>
  <si>
    <t>순매출</t>
  </si>
  <si>
    <t>판매가</t>
  </si>
  <si>
    <t>입고가</t>
  </si>
  <si>
    <t>입고판매가</t>
  </si>
  <si>
    <t>광고비1.1</t>
  </si>
  <si>
    <t>광고비</t>
  </si>
  <si>
    <t>가구매비용</t>
  </si>
  <si>
    <t>반품회수비</t>
  </si>
  <si>
    <t>수수료</t>
  </si>
  <si>
    <t>택배비</t>
  </si>
  <si>
    <t>판매수수료</t>
  </si>
  <si>
    <t>부가세</t>
  </si>
  <si>
    <t>도매가</t>
  </si>
  <si>
    <t>판매마진</t>
  </si>
  <si>
    <t>순이익</t>
  </si>
  <si>
    <t>1개당 한국 운임
물류비(KRW)</t>
  </si>
  <si>
    <t>1개당 물류비
(KRW)</t>
  </si>
  <si>
    <t>부자재값</t>
  </si>
  <si>
    <t>노출수</t>
  </si>
  <si>
    <t>클릭수</t>
  </si>
  <si>
    <t>ACC-SHA-BRD-001-BK</t>
  </si>
  <si>
    <t>쉐이버</t>
  </si>
  <si>
    <t>ACC-SHA-BRD-004-BK</t>
  </si>
  <si>
    <t>일자면도기</t>
  </si>
  <si>
    <t>ACC-TOL-DRI-012-BL</t>
  </si>
  <si>
    <t>프라임 1개</t>
  </si>
  <si>
    <t>프라임 2개</t>
  </si>
  <si>
    <t>ACC-TOL-MOW-001-BL</t>
  </si>
  <si>
    <t>다밴다 1개</t>
  </si>
  <si>
    <t>다벤다 2개</t>
  </si>
  <si>
    <t>ACC-CHA-CAR-002-BK</t>
  </si>
  <si>
    <t>시거잭</t>
  </si>
  <si>
    <t>ACC-TOL-WAS-002-BK</t>
  </si>
  <si>
    <t>뉴 고압세척기 
배터리 1개</t>
  </si>
  <si>
    <t>뉴 고압세척기</t>
  </si>
  <si>
    <t>ACC-MOS-RAC-004</t>
  </si>
  <si>
    <t>모기지옥</t>
  </si>
  <si>
    <t>ACC-TOL-SAW-008-BL</t>
  </si>
  <si>
    <t>컷소 배터리 1개</t>
  </si>
  <si>
    <t>컷소 배터리 2개</t>
  </si>
  <si>
    <t>ACC-BLE-POR-001</t>
  </si>
  <si>
    <t>믹서기</t>
  </si>
  <si>
    <t>ACC-CAR-PUM-001-BK</t>
  </si>
  <si>
    <t>공기압 주입기</t>
  </si>
  <si>
    <t>오픈이어 (신제품)</t>
  </si>
  <si>
    <t>골전도이어폰</t>
  </si>
  <si>
    <t>ACC-SHA-PET-002-WH</t>
  </si>
  <si>
    <t>멀티클리퍼 (신제품)</t>
  </si>
  <si>
    <t>강아지바리깡</t>
  </si>
  <si>
    <t>신제품</t>
  </si>
  <si>
    <t>강아지바리깡 2개</t>
  </si>
  <si>
    <t>점프스타터</t>
  </si>
  <si>
    <t>SET-CAR-PUM-002-BK</t>
  </si>
  <si>
    <t>가구매미포함</t>
  </si>
  <si>
    <t>슬롯</t>
  </si>
  <si>
    <t>쿠팡나머지</t>
  </si>
  <si>
    <t>재고손실보상</t>
  </si>
  <si>
    <t>10/10~10/12</t>
  </si>
  <si>
    <t>가구매제외</t>
  </si>
  <si>
    <t>가구매포함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</si>
</sst>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m/d"/>
    <numFmt numFmtId="177" formatCode="#,##0_ "/>
    <numFmt numFmtId="178" formatCode="#,##0_ ;[Red]\-#,##0\ "/>
    <numFmt numFmtId="179" formatCode="#,##0_);[Red]\(#,##0\)"/>
    <numFmt numFmtId="180" formatCode="&quot;₩&quot;#,##0_);[Red]\(&quot;₩&quot;#,##0\)"/>
    <numFmt numFmtId="181" formatCode="0_);[Red]\(0\)"/>
    <numFmt numFmtId="182" formatCode="#,##0.0_ "/>
    <numFmt numFmtId="183" formatCode="[$₩-412]#,##0"/>
    <numFmt numFmtId="184" formatCode="0.0%"/>
  </numFmts>
  <fonts count="16">
    <font>
      <sz val="11"/>
      <color theme="1"/>
      <name val="맑은 고딕"/>
      <family val="2"/>
      <charset val="129"/>
      <scheme val="minor"/>
    </font>
    <font>
      <sz val="11"/>
      <color theme="1"/>
      <name val="Calibri"/>
      <family val="2"/>
    </font>
    <font>
      <sz val="8"/>
      <name val="맑은 고딕"/>
      <family val="2"/>
      <charset val="129"/>
      <scheme val="minor"/>
    </font>
    <font>
      <b/>
      <sz val="12"/>
      <color theme="1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b/>
      <sz val="11"/>
      <color theme="1"/>
      <name val="Noto Sans KR"/>
      <family val="3"/>
      <charset val="129"/>
    </font>
    <font>
      <sz val="11"/>
      <color theme="1"/>
      <name val="Arial"/>
      <family val="2"/>
    </font>
    <font>
      <sz val="11"/>
      <color theme="1"/>
      <name val="Malgun Gothic"/>
      <family val="3"/>
      <charset val="129"/>
    </font>
    <font>
      <sz val="11"/>
      <color rgb="FF0000FF"/>
      <name val="Malgun Gothic"/>
      <family val="3"/>
      <charset val="129"/>
    </font>
    <font>
      <sz val="11"/>
      <color rgb="FF000000"/>
      <name val="&quot;맑은 고딕&quot;"/>
      <family val="3"/>
      <charset val="129"/>
    </font>
    <font>
      <sz val="9"/>
      <color theme="1"/>
      <name val="Arial"/>
      <family val="2"/>
    </font>
    <font>
      <sz val="11"/>
      <name val="Calibri"/>
      <family val="2"/>
    </font>
    <font>
      <sz val="11"/>
      <color rgb="FFFF0000"/>
      <name val="Malgun Gothic"/>
      <family val="3"/>
      <charset val="129"/>
    </font>
    <font>
      <sz val="11"/>
      <color rgb="FFFF0000"/>
      <name val="Calibri"/>
      <family val="2"/>
    </font>
    <font>
      <sz val="11"/>
      <color rgb="FF000000"/>
      <name val="Malgun Gothic"/>
      <family val="3"/>
      <charset val="129"/>
    </font>
    <font>
      <sz val="11"/>
      <color theme="1"/>
      <name val="&quot;맑은 고딕&quot;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C000"/>
        <bgColor rgb="FFFFC000"/>
      </patternFill>
    </fill>
    <fill>
      <patternFill patternType="solid">
        <fgColor rgb="FF6AA84F"/>
        <bgColor rgb="FF6AA84F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A5A5A5"/>
        <bgColor rgb="FFA5A5A5"/>
      </patternFill>
    </fill>
    <fill>
      <patternFill patternType="solid">
        <fgColor rgb="FF999999"/>
        <bgColor rgb="FF999999"/>
      </patternFill>
    </fill>
    <fill>
      <patternFill patternType="solid">
        <fgColor rgb="FF5B9BD5"/>
        <bgColor rgb="FF5B9BD5"/>
      </patternFill>
    </fill>
    <fill>
      <patternFill patternType="solid">
        <fgColor rgb="FF70AD47"/>
        <bgColor rgb="FF70AD47"/>
      </patternFill>
    </fill>
    <fill>
      <patternFill patternType="solid">
        <fgColor rgb="FF8E7CC3"/>
        <bgColor rgb="FF8E7CC3"/>
      </patternFill>
    </fill>
    <fill>
      <patternFill patternType="solid">
        <fgColor theme="6"/>
        <bgColor theme="6"/>
      </patternFill>
    </fill>
    <fill>
      <patternFill patternType="solid">
        <fgColor theme="8"/>
        <bgColor theme="8"/>
      </patternFill>
    </fill>
    <fill>
      <patternFill patternType="solid">
        <fgColor rgb="FFD9EAD3"/>
        <bgColor rgb="FFD9EAD3"/>
      </patternFill>
    </fill>
  </fills>
  <borders count="18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42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1" fillId="0" borderId="1" xfId="0" applyFont="1" applyBorder="1">
      <alignment vertical="center"/>
    </xf>
    <xf numFmtId="176" fontId="3" fillId="0" borderId="2" xfId="0" applyNumberFormat="1" applyFont="1" applyBorder="1" applyAlignment="1">
      <alignment horizontal="center" vertical="center"/>
    </xf>
    <xf numFmtId="177" fontId="3" fillId="3" borderId="2" xfId="0" applyNumberFormat="1" applyFont="1" applyFill="1" applyBorder="1" applyAlignment="1">
      <alignment horizontal="center" vertical="center"/>
    </xf>
    <xf numFmtId="177" fontId="3" fillId="4" borderId="2" xfId="0" applyNumberFormat="1" applyFont="1" applyFill="1" applyBorder="1" applyAlignment="1">
      <alignment horizontal="center" vertical="center"/>
    </xf>
    <xf numFmtId="178" fontId="4" fillId="5" borderId="2" xfId="0" applyNumberFormat="1" applyFont="1" applyFill="1" applyBorder="1" applyAlignment="1">
      <alignment horizontal="center" vertical="center"/>
    </xf>
    <xf numFmtId="178" fontId="3" fillId="5" borderId="2" xfId="0" applyNumberFormat="1" applyFont="1" applyFill="1" applyBorder="1" applyAlignment="1">
      <alignment horizontal="center" vertical="center"/>
    </xf>
    <xf numFmtId="178" fontId="3" fillId="6" borderId="2" xfId="0" applyNumberFormat="1" applyFont="1" applyFill="1" applyBorder="1" applyAlignment="1">
      <alignment horizontal="center" vertical="center"/>
    </xf>
    <xf numFmtId="178" fontId="3" fillId="7" borderId="2" xfId="0" applyNumberFormat="1" applyFont="1" applyFill="1" applyBorder="1" applyAlignment="1">
      <alignment horizontal="center" vertical="center"/>
    </xf>
    <xf numFmtId="178" fontId="3" fillId="3" borderId="2" xfId="0" applyNumberFormat="1" applyFont="1" applyFill="1" applyBorder="1" applyAlignment="1">
      <alignment horizontal="center" vertical="center"/>
    </xf>
    <xf numFmtId="178" fontId="3" fillId="8" borderId="2" xfId="0" applyNumberFormat="1" applyFont="1" applyFill="1" applyBorder="1" applyAlignment="1">
      <alignment horizontal="center" vertical="center"/>
    </xf>
    <xf numFmtId="178" fontId="3" fillId="9" borderId="2" xfId="0" applyNumberFormat="1" applyFont="1" applyFill="1" applyBorder="1" applyAlignment="1">
      <alignment horizontal="center" vertical="center"/>
    </xf>
    <xf numFmtId="179" fontId="3" fillId="8" borderId="2" xfId="0" applyNumberFormat="1" applyFont="1" applyFill="1" applyBorder="1" applyAlignment="1">
      <alignment horizontal="center" vertical="center"/>
    </xf>
    <xf numFmtId="178" fontId="3" fillId="10" borderId="2" xfId="0" applyNumberFormat="1" applyFont="1" applyFill="1" applyBorder="1" applyAlignment="1">
      <alignment horizontal="center" vertical="center"/>
    </xf>
    <xf numFmtId="178" fontId="3" fillId="11" borderId="2" xfId="0" applyNumberFormat="1" applyFont="1" applyFill="1" applyBorder="1" applyAlignment="1">
      <alignment horizontal="center" vertical="center"/>
    </xf>
    <xf numFmtId="179" fontId="3" fillId="11" borderId="2" xfId="0" applyNumberFormat="1" applyFont="1" applyFill="1" applyBorder="1" applyAlignment="1">
      <alignment horizontal="center" vertical="center"/>
    </xf>
    <xf numFmtId="9" fontId="3" fillId="2" borderId="2" xfId="0" applyNumberFormat="1" applyFont="1" applyFill="1" applyBorder="1" applyAlignment="1">
      <alignment horizontal="center" vertical="center"/>
    </xf>
    <xf numFmtId="178" fontId="3" fillId="2" borderId="2" xfId="0" applyNumberFormat="1" applyFont="1" applyFill="1" applyBorder="1" applyAlignment="1">
      <alignment horizontal="center" vertical="center"/>
    </xf>
    <xf numFmtId="177" fontId="3" fillId="2" borderId="2" xfId="0" applyNumberFormat="1" applyFont="1" applyFill="1" applyBorder="1" applyAlignment="1">
      <alignment horizontal="center" vertical="center"/>
    </xf>
    <xf numFmtId="180" fontId="5" fillId="3" borderId="1" xfId="0" applyNumberFormat="1" applyFont="1" applyFill="1" applyBorder="1" applyAlignment="1">
      <alignment horizontal="center" vertical="center" wrapText="1"/>
    </xf>
    <xf numFmtId="181" fontId="5" fillId="3" borderId="2" xfId="0" applyNumberFormat="1" applyFont="1" applyFill="1" applyBorder="1" applyAlignment="1">
      <alignment horizontal="center" vertical="center" wrapText="1"/>
    </xf>
    <xf numFmtId="179" fontId="3" fillId="2" borderId="2" xfId="0" applyNumberFormat="1" applyFont="1" applyFill="1" applyBorder="1" applyAlignment="1">
      <alignment horizontal="center" vertical="center"/>
    </xf>
    <xf numFmtId="179" fontId="3" fillId="2" borderId="3" xfId="0" applyNumberFormat="1" applyFont="1" applyFill="1" applyBorder="1" applyAlignment="1">
      <alignment horizontal="center" vertical="center"/>
    </xf>
    <xf numFmtId="17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4" xfId="0" applyFont="1" applyBorder="1">
      <alignment vertical="center"/>
    </xf>
    <xf numFmtId="176" fontId="6" fillId="7" borderId="5" xfId="0" applyNumberFormat="1" applyFont="1" applyFill="1" applyBorder="1" applyAlignment="1">
      <alignment horizontal="center" vertical="center"/>
    </xf>
    <xf numFmtId="9" fontId="7" fillId="0" borderId="5" xfId="0" applyNumberFormat="1" applyFont="1" applyBorder="1" applyAlignment="1">
      <alignment horizontal="center" vertical="center"/>
    </xf>
    <xf numFmtId="9" fontId="8" fillId="0" borderId="5" xfId="0" applyNumberFormat="1" applyFont="1" applyBorder="1" applyAlignment="1">
      <alignment horizontal="center" vertical="center"/>
    </xf>
    <xf numFmtId="10" fontId="7" fillId="0" borderId="5" xfId="0" applyNumberFormat="1" applyFont="1" applyBorder="1" applyAlignment="1">
      <alignment horizontal="center" vertical="center"/>
    </xf>
    <xf numFmtId="177" fontId="1" fillId="2" borderId="5" xfId="0" applyNumberFormat="1" applyFont="1" applyFill="1" applyBorder="1" applyAlignment="1">
      <alignment horizontal="center" vertical="center"/>
    </xf>
    <xf numFmtId="177" fontId="1" fillId="2" borderId="5" xfId="0" applyNumberFormat="1" applyFont="1" applyFill="1" applyBorder="1" applyAlignment="1">
      <alignment horizontal="right" vertical="center"/>
    </xf>
    <xf numFmtId="177" fontId="1" fillId="2" borderId="5" xfId="0" applyNumberFormat="1" applyFont="1" applyFill="1" applyBorder="1">
      <alignment vertical="center"/>
    </xf>
    <xf numFmtId="179" fontId="1" fillId="2" borderId="5" xfId="0" applyNumberFormat="1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/>
    </xf>
    <xf numFmtId="177" fontId="7" fillId="2" borderId="5" xfId="0" applyNumberFormat="1" applyFont="1" applyFill="1" applyBorder="1" applyAlignment="1">
      <alignment horizontal="center" vertical="center"/>
    </xf>
    <xf numFmtId="178" fontId="9" fillId="0" borderId="0" xfId="0" applyNumberFormat="1" applyFont="1" applyAlignment="1">
      <alignment horizontal="right" vertical="center"/>
    </xf>
    <xf numFmtId="179" fontId="1" fillId="2" borderId="5" xfId="0" applyNumberFormat="1" applyFont="1" applyFill="1" applyBorder="1">
      <alignment vertical="center"/>
    </xf>
    <xf numFmtId="177" fontId="7" fillId="0" borderId="5" xfId="0" applyNumberFormat="1" applyFont="1" applyBorder="1" applyAlignment="1">
      <alignment horizontal="center" vertical="center"/>
    </xf>
    <xf numFmtId="1" fontId="6" fillId="2" borderId="5" xfId="0" applyNumberFormat="1" applyFont="1" applyFill="1" applyBorder="1" applyAlignment="1">
      <alignment horizontal="center" vertical="center"/>
    </xf>
    <xf numFmtId="9" fontId="6" fillId="2" borderId="5" xfId="0" applyNumberFormat="1" applyFont="1" applyFill="1" applyBorder="1" applyAlignment="1">
      <alignment horizontal="center" vertical="center"/>
    </xf>
    <xf numFmtId="178" fontId="7" fillId="0" borderId="5" xfId="0" applyNumberFormat="1" applyFont="1" applyBorder="1" applyAlignment="1">
      <alignment horizontal="center" vertical="center"/>
    </xf>
    <xf numFmtId="182" fontId="6" fillId="2" borderId="5" xfId="0" applyNumberFormat="1" applyFont="1" applyFill="1" applyBorder="1" applyAlignment="1">
      <alignment horizontal="center" vertical="center"/>
    </xf>
    <xf numFmtId="179" fontId="7" fillId="0" borderId="5" xfId="0" applyNumberFormat="1" applyFont="1" applyBorder="1" applyAlignment="1">
      <alignment horizontal="center" vertical="center"/>
    </xf>
    <xf numFmtId="179" fontId="1" fillId="2" borderId="5" xfId="0" applyNumberFormat="1" applyFont="1" applyFill="1" applyBorder="1" applyAlignment="1">
      <alignment horizontal="right" vertical="center"/>
    </xf>
    <xf numFmtId="179" fontId="1" fillId="2" borderId="6" xfId="0" applyNumberFormat="1" applyFont="1" applyFill="1" applyBorder="1" applyAlignment="1">
      <alignment horizontal="right" vertical="center"/>
    </xf>
    <xf numFmtId="0" fontId="10" fillId="0" borderId="7" xfId="0" applyFont="1" applyBorder="1" applyAlignment="1">
      <alignment horizontal="center" vertical="center"/>
    </xf>
    <xf numFmtId="178" fontId="1" fillId="0" borderId="5" xfId="0" applyNumberFormat="1" applyFont="1" applyBorder="1" applyAlignment="1">
      <alignment horizontal="right" vertical="center"/>
    </xf>
    <xf numFmtId="178" fontId="1" fillId="0" borderId="5" xfId="0" applyNumberFormat="1" applyFont="1" applyBorder="1">
      <alignment vertical="center"/>
    </xf>
    <xf numFmtId="178" fontId="1" fillId="2" borderId="5" xfId="0" applyNumberFormat="1" applyFont="1" applyFill="1" applyBorder="1">
      <alignment vertical="center"/>
    </xf>
    <xf numFmtId="177" fontId="6" fillId="2" borderId="5" xfId="0" applyNumberFormat="1" applyFont="1" applyFill="1" applyBorder="1" applyAlignment="1">
      <alignment horizontal="center" vertical="center"/>
    </xf>
    <xf numFmtId="179" fontId="9" fillId="0" borderId="0" xfId="0" applyNumberFormat="1" applyFont="1" applyAlignment="1">
      <alignment horizontal="right" vertical="center"/>
    </xf>
    <xf numFmtId="0" fontId="10" fillId="0" borderId="7" xfId="0" applyFont="1" applyBorder="1" applyAlignment="1">
      <alignment horizontal="center" vertical="center"/>
    </xf>
    <xf numFmtId="0" fontId="1" fillId="0" borderId="8" xfId="0" applyFont="1" applyBorder="1">
      <alignment vertical="center"/>
    </xf>
    <xf numFmtId="177" fontId="1" fillId="2" borderId="9" xfId="0" applyNumberFormat="1" applyFont="1" applyFill="1" applyBorder="1" applyAlignment="1">
      <alignment horizontal="right" vertical="center"/>
    </xf>
    <xf numFmtId="178" fontId="1" fillId="2" borderId="5" xfId="0" applyNumberFormat="1" applyFont="1" applyFill="1" applyBorder="1" applyAlignment="1">
      <alignment horizontal="right" vertical="center"/>
    </xf>
    <xf numFmtId="0" fontId="11" fillId="0" borderId="7" xfId="0" applyFont="1" applyBorder="1">
      <alignment vertical="center"/>
    </xf>
    <xf numFmtId="0" fontId="11" fillId="0" borderId="10" xfId="0" applyFont="1" applyBorder="1">
      <alignment vertical="center"/>
    </xf>
    <xf numFmtId="0" fontId="11" fillId="0" borderId="11" xfId="0" applyFont="1" applyBorder="1">
      <alignment vertical="center"/>
    </xf>
    <xf numFmtId="178" fontId="12" fillId="0" borderId="5" xfId="0" applyNumberFormat="1" applyFont="1" applyBorder="1" applyAlignment="1">
      <alignment horizontal="center" vertical="center"/>
    </xf>
    <xf numFmtId="177" fontId="1" fillId="2" borderId="9" xfId="0" applyNumberFormat="1" applyFont="1" applyFill="1" applyBorder="1" applyAlignment="1">
      <alignment horizontal="center" vertical="center"/>
    </xf>
    <xf numFmtId="179" fontId="13" fillId="2" borderId="5" xfId="0" applyNumberFormat="1" applyFont="1" applyFill="1" applyBorder="1" applyAlignment="1">
      <alignment horizontal="center" vertical="center"/>
    </xf>
    <xf numFmtId="183" fontId="1" fillId="0" borderId="11" xfId="0" applyNumberFormat="1" applyFont="1" applyBorder="1">
      <alignment vertical="center"/>
    </xf>
    <xf numFmtId="183" fontId="1" fillId="0" borderId="11" xfId="0" applyNumberFormat="1" applyFont="1" applyBorder="1" applyAlignment="1">
      <alignment horizontal="center" vertical="center"/>
    </xf>
    <xf numFmtId="184" fontId="7" fillId="0" borderId="5" xfId="0" applyNumberFormat="1" applyFont="1" applyBorder="1" applyAlignment="1">
      <alignment horizontal="center" vertical="center"/>
    </xf>
    <xf numFmtId="177" fontId="1" fillId="2" borderId="9" xfId="0" applyNumberFormat="1" applyFont="1" applyFill="1" applyBorder="1" applyAlignment="1">
      <alignment horizontal="center" vertical="center"/>
    </xf>
    <xf numFmtId="0" fontId="1" fillId="0" borderId="12" xfId="0" applyFont="1" applyBorder="1">
      <alignment vertical="center"/>
    </xf>
    <xf numFmtId="178" fontId="1" fillId="0" borderId="9" xfId="0" applyNumberFormat="1" applyFont="1" applyBorder="1" applyAlignment="1">
      <alignment horizontal="right" vertical="center"/>
    </xf>
    <xf numFmtId="0" fontId="1" fillId="0" borderId="4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0" borderId="13" xfId="0" applyFont="1" applyBorder="1">
      <alignment vertical="center"/>
    </xf>
    <xf numFmtId="176" fontId="1" fillId="0" borderId="14" xfId="0" applyNumberFormat="1" applyFont="1" applyBorder="1">
      <alignment vertical="center"/>
    </xf>
    <xf numFmtId="9" fontId="7" fillId="0" borderId="14" xfId="0" applyNumberFormat="1" applyFont="1" applyBorder="1" applyAlignment="1">
      <alignment horizontal="center" vertical="center"/>
    </xf>
    <xf numFmtId="9" fontId="8" fillId="0" borderId="14" xfId="0" applyNumberFormat="1" applyFont="1" applyBorder="1" applyAlignment="1">
      <alignment horizontal="center" vertical="center"/>
    </xf>
    <xf numFmtId="10" fontId="7" fillId="0" borderId="14" xfId="0" applyNumberFormat="1" applyFont="1" applyBorder="1" applyAlignment="1">
      <alignment horizontal="center" vertical="center"/>
    </xf>
    <xf numFmtId="177" fontId="1" fillId="0" borderId="14" xfId="0" applyNumberFormat="1" applyFont="1" applyBorder="1">
      <alignment vertical="center"/>
    </xf>
    <xf numFmtId="178" fontId="1" fillId="2" borderId="14" xfId="0" applyNumberFormat="1" applyFont="1" applyFill="1" applyBorder="1">
      <alignment vertical="center"/>
    </xf>
    <xf numFmtId="178" fontId="7" fillId="2" borderId="14" xfId="0" applyNumberFormat="1" applyFont="1" applyFill="1" applyBorder="1" applyAlignment="1">
      <alignment horizontal="center" vertical="center"/>
    </xf>
    <xf numFmtId="178" fontId="12" fillId="2" borderId="14" xfId="0" applyNumberFormat="1" applyFont="1" applyFill="1" applyBorder="1" applyAlignment="1">
      <alignment horizontal="center" vertical="center"/>
    </xf>
    <xf numFmtId="9" fontId="6" fillId="2" borderId="14" xfId="0" applyNumberFormat="1" applyFont="1" applyFill="1" applyBorder="1" applyAlignment="1">
      <alignment horizontal="center" vertical="center"/>
    </xf>
    <xf numFmtId="177" fontId="7" fillId="0" borderId="14" xfId="0" applyNumberFormat="1" applyFont="1" applyBorder="1" applyAlignment="1">
      <alignment horizontal="center" vertical="center"/>
    </xf>
    <xf numFmtId="178" fontId="12" fillId="0" borderId="14" xfId="0" applyNumberFormat="1" applyFont="1" applyBorder="1" applyAlignment="1">
      <alignment horizontal="center" vertical="center"/>
    </xf>
    <xf numFmtId="177" fontId="1" fillId="2" borderId="14" xfId="0" applyNumberFormat="1" applyFont="1" applyFill="1" applyBorder="1">
      <alignment vertical="center"/>
    </xf>
    <xf numFmtId="179" fontId="1" fillId="0" borderId="14" xfId="0" applyNumberFormat="1" applyFont="1" applyBorder="1">
      <alignment vertical="center"/>
    </xf>
    <xf numFmtId="179" fontId="1" fillId="2" borderId="14" xfId="0" applyNumberFormat="1" applyFont="1" applyFill="1" applyBorder="1">
      <alignment vertical="center"/>
    </xf>
    <xf numFmtId="179" fontId="7" fillId="2" borderId="14" xfId="0" applyNumberFormat="1" applyFont="1" applyFill="1" applyBorder="1" applyAlignment="1">
      <alignment horizontal="center" vertical="center"/>
    </xf>
    <xf numFmtId="179" fontId="7" fillId="2" borderId="15" xfId="0" applyNumberFormat="1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76" fontId="1" fillId="2" borderId="0" xfId="0" applyNumberFormat="1" applyFont="1" applyFill="1" applyAlignment="1">
      <alignment horizontal="center" vertical="center"/>
    </xf>
    <xf numFmtId="177" fontId="3" fillId="2" borderId="0" xfId="0" applyNumberFormat="1" applyFont="1" applyFill="1" applyAlignment="1">
      <alignment horizontal="center" vertical="center"/>
    </xf>
    <xf numFmtId="178" fontId="3" fillId="2" borderId="0" xfId="0" applyNumberFormat="1" applyFont="1" applyFill="1" applyAlignment="1">
      <alignment horizontal="center" vertical="center"/>
    </xf>
    <xf numFmtId="179" fontId="3" fillId="2" borderId="0" xfId="0" applyNumberFormat="1" applyFont="1" applyFill="1" applyAlignment="1">
      <alignment horizontal="center" vertical="center"/>
    </xf>
    <xf numFmtId="9" fontId="1" fillId="2" borderId="0" xfId="0" applyNumberFormat="1" applyFont="1" applyFill="1" applyAlignment="1">
      <alignment horizontal="center" vertical="center"/>
    </xf>
    <xf numFmtId="178" fontId="1" fillId="2" borderId="0" xfId="0" applyNumberFormat="1" applyFont="1" applyFill="1" applyAlignment="1">
      <alignment horizontal="center" vertical="center"/>
    </xf>
    <xf numFmtId="177" fontId="1" fillId="2" borderId="0" xfId="0" applyNumberFormat="1" applyFont="1" applyFill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177" fontId="9" fillId="0" borderId="0" xfId="0" applyNumberFormat="1" applyFont="1" applyAlignment="1">
      <alignment horizontal="right" vertical="center"/>
    </xf>
    <xf numFmtId="177" fontId="1" fillId="2" borderId="9" xfId="0" applyNumberFormat="1" applyFont="1" applyFill="1" applyBorder="1" applyAlignment="1">
      <alignment horizontal="right" vertical="center"/>
    </xf>
    <xf numFmtId="177" fontId="1" fillId="2" borderId="11" xfId="0" applyNumberFormat="1" applyFont="1" applyFill="1" applyBorder="1" applyAlignment="1">
      <alignment horizontal="right" vertical="center"/>
    </xf>
    <xf numFmtId="0" fontId="1" fillId="0" borderId="8" xfId="0" applyFont="1" applyBorder="1">
      <alignment vertical="center"/>
    </xf>
    <xf numFmtId="0" fontId="1" fillId="0" borderId="10" xfId="0" applyFont="1" applyBorder="1">
      <alignment vertical="center"/>
    </xf>
    <xf numFmtId="177" fontId="1" fillId="2" borderId="11" xfId="0" applyNumberFormat="1" applyFont="1" applyFill="1" applyBorder="1" applyAlignment="1">
      <alignment horizontal="center" vertical="center"/>
    </xf>
    <xf numFmtId="178" fontId="1" fillId="0" borderId="9" xfId="0" applyNumberFormat="1" applyFont="1" applyBorder="1" applyAlignment="1">
      <alignment horizontal="right" vertical="center"/>
    </xf>
    <xf numFmtId="178" fontId="1" fillId="0" borderId="11" xfId="0" applyNumberFormat="1" applyFont="1" applyBorder="1" applyAlignment="1">
      <alignment horizontal="right" vertical="center"/>
    </xf>
    <xf numFmtId="0" fontId="6" fillId="7" borderId="5" xfId="0" applyFont="1" applyFill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6" fontId="1" fillId="0" borderId="2" xfId="0" applyNumberFormat="1" applyFont="1" applyBorder="1" applyAlignment="1">
      <alignment horizontal="center" vertical="center"/>
    </xf>
    <xf numFmtId="177" fontId="3" fillId="12" borderId="2" xfId="0" applyNumberFormat="1" applyFont="1" applyFill="1" applyBorder="1" applyAlignment="1">
      <alignment horizontal="center" vertical="center"/>
    </xf>
    <xf numFmtId="178" fontId="3" fillId="13" borderId="2" xfId="0" applyNumberFormat="1" applyFont="1" applyFill="1" applyBorder="1" applyAlignment="1">
      <alignment horizontal="center" vertical="center"/>
    </xf>
    <xf numFmtId="178" fontId="3" fillId="14" borderId="2" xfId="0" applyNumberFormat="1" applyFont="1" applyFill="1" applyBorder="1" applyAlignment="1">
      <alignment horizontal="center" vertical="center"/>
    </xf>
    <xf numFmtId="179" fontId="3" fillId="5" borderId="2" xfId="0" applyNumberFormat="1" applyFont="1" applyFill="1" applyBorder="1" applyAlignment="1">
      <alignment horizontal="center" vertical="center"/>
    </xf>
    <xf numFmtId="178" fontId="3" fillId="0" borderId="2" xfId="0" applyNumberFormat="1" applyFont="1" applyBorder="1" applyAlignment="1">
      <alignment horizontal="center" vertical="center"/>
    </xf>
    <xf numFmtId="178" fontId="3" fillId="15" borderId="2" xfId="0" applyNumberFormat="1" applyFont="1" applyFill="1" applyBorder="1" applyAlignment="1">
      <alignment horizontal="center" vertical="center"/>
    </xf>
    <xf numFmtId="178" fontId="3" fillId="15" borderId="3" xfId="0" applyNumberFormat="1" applyFont="1" applyFill="1" applyBorder="1" applyAlignment="1">
      <alignment horizontal="center" vertical="center"/>
    </xf>
    <xf numFmtId="9" fontId="1" fillId="0" borderId="17" xfId="0" applyNumberFormat="1" applyFont="1" applyBorder="1" applyAlignment="1">
      <alignment horizontal="center" vertical="center"/>
    </xf>
    <xf numFmtId="178" fontId="1" fillId="0" borderId="5" xfId="0" applyNumberFormat="1" applyFont="1" applyBorder="1" applyAlignment="1">
      <alignment horizontal="center" vertical="center"/>
    </xf>
    <xf numFmtId="17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79" fontId="1" fillId="0" borderId="5" xfId="0" applyNumberFormat="1" applyFont="1" applyBorder="1" applyAlignment="1">
      <alignment horizontal="center" vertical="center"/>
    </xf>
    <xf numFmtId="0" fontId="1" fillId="0" borderId="5" xfId="0" applyFont="1" applyBorder="1">
      <alignment vertical="center"/>
    </xf>
    <xf numFmtId="0" fontId="7" fillId="0" borderId="0" xfId="0" applyFont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176" fontId="3" fillId="0" borderId="5" xfId="0" applyNumberFormat="1" applyFont="1" applyBorder="1" applyAlignment="1">
      <alignment horizontal="center" vertical="center"/>
    </xf>
    <xf numFmtId="184" fontId="7" fillId="2" borderId="5" xfId="0" applyNumberFormat="1" applyFont="1" applyFill="1" applyBorder="1" applyAlignment="1">
      <alignment horizontal="center" vertical="center"/>
    </xf>
    <xf numFmtId="178" fontId="7" fillId="2" borderId="5" xfId="0" applyNumberFormat="1" applyFont="1" applyFill="1" applyBorder="1" applyAlignment="1">
      <alignment horizontal="center" vertical="center"/>
    </xf>
    <xf numFmtId="9" fontId="15" fillId="2" borderId="5" xfId="0" applyNumberFormat="1" applyFont="1" applyFill="1" applyBorder="1" applyAlignment="1">
      <alignment horizontal="center" vertical="center"/>
    </xf>
    <xf numFmtId="177" fontId="7" fillId="0" borderId="6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178" fontId="7" fillId="0" borderId="6" xfId="0" applyNumberFormat="1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184" fontId="7" fillId="0" borderId="14" xfId="0" applyNumberFormat="1" applyFont="1" applyBorder="1" applyAlignment="1">
      <alignment horizontal="center" vertical="center"/>
    </xf>
    <xf numFmtId="9" fontId="15" fillId="2" borderId="14" xfId="0" applyNumberFormat="1" applyFont="1" applyFill="1" applyBorder="1" applyAlignment="1">
      <alignment horizontal="center" vertical="center"/>
    </xf>
    <xf numFmtId="178" fontId="7" fillId="0" borderId="15" xfId="0" applyNumberFormat="1" applyFont="1" applyBorder="1" applyAlignment="1">
      <alignment horizontal="center" vertical="center"/>
    </xf>
    <xf numFmtId="179" fontId="7" fillId="2" borderId="5" xfId="0" applyNumberFormat="1" applyFont="1" applyFill="1" applyBorder="1" applyAlignment="1">
      <alignment horizontal="center" vertical="center"/>
    </xf>
    <xf numFmtId="179" fontId="7" fillId="2" borderId="0" xfId="0" applyNumberFormat="1" applyFont="1" applyFill="1" applyAlignment="1">
      <alignment horizontal="center" vertical="center"/>
    </xf>
    <xf numFmtId="179" fontId="7" fillId="0" borderId="0" xfId="0" applyNumberFormat="1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auto_data2\&#53216;&#54049;&#51088;&#46041;\10&#50900;%20&#49828;&#53664;&#50612;&#48324;%20&#47588;&#52636;.xlsx" TargetMode="External"/><Relationship Id="rId1" Type="http://schemas.openxmlformats.org/officeDocument/2006/relationships/externalLinkPath" Target="10&#50900;%20&#49828;&#53664;&#50612;&#48324;%20&#47588;&#5263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헤몬팜"/>
      <sheetName val="헤몬팜일일"/>
      <sheetName val="헤몬팜마진"/>
      <sheetName val="헤몬팜일일1"/>
    </sheetNames>
    <sheetDataSet>
      <sheetData sheetId="0"/>
      <sheetData sheetId="1"/>
      <sheetData sheetId="2">
        <row r="7">
          <cell r="B7" t="str">
            <v>쉐이버</v>
          </cell>
          <cell r="R7">
            <v>8851</v>
          </cell>
          <cell r="T7">
            <v>65</v>
          </cell>
          <cell r="U7">
            <v>330</v>
          </cell>
          <cell r="V7">
            <v>9245</v>
          </cell>
        </row>
        <row r="8">
          <cell r="B8" t="str">
            <v>일자면도기</v>
          </cell>
          <cell r="R8">
            <v>7081</v>
          </cell>
          <cell r="T8">
            <v>49</v>
          </cell>
          <cell r="U8">
            <v>248</v>
          </cell>
          <cell r="V8">
            <v>7377</v>
          </cell>
        </row>
        <row r="9">
          <cell r="B9" t="str">
            <v>프라임 1개</v>
          </cell>
          <cell r="R9">
            <v>9990</v>
          </cell>
          <cell r="T9">
            <v>162</v>
          </cell>
          <cell r="U9">
            <v>827</v>
          </cell>
          <cell r="V9">
            <v>17332</v>
          </cell>
        </row>
        <row r="10">
          <cell r="B10" t="str">
            <v>프라임 2개</v>
          </cell>
          <cell r="R10">
            <v>9990</v>
          </cell>
          <cell r="T10">
            <v>162</v>
          </cell>
          <cell r="U10">
            <v>827</v>
          </cell>
          <cell r="V10">
            <v>21632</v>
          </cell>
        </row>
        <row r="11">
          <cell r="B11" t="str">
            <v>다밴다 1개</v>
          </cell>
          <cell r="R11">
            <v>13276</v>
          </cell>
          <cell r="T11">
            <v>372</v>
          </cell>
          <cell r="U11">
            <v>1896</v>
          </cell>
          <cell r="V11">
            <v>21956</v>
          </cell>
        </row>
        <row r="12">
          <cell r="B12" t="str">
            <v>다벤다 2개</v>
          </cell>
          <cell r="R12">
            <v>13276</v>
          </cell>
          <cell r="T12">
            <v>372</v>
          </cell>
          <cell r="U12">
            <v>1896</v>
          </cell>
          <cell r="V12">
            <v>26257</v>
          </cell>
        </row>
        <row r="13">
          <cell r="B13" t="str">
            <v>시거잭</v>
          </cell>
          <cell r="R13">
            <v>5089</v>
          </cell>
          <cell r="T13">
            <v>6</v>
          </cell>
          <cell r="U13">
            <v>31</v>
          </cell>
          <cell r="V13">
            <v>5126</v>
          </cell>
        </row>
        <row r="14">
          <cell r="B14" t="str">
            <v>뉴 고압세척기 
배터리 1개</v>
          </cell>
          <cell r="R14">
            <v>7855</v>
          </cell>
          <cell r="T14">
            <v>176</v>
          </cell>
          <cell r="U14">
            <v>900</v>
          </cell>
          <cell r="V14">
            <v>15140</v>
          </cell>
        </row>
        <row r="15">
          <cell r="B15" t="str">
            <v>뉴 고압세척기</v>
          </cell>
          <cell r="R15">
            <v>7855</v>
          </cell>
          <cell r="T15">
            <v>176</v>
          </cell>
          <cell r="U15">
            <v>900</v>
          </cell>
          <cell r="V15">
            <v>19441</v>
          </cell>
        </row>
        <row r="16">
          <cell r="B16" t="str">
            <v>모기지옥</v>
          </cell>
          <cell r="R16">
            <v>6373</v>
          </cell>
          <cell r="T16">
            <v>65</v>
          </cell>
          <cell r="U16">
            <v>333</v>
          </cell>
          <cell r="V16">
            <v>6771</v>
          </cell>
        </row>
        <row r="17">
          <cell r="B17" t="str">
            <v>컷소 배터리 1개</v>
          </cell>
          <cell r="R17">
            <v>12170</v>
          </cell>
          <cell r="T17">
            <v>181</v>
          </cell>
          <cell r="U17">
            <v>926</v>
          </cell>
          <cell r="V17">
            <v>18576</v>
          </cell>
        </row>
        <row r="18">
          <cell r="B18" t="str">
            <v>컷소 배터리 2개</v>
          </cell>
          <cell r="R18">
            <v>12170</v>
          </cell>
          <cell r="T18">
            <v>181</v>
          </cell>
          <cell r="U18">
            <v>926</v>
          </cell>
          <cell r="V18">
            <v>22876</v>
          </cell>
        </row>
        <row r="19">
          <cell r="B19" t="str">
            <v>믹서기</v>
          </cell>
          <cell r="R19">
            <v>3983</v>
          </cell>
          <cell r="T19">
            <v>140</v>
          </cell>
          <cell r="U19">
            <v>714</v>
          </cell>
          <cell r="V19">
            <v>4837</v>
          </cell>
        </row>
        <row r="20">
          <cell r="B20" t="str">
            <v>골전도이어폰</v>
          </cell>
          <cell r="R20">
            <v>6638</v>
          </cell>
          <cell r="T20">
            <v>8</v>
          </cell>
          <cell r="U20">
            <v>40</v>
          </cell>
          <cell r="V20">
            <v>6686</v>
          </cell>
        </row>
        <row r="21">
          <cell r="B21" t="str">
            <v>공기압 주입기</v>
          </cell>
          <cell r="R21">
            <v>8408</v>
          </cell>
          <cell r="T21">
            <v>28</v>
          </cell>
          <cell r="U21">
            <v>143</v>
          </cell>
          <cell r="V21">
            <v>8580</v>
          </cell>
        </row>
        <row r="22">
          <cell r="B22" t="str">
            <v>점프스타터</v>
          </cell>
          <cell r="R22">
            <v>28987</v>
          </cell>
          <cell r="T22">
            <v>28</v>
          </cell>
          <cell r="U22">
            <v>143</v>
          </cell>
          <cell r="V22">
            <v>29158</v>
          </cell>
        </row>
        <row r="23">
          <cell r="B23" t="str">
            <v>강아지바리깡</v>
          </cell>
          <cell r="R23">
            <v>6859</v>
          </cell>
          <cell r="T23">
            <v>65</v>
          </cell>
          <cell r="U23">
            <v>330</v>
          </cell>
          <cell r="V23">
            <v>7254</v>
          </cell>
        </row>
        <row r="24">
          <cell r="B24" t="str">
            <v>강아지바리깡 2개</v>
          </cell>
          <cell r="R24">
            <v>13719</v>
          </cell>
          <cell r="T24">
            <v>65</v>
          </cell>
          <cell r="U24">
            <v>330</v>
          </cell>
          <cell r="V24">
            <v>14113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7271A-3174-4AE9-9EF1-0A1B2B5AFDF6}">
  <dimension ref="A1:BL226"/>
  <sheetViews>
    <sheetView tabSelected="1" workbookViewId="0">
      <selection activeCell="AL10" sqref="AL10"/>
    </sheetView>
  </sheetViews>
  <sheetFormatPr defaultRowHeight="16.5"/>
  <cols>
    <col min="1" max="1" width="19.75" bestFit="1" customWidth="1"/>
    <col min="2" max="2" width="19" bestFit="1" customWidth="1"/>
    <col min="3" max="3" width="24.125" bestFit="1" customWidth="1"/>
    <col min="20" max="20" width="14.125" bestFit="1" customWidth="1"/>
    <col min="21" max="22" width="11.875" bestFit="1" customWidth="1"/>
    <col min="25" max="25" width="11.875" bestFit="1" customWidth="1"/>
    <col min="26" max="26" width="10.5" bestFit="1" customWidth="1"/>
    <col min="27" max="27" width="11.625" bestFit="1" customWidth="1"/>
    <col min="28" max="29" width="11.875" bestFit="1" customWidth="1"/>
    <col min="30" max="30" width="7.75" bestFit="1" customWidth="1"/>
    <col min="31" max="31" width="9.875" bestFit="1" customWidth="1"/>
    <col min="32" max="32" width="11.875" bestFit="1" customWidth="1"/>
    <col min="33" max="33" width="9.875" bestFit="1" customWidth="1"/>
    <col min="34" max="35" width="8.5" bestFit="1" customWidth="1"/>
    <col min="36" max="37" width="9.875" bestFit="1" customWidth="1"/>
    <col min="38" max="39" width="8.625" bestFit="1" customWidth="1"/>
    <col min="40" max="40" width="9.75" bestFit="1" customWidth="1"/>
  </cols>
  <sheetData>
    <row r="1" spans="1:63" ht="28.5" customHeight="1">
      <c r="A1" s="1"/>
      <c r="B1" s="2"/>
      <c r="C1" s="3">
        <v>45945</v>
      </c>
      <c r="D1" s="4" t="s">
        <v>0</v>
      </c>
      <c r="E1" s="4" t="s">
        <v>1</v>
      </c>
      <c r="F1" s="4" t="s">
        <v>2</v>
      </c>
      <c r="G1" s="5" t="s">
        <v>3</v>
      </c>
      <c r="H1" s="6" t="s">
        <v>4</v>
      </c>
      <c r="I1" s="7" t="s">
        <v>5</v>
      </c>
      <c r="J1" s="7" t="s">
        <v>6</v>
      </c>
      <c r="K1" s="8" t="s">
        <v>7</v>
      </c>
      <c r="L1" s="9" t="s">
        <v>8</v>
      </c>
      <c r="M1" s="10" t="s">
        <v>9</v>
      </c>
      <c r="N1" s="11" t="s">
        <v>10</v>
      </c>
      <c r="O1" s="11" t="s">
        <v>11</v>
      </c>
      <c r="P1" s="11" t="s">
        <v>12</v>
      </c>
      <c r="Q1" s="12" t="s">
        <v>13</v>
      </c>
      <c r="R1" s="11" t="s">
        <v>14</v>
      </c>
      <c r="S1" s="13" t="s">
        <v>15</v>
      </c>
      <c r="T1" s="14" t="s">
        <v>16</v>
      </c>
      <c r="U1" s="14" t="s">
        <v>17</v>
      </c>
      <c r="V1" s="14" t="s">
        <v>18</v>
      </c>
      <c r="W1" s="14" t="s">
        <v>19</v>
      </c>
      <c r="X1" s="10" t="s">
        <v>20</v>
      </c>
      <c r="Y1" s="10" t="s">
        <v>21</v>
      </c>
      <c r="Z1" s="15" t="s">
        <v>22</v>
      </c>
      <c r="AA1" s="15" t="s">
        <v>23</v>
      </c>
      <c r="AB1" s="16" t="s">
        <v>24</v>
      </c>
      <c r="AC1" s="17" t="s">
        <v>25</v>
      </c>
      <c r="AD1" s="18" t="s">
        <v>26</v>
      </c>
      <c r="AE1" s="4" t="s">
        <v>27</v>
      </c>
      <c r="AF1" s="19" t="s">
        <v>28</v>
      </c>
      <c r="AG1" s="19" t="s">
        <v>26</v>
      </c>
      <c r="AH1" s="4" t="s">
        <v>29</v>
      </c>
      <c r="AI1" s="10" t="s">
        <v>30</v>
      </c>
      <c r="AJ1" s="10" t="s">
        <v>31</v>
      </c>
      <c r="AK1" s="4" t="s">
        <v>32</v>
      </c>
      <c r="AL1" s="20" t="s">
        <v>33</v>
      </c>
      <c r="AM1" s="21" t="s">
        <v>34</v>
      </c>
      <c r="AN1" s="22" t="s">
        <v>35</v>
      </c>
      <c r="AO1" s="22" t="s">
        <v>36</v>
      </c>
      <c r="AP1" s="23" t="s">
        <v>37</v>
      </c>
      <c r="AQ1" s="24"/>
      <c r="AR1" s="24"/>
      <c r="AS1" s="24"/>
      <c r="AT1" s="25"/>
      <c r="AU1" s="25"/>
      <c r="AV1" s="25"/>
      <c r="AW1" s="25"/>
      <c r="AX1" s="25"/>
      <c r="AY1" s="25"/>
      <c r="AZ1" s="25"/>
      <c r="BA1" s="25"/>
      <c r="BB1" s="25"/>
      <c r="BC1" s="25"/>
      <c r="BD1" s="25"/>
      <c r="BE1" s="25"/>
      <c r="BF1" s="25"/>
      <c r="BG1" s="25"/>
      <c r="BH1" s="25"/>
      <c r="BI1" s="25"/>
      <c r="BJ1" s="25"/>
      <c r="BK1" s="25"/>
    </row>
    <row r="2" spans="1:63" ht="28.5" customHeight="1">
      <c r="A2" s="1" t="s">
        <v>38</v>
      </c>
      <c r="B2" s="26"/>
      <c r="C2" s="27" t="s">
        <v>39</v>
      </c>
      <c r="D2" s="28">
        <f t="shared" ref="D2:D19" si="0">AK2/V2</f>
        <v>0.20272170652892729</v>
      </c>
      <c r="E2" s="29">
        <f t="shared" ref="E2:E19" si="1">AJ2/V2</f>
        <v>0.42271097504921318</v>
      </c>
      <c r="F2" s="30">
        <f t="shared" ref="F2:F19" si="2">(Z2+AB2)/V2</f>
        <v>0.21998926852028591</v>
      </c>
      <c r="G2" s="30">
        <f t="shared" ref="G2:G18" si="3">R2/AP2</f>
        <v>7.0772555375472723E-2</v>
      </c>
      <c r="H2" s="31">
        <v>7410</v>
      </c>
      <c r="I2" s="31">
        <f t="shared" ref="I2:I18" si="4">N2*7</f>
        <v>1400</v>
      </c>
      <c r="J2" s="31">
        <f t="shared" ref="J2:J18" si="5">N2*14</f>
        <v>2800</v>
      </c>
      <c r="K2" s="32">
        <v>76</v>
      </c>
      <c r="L2" s="32">
        <f>1906+1320</f>
        <v>3226</v>
      </c>
      <c r="M2" s="33"/>
      <c r="N2" s="34">
        <v>200</v>
      </c>
      <c r="O2" s="35">
        <v>169</v>
      </c>
      <c r="P2" s="36">
        <f t="shared" ref="P2:P18" si="6">O2-S2</f>
        <v>169</v>
      </c>
      <c r="Q2" s="35">
        <v>16</v>
      </c>
      <c r="R2" s="37">
        <v>131</v>
      </c>
      <c r="S2" s="38"/>
      <c r="T2" s="39">
        <f t="shared" ref="T2:T18" si="7">W2*O2</f>
        <v>4715100</v>
      </c>
      <c r="U2" s="36">
        <f t="shared" ref="U2:U18" si="8">W2*S2</f>
        <v>0</v>
      </c>
      <c r="V2" s="39">
        <f t="shared" ref="V2:V18" si="9">T2-U2</f>
        <v>4715100</v>
      </c>
      <c r="W2" s="39">
        <v>27900</v>
      </c>
      <c r="X2" s="39">
        <f>SUMIF([1]헤몬팜마진!$B$7:$B$32,$C2,[1]헤몬팜마진!$R$7:$R$32)</f>
        <v>8851</v>
      </c>
      <c r="Y2" s="39">
        <f t="shared" ref="Y2:Y18" si="10">AI2*P2</f>
        <v>1562405</v>
      </c>
      <c r="Z2" s="39">
        <f t="shared" ref="Z2:Z18" si="11">AA2*1.1</f>
        <v>1037271.4000000001</v>
      </c>
      <c r="AA2" s="32">
        <v>942974</v>
      </c>
      <c r="AB2" s="38"/>
      <c r="AC2" s="40">
        <f t="shared" ref="AC2:AC3" si="12">(1072+1100)*Q2</f>
        <v>34752</v>
      </c>
      <c r="AD2" s="41">
        <v>0.1</v>
      </c>
      <c r="AE2" s="36">
        <f>3050*(P2)</f>
        <v>515450</v>
      </c>
      <c r="AF2" s="28">
        <f t="shared" ref="AF2:AF19" si="13">AD2+(AE2/V2)</f>
        <v>0.20931899641577062</v>
      </c>
      <c r="AG2" s="39">
        <f t="shared" ref="AG2:AG18" si="14">IFERROR(V2*AF2+3%,0)</f>
        <v>986960.03</v>
      </c>
      <c r="AH2" s="39">
        <f t="shared" ref="AH2:AH18" si="15">V2/1.1*10%-((AI2*P2)+AG2+(AN2*P2)+(AL2*P2))*10%</f>
        <v>172610.4515454545</v>
      </c>
      <c r="AI2" s="39">
        <f>SUMIF([1]헤몬팜마진!$B$7:$B$32,$C2,[1]헤몬팜마진!$V$7:$V$32)</f>
        <v>9245</v>
      </c>
      <c r="AJ2" s="39">
        <f t="shared" ref="AJ2:AJ19" si="16">V2-(Y2+AG2+AH2+(AN2*P2))</f>
        <v>1993124.5184545452</v>
      </c>
      <c r="AK2" s="42">
        <f t="shared" ref="AK2:AK19" si="17">AJ2-Z2-AB2</f>
        <v>955853.11845454504</v>
      </c>
      <c r="AL2" s="43">
        <f>SUMIF([1]헤몬팜마진!$B$7:$B$32,$C2,[1]헤몬팜마진!$T$7:$T$32)</f>
        <v>65</v>
      </c>
      <c r="AM2" s="44">
        <f>SUMIF([1]헤몬팜마진!$B$7:$B$32,$C2,[1]헤몬팜마진!$U$7:$U$32)</f>
        <v>330</v>
      </c>
      <c r="AN2" s="38"/>
      <c r="AO2" s="45">
        <v>364057</v>
      </c>
      <c r="AP2" s="46">
        <v>1851</v>
      </c>
      <c r="AQ2" s="24"/>
      <c r="AR2" s="24"/>
      <c r="AS2" s="24"/>
      <c r="AT2" s="25"/>
      <c r="AU2" s="25"/>
      <c r="AV2" s="25"/>
      <c r="AW2" s="25"/>
      <c r="AX2" s="25"/>
      <c r="AY2" s="25"/>
      <c r="AZ2" s="25"/>
      <c r="BA2" s="25"/>
      <c r="BB2" s="25"/>
      <c r="BC2" s="25"/>
      <c r="BD2" s="25"/>
      <c r="BE2" s="25"/>
      <c r="BF2" s="25"/>
      <c r="BG2" s="25"/>
      <c r="BH2" s="25"/>
      <c r="BI2" s="25"/>
      <c r="BJ2" s="25"/>
      <c r="BK2" s="25"/>
    </row>
    <row r="3" spans="1:63" ht="28.5" customHeight="1">
      <c r="A3" s="47" t="s">
        <v>40</v>
      </c>
      <c r="B3" s="26"/>
      <c r="C3" s="27" t="s">
        <v>41</v>
      </c>
      <c r="D3" s="28" t="e">
        <f t="shared" si="0"/>
        <v>#DIV/0!</v>
      </c>
      <c r="E3" s="29" t="e">
        <f t="shared" si="1"/>
        <v>#DIV/0!</v>
      </c>
      <c r="F3" s="30" t="e">
        <f t="shared" si="2"/>
        <v>#DIV/0!</v>
      </c>
      <c r="G3" s="30">
        <f t="shared" si="3"/>
        <v>0</v>
      </c>
      <c r="H3" s="31">
        <v>1460</v>
      </c>
      <c r="I3" s="31">
        <f t="shared" si="4"/>
        <v>140</v>
      </c>
      <c r="J3" s="31">
        <f t="shared" si="5"/>
        <v>280</v>
      </c>
      <c r="K3" s="48">
        <v>325</v>
      </c>
      <c r="L3" s="48">
        <v>0</v>
      </c>
      <c r="M3" s="49"/>
      <c r="N3" s="34">
        <v>20</v>
      </c>
      <c r="O3" s="45"/>
      <c r="P3" s="36">
        <f t="shared" si="6"/>
        <v>0</v>
      </c>
      <c r="Q3" s="38"/>
      <c r="R3" s="50"/>
      <c r="S3" s="38"/>
      <c r="T3" s="39">
        <f t="shared" si="7"/>
        <v>0</v>
      </c>
      <c r="U3" s="36">
        <f t="shared" si="8"/>
        <v>0</v>
      </c>
      <c r="V3" s="39">
        <f t="shared" si="9"/>
        <v>0</v>
      </c>
      <c r="W3" s="51">
        <v>22700</v>
      </c>
      <c r="X3" s="39">
        <f>SUMIF([1]헤몬팜마진!$B$7:$B$32,$C3,[1]헤몬팜마진!$R$7:$R$32)</f>
        <v>7081</v>
      </c>
      <c r="Y3" s="39">
        <f t="shared" si="10"/>
        <v>0</v>
      </c>
      <c r="Z3" s="39">
        <f t="shared" si="11"/>
        <v>3245.0000000000005</v>
      </c>
      <c r="AA3" s="32">
        <v>2950</v>
      </c>
      <c r="AB3" s="38"/>
      <c r="AC3" s="40">
        <f t="shared" si="12"/>
        <v>0</v>
      </c>
      <c r="AD3" s="41">
        <v>0.1</v>
      </c>
      <c r="AE3" s="36">
        <f>2950*(P3)</f>
        <v>0</v>
      </c>
      <c r="AF3" s="28" t="e">
        <f t="shared" si="13"/>
        <v>#DIV/0!</v>
      </c>
      <c r="AG3" s="39">
        <f t="shared" si="14"/>
        <v>0</v>
      </c>
      <c r="AH3" s="39">
        <f t="shared" si="15"/>
        <v>0</v>
      </c>
      <c r="AI3" s="39">
        <f>SUMIF([1]헤몬팜마진!$B$7:$B$32,$C3,[1]헤몬팜마진!$V$7:$V$32)</f>
        <v>7377</v>
      </c>
      <c r="AJ3" s="39">
        <f t="shared" si="16"/>
        <v>0</v>
      </c>
      <c r="AK3" s="42">
        <f t="shared" si="17"/>
        <v>-3245.0000000000005</v>
      </c>
      <c r="AL3" s="43">
        <f>SUMIF([1]헤몬팜마진!$B$7:$B$32,$C3,[1]헤몬팜마진!$T$7:$T$32)</f>
        <v>49</v>
      </c>
      <c r="AM3" s="44">
        <f>SUMIF([1]헤몬팜마진!$B$7:$B$32,$C3,[1]헤몬팜마진!$U$7:$U$32)</f>
        <v>248</v>
      </c>
      <c r="AN3" s="38"/>
      <c r="AO3" s="52">
        <v>30840</v>
      </c>
      <c r="AP3" s="52">
        <v>9</v>
      </c>
      <c r="AQ3" s="24"/>
      <c r="AR3" s="24"/>
      <c r="AS3" s="24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</row>
    <row r="4" spans="1:63" ht="28.5" customHeight="1">
      <c r="A4" s="53" t="s">
        <v>42</v>
      </c>
      <c r="B4" s="54"/>
      <c r="C4" s="27" t="s">
        <v>43</v>
      </c>
      <c r="D4" s="28">
        <f t="shared" si="0"/>
        <v>0.3023425320894535</v>
      </c>
      <c r="E4" s="29">
        <f t="shared" si="1"/>
        <v>0.38830905319571263</v>
      </c>
      <c r="F4" s="30">
        <f t="shared" si="2"/>
        <v>8.5966521106259103E-2</v>
      </c>
      <c r="G4" s="30">
        <f t="shared" si="3"/>
        <v>0</v>
      </c>
      <c r="H4" s="31">
        <v>0</v>
      </c>
      <c r="I4" s="31">
        <f t="shared" si="4"/>
        <v>105</v>
      </c>
      <c r="J4" s="31">
        <f t="shared" si="5"/>
        <v>210</v>
      </c>
      <c r="K4" s="55">
        <v>430</v>
      </c>
      <c r="L4" s="32">
        <f>40+3+3</f>
        <v>46</v>
      </c>
      <c r="M4" s="33"/>
      <c r="N4" s="34">
        <v>15</v>
      </c>
      <c r="O4" s="45">
        <v>3</v>
      </c>
      <c r="P4" s="36">
        <f t="shared" si="6"/>
        <v>3</v>
      </c>
      <c r="Q4" s="38"/>
      <c r="R4" s="56"/>
      <c r="S4" s="38"/>
      <c r="T4" s="39">
        <f t="shared" si="7"/>
        <v>137400</v>
      </c>
      <c r="U4" s="36">
        <f t="shared" si="8"/>
        <v>0</v>
      </c>
      <c r="V4" s="39">
        <f t="shared" si="9"/>
        <v>137400</v>
      </c>
      <c r="W4" s="51">
        <v>45800</v>
      </c>
      <c r="X4" s="39">
        <f>SUMIF([1]헤몬팜마진!$B$7:$B$32,$C4,[1]헤몬팜마진!$R$7:$R$32)</f>
        <v>9990</v>
      </c>
      <c r="Y4" s="39">
        <f t="shared" si="10"/>
        <v>51996</v>
      </c>
      <c r="Z4" s="39">
        <f t="shared" si="11"/>
        <v>11811.800000000001</v>
      </c>
      <c r="AA4" s="32">
        <v>10738</v>
      </c>
      <c r="AB4" s="38"/>
      <c r="AC4" s="40">
        <f t="shared" ref="AC4:AC18" si="18">(1210+1100)*Q4</f>
        <v>0</v>
      </c>
      <c r="AD4" s="41">
        <v>0.11</v>
      </c>
      <c r="AE4" s="36">
        <f t="shared" ref="AE4:AE5" si="19">4150*(P4)</f>
        <v>12450</v>
      </c>
      <c r="AF4" s="28">
        <f t="shared" si="13"/>
        <v>0.2006113537117904</v>
      </c>
      <c r="AG4" s="39">
        <f t="shared" si="14"/>
        <v>27564.03</v>
      </c>
      <c r="AH4" s="39">
        <f t="shared" si="15"/>
        <v>4486.30609090909</v>
      </c>
      <c r="AI4" s="39">
        <f>SUMIF([1]헤몬팜마진!$B$7:$B$32,$C4,[1]헤몬팜마진!$V$7:$V$32)</f>
        <v>17332</v>
      </c>
      <c r="AJ4" s="39">
        <f t="shared" si="16"/>
        <v>53353.663909090916</v>
      </c>
      <c r="AK4" s="42">
        <f t="shared" si="17"/>
        <v>41541.863909090913</v>
      </c>
      <c r="AL4" s="43">
        <f>SUMIF([1]헤몬팜마진!$B$7:$B$32,$C4,[1]헤몬팜마진!$T$7:$T$32)</f>
        <v>162</v>
      </c>
      <c r="AM4" s="44">
        <f>SUMIF([1]헤몬팜마진!$B$7:$B$32,$C4,[1]헤몬팜마진!$U$7:$U$32)</f>
        <v>827</v>
      </c>
      <c r="AN4" s="38"/>
      <c r="AO4" s="45">
        <v>16111</v>
      </c>
      <c r="AP4" s="46">
        <v>85</v>
      </c>
      <c r="AQ4" s="24"/>
      <c r="AR4" s="24"/>
      <c r="AS4" s="24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</row>
    <row r="5" spans="1:63" ht="28.5" customHeight="1">
      <c r="A5" s="57"/>
      <c r="B5" s="58"/>
      <c r="C5" s="27" t="s">
        <v>44</v>
      </c>
      <c r="D5" s="28">
        <f t="shared" si="0"/>
        <v>8.0604312937062814E-2</v>
      </c>
      <c r="E5" s="29">
        <f t="shared" si="1"/>
        <v>0.31462931293706287</v>
      </c>
      <c r="F5" s="30">
        <f t="shared" si="2"/>
        <v>0.23402500000000004</v>
      </c>
      <c r="G5" s="30">
        <f t="shared" si="3"/>
        <v>3.5294117647058823E-2</v>
      </c>
      <c r="H5" s="31">
        <v>0</v>
      </c>
      <c r="I5" s="31">
        <f t="shared" si="4"/>
        <v>105</v>
      </c>
      <c r="J5" s="31">
        <f t="shared" si="5"/>
        <v>210</v>
      </c>
      <c r="K5" s="59"/>
      <c r="L5" s="32">
        <f>13+2</f>
        <v>15</v>
      </c>
      <c r="M5" s="33"/>
      <c r="N5" s="34">
        <v>15</v>
      </c>
      <c r="O5" s="45">
        <v>10</v>
      </c>
      <c r="P5" s="36">
        <f t="shared" si="6"/>
        <v>10</v>
      </c>
      <c r="Q5" s="45">
        <v>1</v>
      </c>
      <c r="R5" s="56">
        <v>9</v>
      </c>
      <c r="S5" s="38"/>
      <c r="T5" s="39">
        <f t="shared" si="7"/>
        <v>468000</v>
      </c>
      <c r="U5" s="36">
        <f t="shared" si="8"/>
        <v>0</v>
      </c>
      <c r="V5" s="39">
        <f t="shared" si="9"/>
        <v>468000</v>
      </c>
      <c r="W5" s="51">
        <v>46800</v>
      </c>
      <c r="X5" s="39">
        <f>SUMIF([1]헤몬팜마진!$B$7:$B$32,$C5,[1]헤몬팜마진!$R$7:$R$32)</f>
        <v>9990</v>
      </c>
      <c r="Y5" s="39">
        <f t="shared" si="10"/>
        <v>216320</v>
      </c>
      <c r="Z5" s="39">
        <f t="shared" si="11"/>
        <v>109523.70000000001</v>
      </c>
      <c r="AA5" s="32">
        <v>99567</v>
      </c>
      <c r="AB5" s="38"/>
      <c r="AC5" s="40">
        <f t="shared" si="18"/>
        <v>2310</v>
      </c>
      <c r="AD5" s="41">
        <v>0.11</v>
      </c>
      <c r="AE5" s="36">
        <f t="shared" si="19"/>
        <v>41500</v>
      </c>
      <c r="AF5" s="28">
        <f t="shared" si="13"/>
        <v>0.19867521367521368</v>
      </c>
      <c r="AG5" s="39">
        <f t="shared" si="14"/>
        <v>92980.03</v>
      </c>
      <c r="AH5" s="39">
        <f t="shared" si="15"/>
        <v>11453.45154545454</v>
      </c>
      <c r="AI5" s="39">
        <f>SUMIF([1]헤몬팜마진!$B$7:$B$32,$C5,[1]헤몬팜마진!$V$7:$V$32)</f>
        <v>21632</v>
      </c>
      <c r="AJ5" s="39">
        <f t="shared" si="16"/>
        <v>147246.51845454541</v>
      </c>
      <c r="AK5" s="60">
        <f t="shared" si="17"/>
        <v>37722.818454545399</v>
      </c>
      <c r="AL5" s="43">
        <f>SUMIF([1]헤몬팜마진!$B$7:$B$32,$C5,[1]헤몬팜마진!$T$7:$T$32)</f>
        <v>162</v>
      </c>
      <c r="AM5" s="44">
        <f>SUMIF([1]헤몬팜마진!$B$7:$B$32,$C5,[1]헤몬팜마진!$U$7:$U$32)</f>
        <v>827</v>
      </c>
      <c r="AN5" s="38"/>
      <c r="AO5" s="45">
        <v>93394</v>
      </c>
      <c r="AP5" s="46">
        <v>255</v>
      </c>
      <c r="AQ5" s="24"/>
      <c r="AR5" s="24"/>
      <c r="AS5" s="24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</row>
    <row r="6" spans="1:63" ht="28.5" customHeight="1">
      <c r="A6" s="1" t="s">
        <v>45</v>
      </c>
      <c r="B6" s="54"/>
      <c r="C6" s="27" t="s">
        <v>46</v>
      </c>
      <c r="D6" s="28" t="e">
        <f t="shared" si="0"/>
        <v>#DIV/0!</v>
      </c>
      <c r="E6" s="29" t="e">
        <f t="shared" si="1"/>
        <v>#DIV/0!</v>
      </c>
      <c r="F6" s="30" t="e">
        <f t="shared" si="2"/>
        <v>#DIV/0!</v>
      </c>
      <c r="G6" s="30">
        <f t="shared" si="3"/>
        <v>0</v>
      </c>
      <c r="H6" s="61">
        <v>3504</v>
      </c>
      <c r="I6" s="31">
        <f t="shared" si="4"/>
        <v>210</v>
      </c>
      <c r="J6" s="31">
        <f t="shared" si="5"/>
        <v>420</v>
      </c>
      <c r="K6" s="55">
        <v>626</v>
      </c>
      <c r="L6" s="48">
        <f>30+13+6</f>
        <v>49</v>
      </c>
      <c r="M6" s="49"/>
      <c r="N6" s="62">
        <v>30</v>
      </c>
      <c r="O6" s="45"/>
      <c r="P6" s="36">
        <f t="shared" si="6"/>
        <v>0</v>
      </c>
      <c r="Q6" s="38"/>
      <c r="R6" s="56"/>
      <c r="S6" s="38"/>
      <c r="T6" s="39">
        <f t="shared" si="7"/>
        <v>0</v>
      </c>
      <c r="U6" s="36">
        <f t="shared" si="8"/>
        <v>0</v>
      </c>
      <c r="V6" s="39">
        <f t="shared" si="9"/>
        <v>0</v>
      </c>
      <c r="W6" s="51">
        <v>59800</v>
      </c>
      <c r="X6" s="39">
        <f>SUMIF([1]헤몬팜마진!$B$7:$B$32,$C6,[1]헤몬팜마진!$R$7:$R$32)</f>
        <v>13276</v>
      </c>
      <c r="Y6" s="39">
        <f t="shared" si="10"/>
        <v>0</v>
      </c>
      <c r="Z6" s="39">
        <f t="shared" si="11"/>
        <v>5242.6000000000004</v>
      </c>
      <c r="AA6" s="32">
        <v>4766</v>
      </c>
      <c r="AB6" s="63"/>
      <c r="AC6" s="40">
        <f t="shared" si="18"/>
        <v>0</v>
      </c>
      <c r="AD6" s="41">
        <v>0.108</v>
      </c>
      <c r="AE6" s="36">
        <f t="shared" ref="AE6:AE7" si="20">4825*(P6)</f>
        <v>0</v>
      </c>
      <c r="AF6" s="28" t="e">
        <f t="shared" si="13"/>
        <v>#DIV/0!</v>
      </c>
      <c r="AG6" s="39">
        <f t="shared" si="14"/>
        <v>0</v>
      </c>
      <c r="AH6" s="39">
        <f t="shared" si="15"/>
        <v>0</v>
      </c>
      <c r="AI6" s="39">
        <f>SUMIF([1]헤몬팜마진!$B$7:$B$32,$C6,[1]헤몬팜마진!$V$7:$V$32)</f>
        <v>21956</v>
      </c>
      <c r="AJ6" s="39">
        <f t="shared" si="16"/>
        <v>0</v>
      </c>
      <c r="AK6" s="42">
        <f t="shared" si="17"/>
        <v>-5242.6000000000004</v>
      </c>
      <c r="AL6" s="43">
        <f>SUMIF([1]헤몬팜마진!$B$7:$B$32,$C6,[1]헤몬팜마진!$T$7:$T$32)</f>
        <v>372</v>
      </c>
      <c r="AM6" s="44">
        <f>SUMIF([1]헤몬팜마진!$B$7:$B$32,$C6,[1]헤몬팜마진!$U$7:$U$32)</f>
        <v>1896</v>
      </c>
      <c r="AN6" s="38"/>
      <c r="AO6" s="45">
        <v>14379</v>
      </c>
      <c r="AP6" s="46">
        <v>8</v>
      </c>
      <c r="AQ6" s="24"/>
      <c r="AR6" s="24"/>
      <c r="AS6" s="24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5"/>
    </row>
    <row r="7" spans="1:63" ht="28.5" customHeight="1">
      <c r="A7" s="1" t="s">
        <v>45</v>
      </c>
      <c r="B7" s="58"/>
      <c r="C7" s="27" t="s">
        <v>47</v>
      </c>
      <c r="D7" s="28">
        <f t="shared" si="0"/>
        <v>0.41153824357070273</v>
      </c>
      <c r="E7" s="29">
        <f t="shared" si="1"/>
        <v>0.41153824357070273</v>
      </c>
      <c r="F7" s="30">
        <f t="shared" si="2"/>
        <v>0</v>
      </c>
      <c r="G7" s="30">
        <f t="shared" si="3"/>
        <v>5.7142857142857141E-2</v>
      </c>
      <c r="H7" s="31">
        <v>0</v>
      </c>
      <c r="I7" s="31">
        <f t="shared" si="4"/>
        <v>210</v>
      </c>
      <c r="J7" s="31">
        <f t="shared" si="5"/>
        <v>420</v>
      </c>
      <c r="K7" s="59"/>
      <c r="L7" s="48">
        <f>4+11+18+38+129</f>
        <v>200</v>
      </c>
      <c r="M7" s="49"/>
      <c r="N7" s="34">
        <v>30</v>
      </c>
      <c r="O7" s="45">
        <v>3</v>
      </c>
      <c r="P7" s="36">
        <f t="shared" si="6"/>
        <v>3</v>
      </c>
      <c r="Q7" s="38"/>
      <c r="R7" s="56">
        <v>2</v>
      </c>
      <c r="S7" s="38"/>
      <c r="T7" s="39">
        <f t="shared" si="7"/>
        <v>209340</v>
      </c>
      <c r="U7" s="36">
        <f t="shared" si="8"/>
        <v>0</v>
      </c>
      <c r="V7" s="39">
        <f t="shared" si="9"/>
        <v>209340</v>
      </c>
      <c r="W7" s="51">
        <v>69780</v>
      </c>
      <c r="X7" s="39">
        <f>SUMIF([1]헤몬팜마진!$B$7:$B$32,$C7,[1]헤몬팜마진!$R$7:$R$32)</f>
        <v>13276</v>
      </c>
      <c r="Y7" s="39">
        <f t="shared" si="10"/>
        <v>78771</v>
      </c>
      <c r="Z7" s="39">
        <f t="shared" si="11"/>
        <v>0</v>
      </c>
      <c r="AA7" s="32"/>
      <c r="AB7" s="38"/>
      <c r="AC7" s="40">
        <f t="shared" si="18"/>
        <v>0</v>
      </c>
      <c r="AD7" s="41">
        <v>0.108</v>
      </c>
      <c r="AE7" s="36">
        <f t="shared" si="20"/>
        <v>14475</v>
      </c>
      <c r="AF7" s="28">
        <f t="shared" si="13"/>
        <v>0.17714588707366008</v>
      </c>
      <c r="AG7" s="39">
        <f t="shared" si="14"/>
        <v>37083.75</v>
      </c>
      <c r="AH7" s="39">
        <f t="shared" si="15"/>
        <v>7333.8340909090875</v>
      </c>
      <c r="AI7" s="39">
        <f>SUMIF([1]헤몬팜마진!$B$7:$B$32,$C7,[1]헤몬팜마진!$V$7:$V$32)</f>
        <v>26257</v>
      </c>
      <c r="AJ7" s="39">
        <f t="shared" si="16"/>
        <v>86151.415909090909</v>
      </c>
      <c r="AK7" s="42">
        <f t="shared" si="17"/>
        <v>86151.415909090909</v>
      </c>
      <c r="AL7" s="43">
        <f>SUMIF([1]헤몬팜마진!$B$7:$B$32,$C7,[1]헤몬팜마진!$T$7:$T$32)</f>
        <v>372</v>
      </c>
      <c r="AM7" s="44">
        <f>SUMIF([1]헤몬팜마진!$B$7:$B$32,$C7,[1]헤몬팜마진!$U$7:$U$32)</f>
        <v>1896</v>
      </c>
      <c r="AN7" s="38"/>
      <c r="AO7" s="45">
        <v>24997</v>
      </c>
      <c r="AP7" s="46">
        <v>35</v>
      </c>
      <c r="AQ7" s="24"/>
      <c r="AR7" s="24"/>
      <c r="AS7" s="24"/>
      <c r="AT7" s="25"/>
      <c r="AU7" s="25"/>
      <c r="AV7" s="25"/>
      <c r="AW7" s="25"/>
      <c r="AX7" s="25"/>
      <c r="AY7" s="25"/>
      <c r="AZ7" s="25"/>
      <c r="BA7" s="25"/>
      <c r="BB7" s="25"/>
      <c r="BC7" s="25"/>
      <c r="BD7" s="25"/>
      <c r="BE7" s="25"/>
      <c r="BF7" s="25"/>
      <c r="BG7" s="25"/>
      <c r="BH7" s="25"/>
      <c r="BI7" s="25"/>
      <c r="BJ7" s="25"/>
      <c r="BK7" s="25"/>
    </row>
    <row r="8" spans="1:63" ht="28.5" customHeight="1">
      <c r="A8" s="47" t="s">
        <v>48</v>
      </c>
      <c r="B8" s="26"/>
      <c r="C8" s="27" t="s">
        <v>49</v>
      </c>
      <c r="D8" s="28">
        <f t="shared" si="0"/>
        <v>-1.465970350214302</v>
      </c>
      <c r="E8" s="29">
        <f t="shared" si="1"/>
        <v>0.39082555549289416</v>
      </c>
      <c r="F8" s="30">
        <f t="shared" si="2"/>
        <v>1.8567959057071961</v>
      </c>
      <c r="G8" s="30">
        <f t="shared" si="3"/>
        <v>2.5210084033613446E-2</v>
      </c>
      <c r="H8" s="31">
        <v>500</v>
      </c>
      <c r="I8" s="31">
        <f t="shared" si="4"/>
        <v>105</v>
      </c>
      <c r="J8" s="31">
        <f t="shared" si="5"/>
        <v>210</v>
      </c>
      <c r="K8" s="48">
        <v>577</v>
      </c>
      <c r="L8" s="48">
        <v>211</v>
      </c>
      <c r="M8" s="49"/>
      <c r="N8" s="34">
        <v>15</v>
      </c>
      <c r="O8" s="45">
        <v>2</v>
      </c>
      <c r="P8" s="36">
        <f t="shared" si="6"/>
        <v>2</v>
      </c>
      <c r="Q8" s="45">
        <v>2</v>
      </c>
      <c r="R8" s="56">
        <v>3</v>
      </c>
      <c r="S8" s="45"/>
      <c r="T8" s="39">
        <f t="shared" si="7"/>
        <v>32240</v>
      </c>
      <c r="U8" s="36">
        <f t="shared" si="8"/>
        <v>0</v>
      </c>
      <c r="V8" s="39">
        <f t="shared" si="9"/>
        <v>32240</v>
      </c>
      <c r="W8" s="51">
        <v>16120</v>
      </c>
      <c r="X8" s="39">
        <f>SUMIF([1]헤몬팜마진!$B$7:$B$32,$C8,[1]헤몬팜마진!$R$7:$R$32)</f>
        <v>5089</v>
      </c>
      <c r="Y8" s="39">
        <f t="shared" si="10"/>
        <v>10252</v>
      </c>
      <c r="Z8" s="39">
        <f t="shared" si="11"/>
        <v>59863.100000000006</v>
      </c>
      <c r="AA8" s="32">
        <v>54421</v>
      </c>
      <c r="AB8" s="64"/>
      <c r="AC8" s="40">
        <f t="shared" si="18"/>
        <v>4620</v>
      </c>
      <c r="AD8" s="41">
        <v>7.8E-2</v>
      </c>
      <c r="AE8" s="36">
        <f>2900*(P8)</f>
        <v>5800</v>
      </c>
      <c r="AF8" s="28">
        <f t="shared" si="13"/>
        <v>0.25790074441687344</v>
      </c>
      <c r="AG8" s="39">
        <f t="shared" si="14"/>
        <v>8314.75</v>
      </c>
      <c r="AH8" s="39">
        <f t="shared" si="15"/>
        <v>1073.034090909091</v>
      </c>
      <c r="AI8" s="39">
        <f>SUMIF([1]헤몬팜마진!$B$7:$B$32,$C8,[1]헤몬팜마진!$V$7:$V$32)</f>
        <v>5126</v>
      </c>
      <c r="AJ8" s="39">
        <f t="shared" si="16"/>
        <v>12600.215909090908</v>
      </c>
      <c r="AK8" s="60">
        <f t="shared" si="17"/>
        <v>-47262.884090909094</v>
      </c>
      <c r="AL8" s="43">
        <f>SUMIF([1]헤몬팜마진!$B$7:$B$32,$C8,[1]헤몬팜마진!$T$7:$T$32)</f>
        <v>6</v>
      </c>
      <c r="AM8" s="44">
        <f>SUMIF([1]헤몬팜마진!$B$7:$B$32,$C8,[1]헤몬팜마진!$U$7:$U$32)</f>
        <v>31</v>
      </c>
      <c r="AN8" s="38"/>
      <c r="AO8" s="45">
        <v>75052</v>
      </c>
      <c r="AP8" s="46">
        <v>119</v>
      </c>
      <c r="AQ8" s="24"/>
      <c r="AR8" s="24"/>
      <c r="AS8" s="24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  <c r="BH8" s="25"/>
      <c r="BI8" s="25"/>
      <c r="BJ8" s="25"/>
      <c r="BK8" s="25"/>
    </row>
    <row r="9" spans="1:63" ht="28.5" customHeight="1">
      <c r="A9" s="53" t="s">
        <v>50</v>
      </c>
      <c r="B9" s="54"/>
      <c r="C9" s="27" t="s">
        <v>51</v>
      </c>
      <c r="D9" s="65">
        <f t="shared" si="0"/>
        <v>0.12861701461854724</v>
      </c>
      <c r="E9" s="29">
        <f t="shared" si="1"/>
        <v>0.40132699308229458</v>
      </c>
      <c r="F9" s="30">
        <f t="shared" si="2"/>
        <v>0.27270997846374728</v>
      </c>
      <c r="G9" s="30">
        <f t="shared" si="3"/>
        <v>2.4390243902439025E-2</v>
      </c>
      <c r="H9" s="66">
        <v>0</v>
      </c>
      <c r="I9" s="31">
        <f t="shared" si="4"/>
        <v>140</v>
      </c>
      <c r="J9" s="31">
        <f t="shared" si="5"/>
        <v>280</v>
      </c>
      <c r="K9" s="55">
        <v>343</v>
      </c>
      <c r="L9" s="48">
        <f>97+42+48+31+19+10</f>
        <v>247</v>
      </c>
      <c r="M9" s="49"/>
      <c r="N9" s="34">
        <v>20</v>
      </c>
      <c r="O9" s="45">
        <v>7</v>
      </c>
      <c r="P9" s="36">
        <f t="shared" si="6"/>
        <v>7</v>
      </c>
      <c r="Q9" s="45"/>
      <c r="R9" s="50">
        <v>3</v>
      </c>
      <c r="S9" s="38"/>
      <c r="T9" s="39">
        <f t="shared" si="7"/>
        <v>278600</v>
      </c>
      <c r="U9" s="36">
        <f t="shared" si="8"/>
        <v>0</v>
      </c>
      <c r="V9" s="39">
        <f t="shared" si="9"/>
        <v>278600</v>
      </c>
      <c r="W9" s="51">
        <v>39800</v>
      </c>
      <c r="X9" s="39">
        <f>SUMIF([1]헤몬팜마진!$B$7:$B$32,$C9,[1]헤몬팜마진!$R$7:$R$32)</f>
        <v>7855</v>
      </c>
      <c r="Y9" s="39">
        <f t="shared" si="10"/>
        <v>105980</v>
      </c>
      <c r="Z9" s="39">
        <f t="shared" si="11"/>
        <v>75977</v>
      </c>
      <c r="AA9" s="32">
        <v>69070</v>
      </c>
      <c r="AB9" s="63"/>
      <c r="AC9" s="40">
        <f t="shared" si="18"/>
        <v>0</v>
      </c>
      <c r="AD9" s="41">
        <v>0.08</v>
      </c>
      <c r="AE9" s="36">
        <f>4150*(P9)</f>
        <v>29050</v>
      </c>
      <c r="AF9" s="28">
        <f t="shared" si="13"/>
        <v>0.18427135678391959</v>
      </c>
      <c r="AG9" s="39">
        <f t="shared" si="14"/>
        <v>51338.03</v>
      </c>
      <c r="AH9" s="39">
        <f t="shared" si="15"/>
        <v>9472.2697272727273</v>
      </c>
      <c r="AI9" s="39">
        <f>SUMIF([1]헤몬팜마진!$B$7:$B$32,$C9,[1]헤몬팜마진!$V$7:$V$32)</f>
        <v>15140</v>
      </c>
      <c r="AJ9" s="39">
        <f t="shared" si="16"/>
        <v>111809.70027272726</v>
      </c>
      <c r="AK9" s="42">
        <f t="shared" si="17"/>
        <v>35832.700272727263</v>
      </c>
      <c r="AL9" s="43">
        <f>SUMIF([1]헤몬팜마진!$B$7:$B$32,$C9,[1]헤몬팜마진!$T$7:$T$32)</f>
        <v>176</v>
      </c>
      <c r="AM9" s="44">
        <f>SUMIF([1]헤몬팜마진!$B$7:$B$32,$C9,[1]헤몬팜마진!$U$7:$U$32)</f>
        <v>900</v>
      </c>
      <c r="AN9" s="38"/>
      <c r="AO9" s="45">
        <v>52516</v>
      </c>
      <c r="AP9" s="46">
        <v>123</v>
      </c>
      <c r="AQ9" s="24"/>
      <c r="AR9" s="24"/>
      <c r="AS9" s="24"/>
      <c r="AT9" s="25"/>
      <c r="AU9" s="25"/>
      <c r="AV9" s="25"/>
      <c r="AW9" s="25"/>
      <c r="AX9" s="25"/>
      <c r="AY9" s="25"/>
      <c r="AZ9" s="25"/>
      <c r="BA9" s="25"/>
      <c r="BB9" s="25"/>
      <c r="BC9" s="25"/>
      <c r="BD9" s="25"/>
      <c r="BE9" s="25"/>
      <c r="BF9" s="25"/>
      <c r="BG9" s="25"/>
      <c r="BH9" s="25"/>
      <c r="BI9" s="25"/>
      <c r="BJ9" s="25"/>
      <c r="BK9" s="25"/>
    </row>
    <row r="10" spans="1:63" ht="28.5" customHeight="1">
      <c r="A10" s="57"/>
      <c r="B10" s="58"/>
      <c r="C10" s="27" t="s">
        <v>52</v>
      </c>
      <c r="D10" s="28">
        <f t="shared" si="0"/>
        <v>5.3997820512820545E-2</v>
      </c>
      <c r="E10" s="29">
        <f t="shared" si="1"/>
        <v>0.39158756410256412</v>
      </c>
      <c r="F10" s="30">
        <f t="shared" si="2"/>
        <v>0.33758974358974358</v>
      </c>
      <c r="G10" s="30">
        <f t="shared" si="3"/>
        <v>1.3698630136986301E-2</v>
      </c>
      <c r="H10" s="59"/>
      <c r="I10" s="31">
        <f t="shared" si="4"/>
        <v>105</v>
      </c>
      <c r="J10" s="31">
        <f t="shared" si="5"/>
        <v>210</v>
      </c>
      <c r="K10" s="59"/>
      <c r="L10" s="48">
        <f>74+42+48+18+8+2</f>
        <v>192</v>
      </c>
      <c r="M10" s="49"/>
      <c r="N10" s="34">
        <v>15</v>
      </c>
      <c r="O10" s="38">
        <v>2</v>
      </c>
      <c r="P10" s="36">
        <f t="shared" si="6"/>
        <v>2</v>
      </c>
      <c r="Q10" s="38">
        <v>1</v>
      </c>
      <c r="R10" s="50">
        <v>1</v>
      </c>
      <c r="S10" s="38"/>
      <c r="T10" s="39">
        <f t="shared" si="7"/>
        <v>85800</v>
      </c>
      <c r="U10" s="36">
        <f t="shared" si="8"/>
        <v>0</v>
      </c>
      <c r="V10" s="39">
        <f t="shared" si="9"/>
        <v>85800</v>
      </c>
      <c r="W10" s="51">
        <v>42900</v>
      </c>
      <c r="X10" s="39">
        <f>SUMIF([1]헤몬팜마진!$B$7:$B$32,$C10,[1]헤몬팜마진!$R$7:$R$32)</f>
        <v>7855</v>
      </c>
      <c r="Y10" s="39">
        <f t="shared" si="10"/>
        <v>38882</v>
      </c>
      <c r="Z10" s="39">
        <f t="shared" si="11"/>
        <v>28965.200000000001</v>
      </c>
      <c r="AA10" s="32">
        <v>26332</v>
      </c>
      <c r="AB10" s="38"/>
      <c r="AC10" s="40">
        <f t="shared" si="18"/>
        <v>2310</v>
      </c>
      <c r="AD10" s="41">
        <v>7.8E-2</v>
      </c>
      <c r="AE10" s="36">
        <f>1900*(P10)</f>
        <v>3800</v>
      </c>
      <c r="AF10" s="28">
        <f t="shared" si="13"/>
        <v>0.12228904428904429</v>
      </c>
      <c r="AG10" s="39">
        <f t="shared" si="14"/>
        <v>10492.43</v>
      </c>
      <c r="AH10" s="39">
        <f t="shared" si="15"/>
        <v>2827.357</v>
      </c>
      <c r="AI10" s="39">
        <f>SUMIF([1]헤몬팜마진!$B$7:$B$32,$C10,[1]헤몬팜마진!$V$7:$V$32)</f>
        <v>19441</v>
      </c>
      <c r="AJ10" s="39">
        <f t="shared" si="16"/>
        <v>33598.213000000003</v>
      </c>
      <c r="AK10" s="60">
        <f t="shared" si="17"/>
        <v>4633.0130000000026</v>
      </c>
      <c r="AL10" s="43">
        <f>SUMIF([1]헤몬팜마진!$B$7:$B$32,$C10,[1]헤몬팜마진!$T$7:$T$32)</f>
        <v>176</v>
      </c>
      <c r="AM10" s="44">
        <f>SUMIF([1]헤몬팜마진!$B$7:$B$32,$C10,[1]헤몬팜마진!$U$7:$U$32)</f>
        <v>900</v>
      </c>
      <c r="AN10" s="38"/>
      <c r="AO10" s="45">
        <v>23745</v>
      </c>
      <c r="AP10" s="46">
        <v>73</v>
      </c>
      <c r="AQ10" s="24"/>
      <c r="AR10" s="24"/>
      <c r="AS10" s="24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5"/>
      <c r="BE10" s="25"/>
      <c r="BF10" s="25"/>
      <c r="BG10" s="25"/>
      <c r="BH10" s="25"/>
      <c r="BI10" s="25"/>
      <c r="BJ10" s="25"/>
      <c r="BK10" s="25"/>
    </row>
    <row r="11" spans="1:63" ht="28.5" customHeight="1">
      <c r="A11" s="47" t="s">
        <v>53</v>
      </c>
      <c r="B11" s="26"/>
      <c r="C11" s="27" t="s">
        <v>54</v>
      </c>
      <c r="D11" s="28">
        <f t="shared" si="0"/>
        <v>6.079646389163379E-2</v>
      </c>
      <c r="E11" s="29">
        <f t="shared" si="1"/>
        <v>0.36300751461627151</v>
      </c>
      <c r="F11" s="30">
        <f t="shared" si="2"/>
        <v>0.30221105072463772</v>
      </c>
      <c r="G11" s="30">
        <f t="shared" si="3"/>
        <v>0.1</v>
      </c>
      <c r="H11" s="31">
        <v>1750</v>
      </c>
      <c r="I11" s="31">
        <f t="shared" si="4"/>
        <v>350</v>
      </c>
      <c r="J11" s="31">
        <f t="shared" si="5"/>
        <v>700</v>
      </c>
      <c r="K11" s="48">
        <v>1449</v>
      </c>
      <c r="L11" s="48">
        <v>1217</v>
      </c>
      <c r="M11" s="49"/>
      <c r="N11" s="34">
        <v>50</v>
      </c>
      <c r="O11" s="45">
        <v>23</v>
      </c>
      <c r="P11" s="36">
        <f t="shared" si="6"/>
        <v>23</v>
      </c>
      <c r="Q11" s="38">
        <v>3</v>
      </c>
      <c r="R11" s="56">
        <v>10</v>
      </c>
      <c r="S11" s="38"/>
      <c r="T11" s="39">
        <f t="shared" si="7"/>
        <v>441600</v>
      </c>
      <c r="U11" s="36">
        <f t="shared" si="8"/>
        <v>0</v>
      </c>
      <c r="V11" s="39">
        <f t="shared" si="9"/>
        <v>441600</v>
      </c>
      <c r="W11" s="51">
        <v>19200</v>
      </c>
      <c r="X11" s="39">
        <f>SUMIF([1]헤몬팜마진!$B$7:$B$32,$C11,[1]헤몬팜마진!$R$7:$R$32)</f>
        <v>6373</v>
      </c>
      <c r="Y11" s="39">
        <f t="shared" si="10"/>
        <v>155733</v>
      </c>
      <c r="Z11" s="39">
        <f t="shared" si="11"/>
        <v>133456.40000000002</v>
      </c>
      <c r="AA11" s="32">
        <f>100696+20628</f>
        <v>121324</v>
      </c>
      <c r="AB11" s="38"/>
      <c r="AC11" s="40">
        <f t="shared" si="18"/>
        <v>6930</v>
      </c>
      <c r="AD11" s="41">
        <v>0.08</v>
      </c>
      <c r="AE11" s="36">
        <f>3350*(P11)</f>
        <v>77050</v>
      </c>
      <c r="AF11" s="28">
        <f t="shared" si="13"/>
        <v>0.25447916666666665</v>
      </c>
      <c r="AG11" s="39">
        <f t="shared" si="14"/>
        <v>112378.02999999998</v>
      </c>
      <c r="AH11" s="39">
        <f t="shared" si="15"/>
        <v>13184.851545454545</v>
      </c>
      <c r="AI11" s="39">
        <f>SUMIF([1]헤몬팜마진!$B$7:$B$32,$C11,[1]헤몬팜마진!$V$7:$V$32)</f>
        <v>6771</v>
      </c>
      <c r="AJ11" s="39">
        <f t="shared" si="16"/>
        <v>160304.1184545455</v>
      </c>
      <c r="AK11" s="42">
        <f t="shared" si="17"/>
        <v>26847.71845454548</v>
      </c>
      <c r="AL11" s="43">
        <f>SUMIF([1]헤몬팜마진!$B$7:$B$32,$C11,[1]헤몬팜마진!$T$7:$T$32)</f>
        <v>65</v>
      </c>
      <c r="AM11" s="44">
        <f>SUMIF([1]헤몬팜마진!$B$7:$B$32,$C11,[1]헤몬팜마진!$U$7:$U$32)</f>
        <v>333</v>
      </c>
      <c r="AN11" s="38"/>
      <c r="AO11" s="52">
        <v>29984</v>
      </c>
      <c r="AP11" s="52">
        <v>100</v>
      </c>
      <c r="AQ11" s="24"/>
      <c r="AR11" s="24"/>
      <c r="AS11" s="24"/>
      <c r="AT11" s="25"/>
      <c r="AU11" s="25"/>
      <c r="AV11" s="25"/>
      <c r="AW11" s="25"/>
      <c r="AX11" s="25"/>
      <c r="AY11" s="25"/>
      <c r="AZ11" s="25"/>
      <c r="BA11" s="25"/>
      <c r="BB11" s="25"/>
      <c r="BC11" s="25"/>
      <c r="BD11" s="25"/>
      <c r="BE11" s="25"/>
      <c r="BF11" s="25"/>
      <c r="BG11" s="25"/>
      <c r="BH11" s="25"/>
      <c r="BI11" s="25"/>
      <c r="BJ11" s="25"/>
      <c r="BK11" s="25"/>
    </row>
    <row r="12" spans="1:63" ht="28.5" customHeight="1">
      <c r="A12" s="53" t="s">
        <v>55</v>
      </c>
      <c r="B12" s="67"/>
      <c r="C12" s="27" t="s">
        <v>56</v>
      </c>
      <c r="D12" s="28">
        <f t="shared" si="0"/>
        <v>-0.11786437108583329</v>
      </c>
      <c r="E12" s="29">
        <f t="shared" si="1"/>
        <v>0.41625975022366668</v>
      </c>
      <c r="F12" s="30">
        <f t="shared" si="2"/>
        <v>0.53412412130949993</v>
      </c>
      <c r="G12" s="30">
        <f t="shared" si="3"/>
        <v>1.6528925619834711E-2</v>
      </c>
      <c r="H12" s="31">
        <v>0</v>
      </c>
      <c r="I12" s="31">
        <f t="shared" si="4"/>
        <v>70</v>
      </c>
      <c r="J12" s="31">
        <f t="shared" si="5"/>
        <v>140</v>
      </c>
      <c r="K12" s="68">
        <v>494</v>
      </c>
      <c r="L12" s="48">
        <v>0</v>
      </c>
      <c r="M12" s="49"/>
      <c r="N12" s="34">
        <v>10</v>
      </c>
      <c r="O12" s="38">
        <v>5</v>
      </c>
      <c r="P12" s="36">
        <f t="shared" si="6"/>
        <v>5</v>
      </c>
      <c r="Q12" s="38"/>
      <c r="R12" s="50">
        <v>2</v>
      </c>
      <c r="S12" s="38"/>
      <c r="T12" s="39">
        <f t="shared" si="7"/>
        <v>248950</v>
      </c>
      <c r="U12" s="36">
        <f t="shared" si="8"/>
        <v>0</v>
      </c>
      <c r="V12" s="39">
        <f t="shared" si="9"/>
        <v>248950</v>
      </c>
      <c r="W12" s="51">
        <v>49790</v>
      </c>
      <c r="X12" s="39">
        <f>SUMIF([1]헤몬팜마진!$B$7:$B$32,$C12,[1]헤몬팜마진!$R$7:$R$32)</f>
        <v>12170</v>
      </c>
      <c r="Y12" s="39">
        <f t="shared" si="10"/>
        <v>92880</v>
      </c>
      <c r="Z12" s="39">
        <f t="shared" si="11"/>
        <v>132970.20000000001</v>
      </c>
      <c r="AA12" s="32">
        <v>120882</v>
      </c>
      <c r="AB12" s="38"/>
      <c r="AC12" s="40">
        <f t="shared" si="18"/>
        <v>0</v>
      </c>
      <c r="AD12" s="41">
        <v>7.8E-2</v>
      </c>
      <c r="AE12" s="36">
        <f t="shared" ref="AE12:AE13" si="21">4825*(P12)</f>
        <v>24125</v>
      </c>
      <c r="AF12" s="28">
        <f t="shared" si="13"/>
        <v>0.17490700943964652</v>
      </c>
      <c r="AG12" s="39">
        <f t="shared" si="14"/>
        <v>43543.13</v>
      </c>
      <c r="AH12" s="39">
        <f t="shared" si="15"/>
        <v>8899.0051818181782</v>
      </c>
      <c r="AI12" s="39">
        <f>SUMIF([1]헤몬팜마진!$B$7:$B$32,$C12,[1]헤몬팜마진!$V$7:$V$32)</f>
        <v>18576</v>
      </c>
      <c r="AJ12" s="39">
        <f t="shared" si="16"/>
        <v>103627.86481818181</v>
      </c>
      <c r="AK12" s="60">
        <f t="shared" si="17"/>
        <v>-29342.335181818198</v>
      </c>
      <c r="AL12" s="43">
        <f>SUMIF([1]헤몬팜마진!$B$7:$B$32,$C12,[1]헤몬팜마진!$T$7:$T$32)</f>
        <v>181</v>
      </c>
      <c r="AM12" s="44">
        <f>SUMIF([1]헤몬팜마진!$B$7:$B$32,$C12,[1]헤몬팜마진!$U$7:$U$32)</f>
        <v>926</v>
      </c>
      <c r="AN12" s="38"/>
      <c r="AO12" s="45">
        <v>26984</v>
      </c>
      <c r="AP12" s="46">
        <v>121</v>
      </c>
      <c r="AQ12" s="24"/>
      <c r="AR12" s="24"/>
      <c r="AS12" s="24"/>
      <c r="AT12" s="25"/>
      <c r="AU12" s="25"/>
      <c r="AV12" s="25"/>
      <c r="AW12" s="25"/>
      <c r="AX12" s="25"/>
      <c r="AY12" s="25"/>
      <c r="AZ12" s="25"/>
      <c r="BA12" s="25"/>
      <c r="BB12" s="25"/>
      <c r="BC12" s="25"/>
      <c r="BD12" s="25"/>
      <c r="BE12" s="25"/>
      <c r="BF12" s="25"/>
      <c r="BG12" s="25"/>
      <c r="BH12" s="25"/>
      <c r="BI12" s="25"/>
      <c r="BJ12" s="25"/>
      <c r="BK12" s="25"/>
    </row>
    <row r="13" spans="1:63" ht="28.5" customHeight="1">
      <c r="A13" s="57"/>
      <c r="B13" s="58"/>
      <c r="C13" s="27" t="s">
        <v>57</v>
      </c>
      <c r="D13" s="28">
        <f t="shared" si="0"/>
        <v>0.18848193938346838</v>
      </c>
      <c r="E13" s="29">
        <f t="shared" si="1"/>
        <v>0.4084692694917384</v>
      </c>
      <c r="F13" s="30">
        <f t="shared" si="2"/>
        <v>0.21998733010827001</v>
      </c>
      <c r="G13" s="30">
        <f t="shared" si="3"/>
        <v>2.6845637583892617E-2</v>
      </c>
      <c r="H13" s="31">
        <v>0</v>
      </c>
      <c r="I13" s="31">
        <f t="shared" si="4"/>
        <v>70</v>
      </c>
      <c r="J13" s="31">
        <f t="shared" si="5"/>
        <v>140</v>
      </c>
      <c r="K13" s="59"/>
      <c r="L13" s="48">
        <v>1</v>
      </c>
      <c r="M13" s="49"/>
      <c r="N13" s="34">
        <v>10</v>
      </c>
      <c r="O13" s="45">
        <v>6</v>
      </c>
      <c r="P13" s="36">
        <f t="shared" si="6"/>
        <v>6</v>
      </c>
      <c r="Q13" s="45">
        <v>1</v>
      </c>
      <c r="R13" s="56">
        <v>4</v>
      </c>
      <c r="S13" s="38"/>
      <c r="T13" s="39">
        <f t="shared" si="7"/>
        <v>347280</v>
      </c>
      <c r="U13" s="36">
        <f t="shared" si="8"/>
        <v>0</v>
      </c>
      <c r="V13" s="39">
        <f t="shared" si="9"/>
        <v>347280</v>
      </c>
      <c r="W13" s="51">
        <v>57880</v>
      </c>
      <c r="X13" s="39">
        <f>SUMIF([1]헤몬팜마진!$B$7:$B$32,$C13,[1]헤몬팜마진!$R$7:$R$32)</f>
        <v>12170</v>
      </c>
      <c r="Y13" s="39">
        <f t="shared" si="10"/>
        <v>137256</v>
      </c>
      <c r="Z13" s="39">
        <f t="shared" si="11"/>
        <v>76397.200000000012</v>
      </c>
      <c r="AA13" s="32">
        <v>69452</v>
      </c>
      <c r="AB13" s="38"/>
      <c r="AC13" s="40">
        <f t="shared" si="18"/>
        <v>2310</v>
      </c>
      <c r="AD13" s="41">
        <v>7.8E-2</v>
      </c>
      <c r="AE13" s="36">
        <f t="shared" si="21"/>
        <v>28950</v>
      </c>
      <c r="AF13" s="28">
        <f t="shared" si="13"/>
        <v>0.16136212854181065</v>
      </c>
      <c r="AG13" s="39">
        <f t="shared" si="14"/>
        <v>56037.87</v>
      </c>
      <c r="AH13" s="39">
        <f t="shared" si="15"/>
        <v>12132.922090909087</v>
      </c>
      <c r="AI13" s="39">
        <f>SUMIF([1]헤몬팜마진!$B$7:$B$32,$C13,[1]헤몬팜마진!$V$7:$V$32)</f>
        <v>22876</v>
      </c>
      <c r="AJ13" s="39">
        <f t="shared" si="16"/>
        <v>141853.20790909091</v>
      </c>
      <c r="AK13" s="42">
        <f t="shared" si="17"/>
        <v>65456.007909090898</v>
      </c>
      <c r="AL13" s="43">
        <f>SUMIF([1]헤몬팜마진!$B$7:$B$32,$C13,[1]헤몬팜마진!$T$7:$T$32)</f>
        <v>181</v>
      </c>
      <c r="AM13" s="44">
        <f>SUMIF([1]헤몬팜마진!$B$7:$B$32,$C13,[1]헤몬팜마진!$U$7:$U$32)</f>
        <v>926</v>
      </c>
      <c r="AN13" s="38"/>
      <c r="AO13" s="45">
        <v>27354</v>
      </c>
      <c r="AP13" s="46">
        <v>149</v>
      </c>
      <c r="AQ13" s="24"/>
      <c r="AR13" s="24"/>
      <c r="AS13" s="24"/>
      <c r="AT13" s="25"/>
      <c r="AU13" s="25"/>
      <c r="AV13" s="25"/>
      <c r="AW13" s="25"/>
      <c r="AX13" s="25"/>
      <c r="AY13" s="25"/>
      <c r="AZ13" s="25"/>
      <c r="BA13" s="25"/>
      <c r="BB13" s="25"/>
      <c r="BC13" s="25"/>
      <c r="BD13" s="25"/>
      <c r="BE13" s="25"/>
      <c r="BF13" s="25"/>
      <c r="BG13" s="25"/>
      <c r="BH13" s="25"/>
      <c r="BI13" s="25"/>
      <c r="BJ13" s="25"/>
      <c r="BK13" s="25"/>
    </row>
    <row r="14" spans="1:63" ht="28.5" customHeight="1">
      <c r="A14" s="47" t="s">
        <v>58</v>
      </c>
      <c r="B14" s="26"/>
      <c r="C14" s="27" t="s">
        <v>59</v>
      </c>
      <c r="D14" s="28">
        <f t="shared" si="0"/>
        <v>0.35059790331339241</v>
      </c>
      <c r="E14" s="29">
        <f t="shared" si="1"/>
        <v>0.49827710425346289</v>
      </c>
      <c r="F14" s="30">
        <f t="shared" si="2"/>
        <v>0.14767920094007053</v>
      </c>
      <c r="G14" s="30">
        <f t="shared" si="3"/>
        <v>5.2910052910052907E-2</v>
      </c>
      <c r="H14" s="31">
        <v>2000</v>
      </c>
      <c r="I14" s="31">
        <f t="shared" si="4"/>
        <v>700</v>
      </c>
      <c r="J14" s="31">
        <f t="shared" si="5"/>
        <v>1400</v>
      </c>
      <c r="K14" s="48">
        <v>2373</v>
      </c>
      <c r="L14" s="48">
        <v>3</v>
      </c>
      <c r="M14" s="49"/>
      <c r="N14" s="34">
        <v>100</v>
      </c>
      <c r="O14" s="45">
        <v>23</v>
      </c>
      <c r="P14" s="36">
        <f t="shared" si="6"/>
        <v>23</v>
      </c>
      <c r="Q14" s="45">
        <v>5</v>
      </c>
      <c r="R14" s="56">
        <v>10</v>
      </c>
      <c r="S14" s="38"/>
      <c r="T14" s="39">
        <f t="shared" si="7"/>
        <v>408480</v>
      </c>
      <c r="U14" s="36">
        <f t="shared" si="8"/>
        <v>0</v>
      </c>
      <c r="V14" s="39">
        <f t="shared" si="9"/>
        <v>408480</v>
      </c>
      <c r="W14" s="51">
        <v>17760</v>
      </c>
      <c r="X14" s="39">
        <f>SUMIF([1]헤몬팜마진!$B$7:$B$32,$C14,[1]헤몬팜마진!$R$7:$R$32)</f>
        <v>3983</v>
      </c>
      <c r="Y14" s="39">
        <f t="shared" si="10"/>
        <v>111251</v>
      </c>
      <c r="Z14" s="39">
        <f t="shared" si="11"/>
        <v>60324.000000000007</v>
      </c>
      <c r="AA14" s="32">
        <f>30232+24608</f>
        <v>54840</v>
      </c>
      <c r="AB14" s="38"/>
      <c r="AC14" s="40">
        <f t="shared" si="18"/>
        <v>11550</v>
      </c>
      <c r="AD14" s="41">
        <v>7.8E-2</v>
      </c>
      <c r="AE14" s="36">
        <f t="shared" ref="AE14:AE15" si="22">1900*(P14)</f>
        <v>43700</v>
      </c>
      <c r="AF14" s="28">
        <f t="shared" si="13"/>
        <v>0.18498198198198199</v>
      </c>
      <c r="AG14" s="39">
        <f t="shared" si="14"/>
        <v>75561.47</v>
      </c>
      <c r="AH14" s="39">
        <f t="shared" si="15"/>
        <v>18131.298454545456</v>
      </c>
      <c r="AI14" s="39">
        <f>SUMIF([1]헤몬팜마진!$B$7:$B$32,$C14,[1]헤몬팜마진!$V$7:$V$32)</f>
        <v>4837</v>
      </c>
      <c r="AJ14" s="39">
        <f t="shared" si="16"/>
        <v>203536.23154545453</v>
      </c>
      <c r="AK14" s="42">
        <f t="shared" si="17"/>
        <v>143212.23154545453</v>
      </c>
      <c r="AL14" s="43">
        <f>SUMIF([1]헤몬팜마진!$B$7:$B$32,$C14,[1]헤몬팜마진!$T$7:$T$32)</f>
        <v>140</v>
      </c>
      <c r="AM14" s="44">
        <f>SUMIF([1]헤몬팜마진!$B$7:$B$32,$C14,[1]헤몬팜마진!$U$7:$U$32)</f>
        <v>714</v>
      </c>
      <c r="AN14" s="38"/>
      <c r="AO14" s="45">
        <v>40480</v>
      </c>
      <c r="AP14" s="46">
        <v>189</v>
      </c>
      <c r="AQ14" s="24"/>
      <c r="AR14" s="24"/>
      <c r="AS14" s="24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5"/>
    </row>
    <row r="15" spans="1:63" ht="28.5" customHeight="1">
      <c r="A15" s="47" t="s">
        <v>60</v>
      </c>
      <c r="B15" s="26"/>
      <c r="C15" s="27" t="s">
        <v>61</v>
      </c>
      <c r="D15" s="28">
        <f t="shared" si="0"/>
        <v>0.43888177602639289</v>
      </c>
      <c r="E15" s="29">
        <f t="shared" si="1"/>
        <v>0.43888177602639289</v>
      </c>
      <c r="F15" s="30">
        <f t="shared" si="2"/>
        <v>0</v>
      </c>
      <c r="G15" s="30">
        <f t="shared" si="3"/>
        <v>0</v>
      </c>
      <c r="H15" s="31">
        <v>0</v>
      </c>
      <c r="I15" s="31">
        <f t="shared" si="4"/>
        <v>350</v>
      </c>
      <c r="J15" s="31">
        <f t="shared" si="5"/>
        <v>700</v>
      </c>
      <c r="K15" s="48">
        <v>87</v>
      </c>
      <c r="L15" s="48">
        <v>0</v>
      </c>
      <c r="M15" s="49"/>
      <c r="N15" s="34">
        <v>50</v>
      </c>
      <c r="O15" s="45">
        <v>-2</v>
      </c>
      <c r="P15" s="36">
        <f t="shared" si="6"/>
        <v>-2</v>
      </c>
      <c r="Q15" s="38">
        <v>2</v>
      </c>
      <c r="R15" s="56"/>
      <c r="S15" s="38"/>
      <c r="T15" s="39">
        <f t="shared" si="7"/>
        <v>-49600</v>
      </c>
      <c r="U15" s="36">
        <f t="shared" si="8"/>
        <v>0</v>
      </c>
      <c r="V15" s="39">
        <f t="shared" si="9"/>
        <v>-49600</v>
      </c>
      <c r="W15" s="51">
        <v>24800</v>
      </c>
      <c r="X15" s="39">
        <f>SUMIF([1]헤몬팜마진!$B$7:$B$32,$C15,[1]헤몬팜마진!$R$7:$R$32)</f>
        <v>8408</v>
      </c>
      <c r="Y15" s="39">
        <f t="shared" si="10"/>
        <v>-17160</v>
      </c>
      <c r="Z15" s="39">
        <f t="shared" si="11"/>
        <v>0</v>
      </c>
      <c r="AA15" s="32"/>
      <c r="AB15" s="63"/>
      <c r="AC15" s="40">
        <f t="shared" si="18"/>
        <v>4620</v>
      </c>
      <c r="AD15" s="41">
        <v>0.1</v>
      </c>
      <c r="AE15" s="36">
        <f t="shared" si="22"/>
        <v>-3800</v>
      </c>
      <c r="AF15" s="28">
        <f t="shared" si="13"/>
        <v>0.17661290322580647</v>
      </c>
      <c r="AG15" s="39">
        <f t="shared" si="14"/>
        <v>-8759.9700000000012</v>
      </c>
      <c r="AH15" s="39">
        <f t="shared" si="15"/>
        <v>-1911.4939090909088</v>
      </c>
      <c r="AI15" s="39">
        <f>SUMIF([1]헤몬팜마진!$B$7:$B$32,$C15,[1]헤몬팜마진!$V$7:$V$32)</f>
        <v>8580</v>
      </c>
      <c r="AJ15" s="39">
        <f t="shared" si="16"/>
        <v>-21768.536090909089</v>
      </c>
      <c r="AK15" s="60">
        <f t="shared" si="17"/>
        <v>-21768.536090909089</v>
      </c>
      <c r="AL15" s="43">
        <f>SUMIF([1]헤몬팜마진!$B$7:$B$32,$C15,[1]헤몬팜마진!$T$7:$T$32)</f>
        <v>28</v>
      </c>
      <c r="AM15" s="44">
        <f>SUMIF([1]헤몬팜마진!$B$7:$B$32,$C15,[1]헤몬팜마진!$U$7:$U$32)</f>
        <v>143</v>
      </c>
      <c r="AN15" s="38"/>
      <c r="AO15" s="45">
        <v>75901</v>
      </c>
      <c r="AP15" s="46">
        <v>339</v>
      </c>
      <c r="AQ15" s="24"/>
      <c r="AR15" s="24"/>
      <c r="AS15" s="24"/>
      <c r="AT15" s="25"/>
      <c r="AU15" s="25"/>
      <c r="AV15" s="25"/>
      <c r="AW15" s="25"/>
      <c r="AX15" s="25"/>
      <c r="AY15" s="25"/>
      <c r="AZ15" s="25"/>
      <c r="BA15" s="25"/>
      <c r="BB15" s="25"/>
      <c r="BC15" s="25"/>
      <c r="BD15" s="25"/>
      <c r="BE15" s="25"/>
      <c r="BF15" s="25"/>
      <c r="BG15" s="25"/>
      <c r="BH15" s="25"/>
      <c r="BI15" s="25"/>
      <c r="BJ15" s="25"/>
      <c r="BK15" s="25"/>
    </row>
    <row r="16" spans="1:63" ht="28.5" customHeight="1">
      <c r="A16" s="1"/>
      <c r="B16" s="69" t="s">
        <v>62</v>
      </c>
      <c r="C16" s="27" t="s">
        <v>63</v>
      </c>
      <c r="D16" s="28">
        <f t="shared" si="0"/>
        <v>-0.13246596590909102</v>
      </c>
      <c r="E16" s="29">
        <f t="shared" si="1"/>
        <v>0.37867671085858573</v>
      </c>
      <c r="F16" s="30">
        <f t="shared" si="2"/>
        <v>0.51114267676767677</v>
      </c>
      <c r="G16" s="30">
        <f t="shared" si="3"/>
        <v>5.8333333333333334E-2</v>
      </c>
      <c r="H16" s="31">
        <v>700</v>
      </c>
      <c r="I16" s="31">
        <f t="shared" si="4"/>
        <v>210</v>
      </c>
      <c r="J16" s="31">
        <f t="shared" si="5"/>
        <v>420</v>
      </c>
      <c r="K16" s="48">
        <v>954</v>
      </c>
      <c r="L16" s="48">
        <v>2</v>
      </c>
      <c r="M16" s="49"/>
      <c r="N16" s="34">
        <v>30</v>
      </c>
      <c r="O16" s="38">
        <v>34</v>
      </c>
      <c r="P16" s="36">
        <f t="shared" si="6"/>
        <v>24</v>
      </c>
      <c r="Q16" s="38">
        <v>1</v>
      </c>
      <c r="R16" s="50">
        <v>21</v>
      </c>
      <c r="S16" s="38">
        <v>10</v>
      </c>
      <c r="T16" s="39">
        <f t="shared" si="7"/>
        <v>673200</v>
      </c>
      <c r="U16" s="36">
        <f t="shared" si="8"/>
        <v>198000</v>
      </c>
      <c r="V16" s="39">
        <f t="shared" si="9"/>
        <v>475200</v>
      </c>
      <c r="W16" s="51">
        <v>19800</v>
      </c>
      <c r="X16" s="39">
        <f>SUMIF([1]헤몬팜마진!$B$7:$B$32,$C16,[1]헤몬팜마진!$R$7:$R$32)</f>
        <v>6638</v>
      </c>
      <c r="Y16" s="39">
        <f t="shared" si="10"/>
        <v>160464</v>
      </c>
      <c r="Z16" s="39">
        <f t="shared" si="11"/>
        <v>138050</v>
      </c>
      <c r="AA16" s="33">
        <v>125500</v>
      </c>
      <c r="AB16" s="64">
        <f>((20900*0.015)+(20900*0.19)+2100+2200+1900)*10</f>
        <v>104845</v>
      </c>
      <c r="AC16" s="40">
        <f t="shared" si="18"/>
        <v>2310</v>
      </c>
      <c r="AD16" s="41">
        <v>0.08</v>
      </c>
      <c r="AE16" s="36">
        <f>3400*(P16)</f>
        <v>81600</v>
      </c>
      <c r="AF16" s="28">
        <f t="shared" si="13"/>
        <v>0.25171717171717173</v>
      </c>
      <c r="AG16" s="39">
        <f t="shared" si="14"/>
        <v>119616.03</v>
      </c>
      <c r="AH16" s="39">
        <f t="shared" si="15"/>
        <v>15172.796999999995</v>
      </c>
      <c r="AI16" s="39">
        <f>SUMIF([1]헤몬팜마진!$B$7:$B$32,$C16,[1]헤몬팜마진!$V$7:$V$32)</f>
        <v>6686</v>
      </c>
      <c r="AJ16" s="39">
        <f t="shared" si="16"/>
        <v>179947.17299999995</v>
      </c>
      <c r="AK16" s="60">
        <f t="shared" si="17"/>
        <v>-62947.827000000048</v>
      </c>
      <c r="AL16" s="43">
        <f>SUMIF([1]헤몬팜마진!$B$7:$B$32,$C16,[1]헤몬팜마진!$T$7:$T$32)</f>
        <v>8</v>
      </c>
      <c r="AM16" s="44">
        <f>SUMIF([1]헤몬팜마진!$B$7:$B$32,$C16,[1]헤몬팜마진!$U$7:$U$32)</f>
        <v>40</v>
      </c>
      <c r="AN16" s="38"/>
      <c r="AO16" s="45">
        <v>299288</v>
      </c>
      <c r="AP16" s="46">
        <v>360</v>
      </c>
      <c r="AQ16" s="24"/>
      <c r="AR16" s="24"/>
      <c r="AS16" s="24"/>
      <c r="AT16" s="25"/>
      <c r="AU16" s="25"/>
      <c r="AV16" s="25"/>
      <c r="AW16" s="25"/>
      <c r="AX16" s="25"/>
      <c r="AY16" s="25"/>
      <c r="AZ16" s="25"/>
      <c r="BA16" s="25"/>
      <c r="BB16" s="25"/>
      <c r="BC16" s="25"/>
      <c r="BD16" s="25"/>
      <c r="BE16" s="25"/>
      <c r="BF16" s="25"/>
      <c r="BG16" s="25"/>
      <c r="BH16" s="25"/>
      <c r="BI16" s="25"/>
      <c r="BJ16" s="25"/>
      <c r="BK16" s="25"/>
    </row>
    <row r="17" spans="1:63" ht="28.5" customHeight="1">
      <c r="A17" s="53" t="s">
        <v>64</v>
      </c>
      <c r="B17" s="70" t="s">
        <v>65</v>
      </c>
      <c r="C17" s="27" t="s">
        <v>66</v>
      </c>
      <c r="D17" s="28">
        <f t="shared" si="0"/>
        <v>0.20957625122801865</v>
      </c>
      <c r="E17" s="29">
        <f t="shared" si="1"/>
        <v>0.43443623296938294</v>
      </c>
      <c r="F17" s="30">
        <f t="shared" si="2"/>
        <v>0.22485998174136432</v>
      </c>
      <c r="G17" s="30">
        <f t="shared" si="3"/>
        <v>0.13402061855670103</v>
      </c>
      <c r="H17" s="31">
        <v>2000</v>
      </c>
      <c r="I17" s="31">
        <f t="shared" si="4"/>
        <v>280</v>
      </c>
      <c r="J17" s="31">
        <f t="shared" si="5"/>
        <v>560</v>
      </c>
      <c r="K17" s="68">
        <v>1048</v>
      </c>
      <c r="L17" s="48">
        <f>311+240+1</f>
        <v>552</v>
      </c>
      <c r="M17" s="49"/>
      <c r="N17" s="34">
        <v>40</v>
      </c>
      <c r="O17" s="45">
        <v>19</v>
      </c>
      <c r="P17" s="36">
        <f t="shared" si="6"/>
        <v>19</v>
      </c>
      <c r="Q17" s="45">
        <v>5</v>
      </c>
      <c r="R17" s="56">
        <v>13</v>
      </c>
      <c r="S17" s="38"/>
      <c r="T17" s="39">
        <f t="shared" si="7"/>
        <v>471010</v>
      </c>
      <c r="U17" s="36">
        <f t="shared" si="8"/>
        <v>0</v>
      </c>
      <c r="V17" s="39">
        <f t="shared" si="9"/>
        <v>471010</v>
      </c>
      <c r="W17" s="51">
        <v>24790</v>
      </c>
      <c r="X17" s="39">
        <f>SUMIF([1]헤몬팜마진!$B$7:$B$32,$C17,[1]헤몬팜마진!$R$7:$R$32)</f>
        <v>6859</v>
      </c>
      <c r="Y17" s="39">
        <f t="shared" si="10"/>
        <v>137826</v>
      </c>
      <c r="Z17" s="39">
        <f t="shared" si="11"/>
        <v>105911.3</v>
      </c>
      <c r="AA17" s="32">
        <v>96283</v>
      </c>
      <c r="AB17" s="63"/>
      <c r="AC17" s="40">
        <f t="shared" si="18"/>
        <v>11550</v>
      </c>
      <c r="AD17" s="41">
        <v>0.108</v>
      </c>
      <c r="AE17" s="36">
        <f>3150*(P17)</f>
        <v>59850</v>
      </c>
      <c r="AF17" s="28">
        <f t="shared" si="13"/>
        <v>0.23506736587333604</v>
      </c>
      <c r="AG17" s="39">
        <f t="shared" si="14"/>
        <v>110719.11000000002</v>
      </c>
      <c r="AH17" s="39">
        <f t="shared" si="15"/>
        <v>17841.079909090909</v>
      </c>
      <c r="AI17" s="39">
        <f>SUMIF([1]헤몬팜마진!$B$7:$B$32,$C17,[1]헤몬팜마진!$V$7:$V$32)</f>
        <v>7254</v>
      </c>
      <c r="AJ17" s="39">
        <f t="shared" si="16"/>
        <v>204623.81009090907</v>
      </c>
      <c r="AK17" s="60">
        <f t="shared" si="17"/>
        <v>98712.510090909069</v>
      </c>
      <c r="AL17" s="43">
        <f>SUMIF([1]헤몬팜마진!$B$7:$B$32,$C17,[1]헤몬팜마진!$T$7:$T$32)</f>
        <v>65</v>
      </c>
      <c r="AM17" s="44">
        <f>SUMIF([1]헤몬팜마진!$B$7:$B$32,$C17,[1]헤몬팜마진!$U$7:$U$32)</f>
        <v>330</v>
      </c>
      <c r="AN17" s="38"/>
      <c r="AO17" s="45">
        <v>29145</v>
      </c>
      <c r="AP17" s="46">
        <v>97</v>
      </c>
      <c r="AQ17" s="24"/>
      <c r="AR17" s="24"/>
      <c r="AS17" s="24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</row>
    <row r="18" spans="1:63" ht="28.5" customHeight="1">
      <c r="A18" s="57"/>
      <c r="B18" s="69" t="s">
        <v>67</v>
      </c>
      <c r="C18" s="27" t="s">
        <v>68</v>
      </c>
      <c r="D18" s="28">
        <f t="shared" si="0"/>
        <v>0.13222234125171306</v>
      </c>
      <c r="E18" s="29">
        <f t="shared" si="1"/>
        <v>0.41263942667884879</v>
      </c>
      <c r="F18" s="30">
        <f t="shared" si="2"/>
        <v>0.28041708542713573</v>
      </c>
      <c r="G18" s="30">
        <f t="shared" si="3"/>
        <v>2.4793388429752067E-2</v>
      </c>
      <c r="H18" s="31">
        <v>0</v>
      </c>
      <c r="I18" s="31">
        <f t="shared" si="4"/>
        <v>105</v>
      </c>
      <c r="J18" s="31">
        <f t="shared" si="5"/>
        <v>210</v>
      </c>
      <c r="K18" s="59"/>
      <c r="L18" s="48">
        <f>22+3</f>
        <v>25</v>
      </c>
      <c r="M18" s="49"/>
      <c r="N18" s="34">
        <v>15</v>
      </c>
      <c r="O18" s="38">
        <v>3</v>
      </c>
      <c r="P18" s="36">
        <f t="shared" si="6"/>
        <v>3</v>
      </c>
      <c r="Q18" s="38"/>
      <c r="R18" s="50">
        <v>3</v>
      </c>
      <c r="S18" s="38"/>
      <c r="T18" s="39">
        <f t="shared" si="7"/>
        <v>119400</v>
      </c>
      <c r="U18" s="36">
        <f t="shared" si="8"/>
        <v>0</v>
      </c>
      <c r="V18" s="39">
        <f t="shared" si="9"/>
        <v>119400</v>
      </c>
      <c r="W18" s="51">
        <v>39800</v>
      </c>
      <c r="X18" s="39">
        <f>SUMIF([1]헤몬팜마진!$B$7:$B$32,$C18,[1]헤몬팜마진!$R$7:$R$32)</f>
        <v>13719</v>
      </c>
      <c r="Y18" s="39">
        <f t="shared" si="10"/>
        <v>42339</v>
      </c>
      <c r="Z18" s="39">
        <f t="shared" si="11"/>
        <v>33481.800000000003</v>
      </c>
      <c r="AA18" s="32">
        <v>30438</v>
      </c>
      <c r="AB18" s="63"/>
      <c r="AC18" s="40">
        <f t="shared" si="18"/>
        <v>0</v>
      </c>
      <c r="AD18" s="41">
        <v>0.108</v>
      </c>
      <c r="AE18" s="36">
        <f>3550*(P18)</f>
        <v>10650</v>
      </c>
      <c r="AF18" s="28">
        <f t="shared" si="13"/>
        <v>0.1971959798994975</v>
      </c>
      <c r="AG18" s="39">
        <f t="shared" si="14"/>
        <v>23545.23</v>
      </c>
      <c r="AH18" s="39">
        <f t="shared" si="15"/>
        <v>4246.6224545454543</v>
      </c>
      <c r="AI18" s="39">
        <f>SUMIF([1]헤몬팜마진!$B$7:$B$32,$C18,[1]헤몬팜마진!$V$7:$V$32)</f>
        <v>14113</v>
      </c>
      <c r="AJ18" s="39">
        <f t="shared" si="16"/>
        <v>49269.147545454543</v>
      </c>
      <c r="AK18" s="60">
        <f t="shared" si="17"/>
        <v>15787.347545454541</v>
      </c>
      <c r="AL18" s="43">
        <f>SUMIF([1]헤몬팜마진!$B$7:$B$32,$C18,[1]헤몬팜마진!$T$7:$T$32)</f>
        <v>65</v>
      </c>
      <c r="AM18" s="44">
        <f>SUMIF([1]헤몬팜마진!$B$7:$B$32,$C18,[1]헤몬팜마진!$U$7:$U$32)</f>
        <v>330</v>
      </c>
      <c r="AN18" s="38"/>
      <c r="AO18" s="52">
        <v>34925</v>
      </c>
      <c r="AP18" s="52">
        <v>121</v>
      </c>
      <c r="AQ18" s="24"/>
      <c r="AR18" s="24"/>
      <c r="AS18" s="24"/>
      <c r="AT18" s="25"/>
      <c r="AU18" s="25"/>
      <c r="AV18" s="25"/>
      <c r="AW18" s="25"/>
      <c r="AX18" s="25"/>
      <c r="AY18" s="25"/>
      <c r="AZ18" s="25"/>
      <c r="BA18" s="25"/>
      <c r="BB18" s="25"/>
      <c r="BC18" s="25"/>
      <c r="BD18" s="25"/>
      <c r="BE18" s="25"/>
      <c r="BF18" s="25"/>
      <c r="BG18" s="25"/>
      <c r="BH18" s="25"/>
      <c r="BI18" s="25"/>
      <c r="BJ18" s="25"/>
      <c r="BK18" s="25"/>
    </row>
    <row r="19" spans="1:63" ht="28.5" customHeight="1" thickBot="1">
      <c r="A19" s="1"/>
      <c r="B19" s="71"/>
      <c r="C19" s="72"/>
      <c r="D19" s="73">
        <f t="shared" si="0"/>
        <v>0.15996823898314627</v>
      </c>
      <c r="E19" s="74">
        <f t="shared" si="1"/>
        <v>0.41236854653607402</v>
      </c>
      <c r="F19" s="75">
        <f t="shared" si="2"/>
        <v>0.25240030755292775</v>
      </c>
      <c r="G19" s="76"/>
      <c r="H19" s="77"/>
      <c r="I19" s="77"/>
      <c r="J19" s="77"/>
      <c r="K19" s="77"/>
      <c r="L19" s="77"/>
      <c r="M19" s="77"/>
      <c r="N19" s="77"/>
      <c r="O19" s="78">
        <f t="shared" ref="O19:V19" si="23">SUM(O2:O18)</f>
        <v>307</v>
      </c>
      <c r="P19" s="79">
        <f t="shared" si="23"/>
        <v>297</v>
      </c>
      <c r="Q19" s="78">
        <f t="shared" si="23"/>
        <v>37</v>
      </c>
      <c r="R19" s="78">
        <f t="shared" si="23"/>
        <v>212</v>
      </c>
      <c r="S19" s="78">
        <f t="shared" si="23"/>
        <v>10</v>
      </c>
      <c r="T19" s="78">
        <f t="shared" si="23"/>
        <v>8586800</v>
      </c>
      <c r="U19" s="78">
        <f t="shared" si="23"/>
        <v>198000</v>
      </c>
      <c r="V19" s="79">
        <f t="shared" si="23"/>
        <v>8388800</v>
      </c>
      <c r="W19" s="77"/>
      <c r="X19" s="78">
        <f t="shared" ref="X19:AC19" si="24">SUM(X2:X18)</f>
        <v>153583</v>
      </c>
      <c r="Y19" s="79">
        <f t="shared" si="24"/>
        <v>2885195</v>
      </c>
      <c r="Z19" s="78">
        <f t="shared" si="24"/>
        <v>2012490.7000000002</v>
      </c>
      <c r="AA19" s="78">
        <f t="shared" si="24"/>
        <v>1829537</v>
      </c>
      <c r="AB19" s="78">
        <f t="shared" si="24"/>
        <v>104845</v>
      </c>
      <c r="AC19" s="78">
        <f t="shared" si="24"/>
        <v>83262</v>
      </c>
      <c r="AD19" s="80">
        <v>0.09</v>
      </c>
      <c r="AE19" s="79">
        <f>SUM(AE2:AE18)</f>
        <v>944650</v>
      </c>
      <c r="AF19" s="75">
        <f t="shared" si="13"/>
        <v>0.2026084779706275</v>
      </c>
      <c r="AG19" s="81">
        <f t="shared" ref="AG19:AI19" si="25">SUM(AG2:AG18)</f>
        <v>1747373.9500000002</v>
      </c>
      <c r="AH19" s="81">
        <f t="shared" si="25"/>
        <v>296953.78681818175</v>
      </c>
      <c r="AI19" s="81">
        <f t="shared" si="25"/>
        <v>233199</v>
      </c>
      <c r="AJ19" s="81">
        <f t="shared" si="16"/>
        <v>3459277.2631818177</v>
      </c>
      <c r="AK19" s="82">
        <f t="shared" si="17"/>
        <v>1341941.5631818175</v>
      </c>
      <c r="AL19" s="83"/>
      <c r="AM19" s="84"/>
      <c r="AN19" s="85"/>
      <c r="AO19" s="86">
        <f t="shared" ref="AO19:AP19" si="26">SUM(AO2:AO3)</f>
        <v>394897</v>
      </c>
      <c r="AP19" s="87">
        <f t="shared" si="26"/>
        <v>1860</v>
      </c>
      <c r="AQ19" s="24"/>
      <c r="AR19" s="24"/>
      <c r="AS19" s="24"/>
      <c r="AT19" s="25"/>
      <c r="AU19" s="25"/>
      <c r="AV19" s="25"/>
      <c r="AW19" s="25"/>
      <c r="AX19" s="25"/>
      <c r="AY19" s="25"/>
      <c r="AZ19" s="25"/>
      <c r="BA19" s="25"/>
      <c r="BB19" s="25"/>
      <c r="BC19" s="25"/>
      <c r="BD19" s="25"/>
      <c r="BE19" s="25"/>
      <c r="BF19" s="25"/>
      <c r="BG19" s="25"/>
      <c r="BH19" s="25"/>
      <c r="BI19" s="25"/>
      <c r="BJ19" s="25"/>
      <c r="BK19" s="25"/>
    </row>
    <row r="20" spans="1:63" ht="28.5" customHeight="1" thickBot="1">
      <c r="A20" s="88"/>
      <c r="B20" s="89"/>
      <c r="C20" s="90"/>
      <c r="D20" s="91"/>
      <c r="E20" s="91"/>
      <c r="F20" s="91"/>
      <c r="G20" s="91"/>
      <c r="H20" s="92"/>
      <c r="I20" s="92"/>
      <c r="J20" s="92"/>
      <c r="K20" s="92"/>
      <c r="L20" s="92"/>
      <c r="M20" s="92"/>
      <c r="N20" s="92"/>
      <c r="O20" s="92"/>
      <c r="P20" s="93"/>
      <c r="Q20" s="92"/>
      <c r="R20" s="92"/>
      <c r="S20" s="92"/>
      <c r="T20" s="92"/>
      <c r="U20" s="92"/>
      <c r="V20" s="92"/>
      <c r="W20" s="92"/>
      <c r="X20" s="92"/>
      <c r="Y20" s="92"/>
      <c r="Z20" s="92"/>
      <c r="AA20" s="94"/>
      <c r="AB20" s="95"/>
      <c r="AC20" s="96"/>
      <c r="AD20" s="96"/>
      <c r="AE20" s="96"/>
      <c r="AF20" s="96"/>
      <c r="AG20" s="95"/>
      <c r="AH20" s="95"/>
      <c r="AI20" s="97"/>
      <c r="AJ20" s="25"/>
      <c r="AK20" s="24"/>
      <c r="AL20" s="24"/>
      <c r="AM20" s="24"/>
      <c r="AN20" s="25"/>
      <c r="AO20" s="25"/>
      <c r="AP20" s="25"/>
      <c r="AQ20" s="24"/>
      <c r="AR20" s="24"/>
      <c r="AS20" s="24"/>
      <c r="AT20" s="25"/>
      <c r="AU20" s="25"/>
      <c r="AV20" s="25"/>
      <c r="AW20" s="25"/>
      <c r="AX20" s="25"/>
      <c r="AY20" s="25"/>
      <c r="AZ20" s="25"/>
      <c r="BA20" s="25"/>
      <c r="BB20" s="25"/>
      <c r="BC20" s="25"/>
      <c r="BD20" s="25"/>
      <c r="BE20" s="25"/>
      <c r="BF20" s="25"/>
      <c r="BG20" s="25"/>
      <c r="BH20" s="25"/>
      <c r="BI20" s="25"/>
      <c r="BJ20" s="25"/>
      <c r="BK20" s="25"/>
    </row>
    <row r="21" spans="1:63" ht="28.5" customHeight="1">
      <c r="A21" s="1"/>
      <c r="B21" s="2"/>
      <c r="C21" s="3">
        <v>45946</v>
      </c>
      <c r="D21" s="4" t="s">
        <v>0</v>
      </c>
      <c r="E21" s="4" t="s">
        <v>1</v>
      </c>
      <c r="F21" s="4" t="s">
        <v>2</v>
      </c>
      <c r="G21" s="5" t="s">
        <v>3</v>
      </c>
      <c r="H21" s="6" t="s">
        <v>4</v>
      </c>
      <c r="I21" s="7" t="s">
        <v>5</v>
      </c>
      <c r="J21" s="7" t="s">
        <v>6</v>
      </c>
      <c r="K21" s="8" t="s">
        <v>7</v>
      </c>
      <c r="L21" s="9" t="s">
        <v>8</v>
      </c>
      <c r="M21" s="10" t="s">
        <v>9</v>
      </c>
      <c r="N21" s="11" t="s">
        <v>10</v>
      </c>
      <c r="O21" s="11" t="s">
        <v>11</v>
      </c>
      <c r="P21" s="11" t="s">
        <v>12</v>
      </c>
      <c r="Q21" s="12" t="s">
        <v>13</v>
      </c>
      <c r="R21" s="11" t="s">
        <v>14</v>
      </c>
      <c r="S21" s="13" t="s">
        <v>15</v>
      </c>
      <c r="T21" s="14" t="s">
        <v>16</v>
      </c>
      <c r="U21" s="14" t="s">
        <v>17</v>
      </c>
      <c r="V21" s="14" t="s">
        <v>18</v>
      </c>
      <c r="W21" s="14" t="s">
        <v>19</v>
      </c>
      <c r="X21" s="10" t="s">
        <v>20</v>
      </c>
      <c r="Y21" s="10" t="s">
        <v>21</v>
      </c>
      <c r="Z21" s="15" t="s">
        <v>22</v>
      </c>
      <c r="AA21" s="15" t="s">
        <v>23</v>
      </c>
      <c r="AB21" s="16" t="s">
        <v>24</v>
      </c>
      <c r="AC21" s="17" t="s">
        <v>25</v>
      </c>
      <c r="AD21" s="18" t="s">
        <v>26</v>
      </c>
      <c r="AE21" s="4" t="s">
        <v>27</v>
      </c>
      <c r="AF21" s="19" t="s">
        <v>28</v>
      </c>
      <c r="AG21" s="19" t="s">
        <v>26</v>
      </c>
      <c r="AH21" s="4" t="s">
        <v>29</v>
      </c>
      <c r="AI21" s="10" t="s">
        <v>30</v>
      </c>
      <c r="AJ21" s="10" t="s">
        <v>31</v>
      </c>
      <c r="AK21" s="4" t="s">
        <v>32</v>
      </c>
      <c r="AL21" s="20" t="s">
        <v>33</v>
      </c>
      <c r="AM21" s="21" t="s">
        <v>34</v>
      </c>
      <c r="AN21" s="22" t="s">
        <v>35</v>
      </c>
      <c r="AO21" s="22" t="s">
        <v>36</v>
      </c>
      <c r="AP21" s="23" t="s">
        <v>37</v>
      </c>
      <c r="AQ21" s="24"/>
      <c r="AR21" s="24"/>
      <c r="AS21" s="24"/>
      <c r="AT21" s="25"/>
      <c r="AU21" s="25"/>
      <c r="AV21" s="25"/>
      <c r="AW21" s="25"/>
      <c r="AX21" s="25"/>
      <c r="AY21" s="25"/>
      <c r="AZ21" s="25"/>
      <c r="BA21" s="25"/>
      <c r="BB21" s="25"/>
      <c r="BC21" s="25"/>
      <c r="BD21" s="25"/>
      <c r="BE21" s="25"/>
      <c r="BF21" s="25"/>
      <c r="BG21" s="25"/>
      <c r="BH21" s="25"/>
      <c r="BI21" s="25"/>
      <c r="BJ21" s="25"/>
      <c r="BK21" s="25"/>
    </row>
    <row r="22" spans="1:63" ht="28.5" customHeight="1">
      <c r="A22" s="1" t="s">
        <v>38</v>
      </c>
      <c r="B22" s="26"/>
      <c r="C22" s="27" t="s">
        <v>39</v>
      </c>
      <c r="D22" s="28">
        <f t="shared" ref="D22:D39" si="27">AK22/V22</f>
        <v>0.18429177099486668</v>
      </c>
      <c r="E22" s="29">
        <f t="shared" ref="E22:E39" si="28">AJ22/V22</f>
        <v>0.42271097570878513</v>
      </c>
      <c r="F22" s="30">
        <f t="shared" ref="F22:F39" si="29">(Z22+AB22)/V22</f>
        <v>0.23841920471391848</v>
      </c>
      <c r="G22" s="30">
        <f t="shared" ref="G22:G38" si="30">R22/AP22</f>
        <v>7.1751128951329651E-2</v>
      </c>
      <c r="H22" s="31">
        <v>7410</v>
      </c>
      <c r="I22" s="31">
        <f t="shared" ref="I22:I38" si="31">N22*7</f>
        <v>1400</v>
      </c>
      <c r="J22" s="31">
        <f t="shared" ref="J22:J38" si="32">N22*14</f>
        <v>2800</v>
      </c>
      <c r="K22" s="32">
        <v>76</v>
      </c>
      <c r="L22" s="32">
        <f>1906+1320</f>
        <v>3226</v>
      </c>
      <c r="M22" s="33"/>
      <c r="N22" s="34">
        <v>200</v>
      </c>
      <c r="O22" s="35">
        <v>191</v>
      </c>
      <c r="P22" s="36">
        <f t="shared" ref="P22:P38" si="33">O22-S22</f>
        <v>191</v>
      </c>
      <c r="Q22" s="35">
        <v>10</v>
      </c>
      <c r="R22" s="37">
        <v>143</v>
      </c>
      <c r="S22" s="38"/>
      <c r="T22" s="39">
        <f t="shared" ref="T22:T38" si="34">W22*O22</f>
        <v>5328900</v>
      </c>
      <c r="U22" s="36">
        <f t="shared" ref="U22:U38" si="35">W22*S22</f>
        <v>0</v>
      </c>
      <c r="V22" s="39">
        <f t="shared" ref="V22:V38" si="36">T22-U22</f>
        <v>5328900</v>
      </c>
      <c r="W22" s="39">
        <v>27900</v>
      </c>
      <c r="X22" s="39">
        <f>SUMIF([1]헤몬팜마진!$B$7:$B$32,$C22,[1]헤몬팜마진!$R$7:$R$32)</f>
        <v>8851</v>
      </c>
      <c r="Y22" s="39">
        <f t="shared" ref="Y22:Y38" si="37">AI22*P22</f>
        <v>1765795</v>
      </c>
      <c r="Z22" s="39">
        <f t="shared" ref="Z22:Z38" si="38">AA22*1.1</f>
        <v>1270512.1000000001</v>
      </c>
      <c r="AA22" s="98">
        <v>1155011</v>
      </c>
      <c r="AB22" s="38"/>
      <c r="AC22" s="40">
        <f t="shared" ref="AC22:AC23" si="39">(1072+1100)*Q22</f>
        <v>21720</v>
      </c>
      <c r="AD22" s="41">
        <v>0.1</v>
      </c>
      <c r="AE22" s="36">
        <f>3050*(P22)</f>
        <v>582550</v>
      </c>
      <c r="AF22" s="28">
        <f t="shared" ref="AF22:AF39" si="40">AD22+(AE22/V22)</f>
        <v>0.20931899641577062</v>
      </c>
      <c r="AG22" s="39">
        <f t="shared" ref="AG22:AG38" si="41">IFERROR(V22*AF22+3%,0)</f>
        <v>1115440.03</v>
      </c>
      <c r="AH22" s="39">
        <f t="shared" ref="AH22:AH38" si="42">V22/1.1*10%-((AI22*P22)+AG22+(AN22*P22)+(AL22*P22))*10%</f>
        <v>195080.4515454545</v>
      </c>
      <c r="AI22" s="39">
        <f>SUMIF([1]헤몬팜마진!$B$7:$B$32,$C22,[1]헤몬팜마진!$V$7:$V$32)</f>
        <v>9245</v>
      </c>
      <c r="AJ22" s="39">
        <f t="shared" ref="AJ22:AJ39" si="43">V22-(Y22+AG22+AH22+(AN22*P22))</f>
        <v>2252584.5184545452</v>
      </c>
      <c r="AK22" s="42">
        <f t="shared" ref="AK22:AK39" si="44">AJ22-Z22-AB22</f>
        <v>982072.41845454508</v>
      </c>
      <c r="AL22" s="43">
        <f>SUMIF([1]헤몬팜마진!$B$7:$B$32,$C22,[1]헤몬팜마진!$T$7:$T$32)</f>
        <v>65</v>
      </c>
      <c r="AM22" s="44">
        <f>SUMIF([1]헤몬팜마진!$B$7:$B$32,$C22,[1]헤몬팜마진!$U$7:$U$32)</f>
        <v>330</v>
      </c>
      <c r="AN22" s="38"/>
      <c r="AO22" s="52">
        <v>371303</v>
      </c>
      <c r="AP22" s="52">
        <v>1993</v>
      </c>
      <c r="AQ22" s="24"/>
      <c r="AR22" s="24"/>
      <c r="AS22" s="24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</row>
    <row r="23" spans="1:63" ht="28.5" customHeight="1">
      <c r="A23" s="47" t="s">
        <v>40</v>
      </c>
      <c r="B23" s="26"/>
      <c r="C23" s="27" t="s">
        <v>41</v>
      </c>
      <c r="D23" s="28">
        <f t="shared" si="27"/>
        <v>0.35098899279134965</v>
      </c>
      <c r="E23" s="29">
        <f t="shared" si="28"/>
        <v>0.4098656447737285</v>
      </c>
      <c r="F23" s="30">
        <f t="shared" si="29"/>
        <v>5.8876651982378854E-2</v>
      </c>
      <c r="G23" s="30">
        <f t="shared" si="30"/>
        <v>0</v>
      </c>
      <c r="H23" s="31">
        <v>1460</v>
      </c>
      <c r="I23" s="31">
        <f t="shared" si="31"/>
        <v>140</v>
      </c>
      <c r="J23" s="31">
        <f t="shared" si="32"/>
        <v>280</v>
      </c>
      <c r="K23" s="48">
        <v>325</v>
      </c>
      <c r="L23" s="48">
        <v>0</v>
      </c>
      <c r="M23" s="49"/>
      <c r="N23" s="34">
        <v>20</v>
      </c>
      <c r="O23" s="45">
        <v>2</v>
      </c>
      <c r="P23" s="36">
        <f t="shared" si="33"/>
        <v>2</v>
      </c>
      <c r="Q23" s="38"/>
      <c r="R23" s="50"/>
      <c r="S23" s="38"/>
      <c r="T23" s="39">
        <f t="shared" si="34"/>
        <v>45400</v>
      </c>
      <c r="U23" s="36">
        <f t="shared" si="35"/>
        <v>0</v>
      </c>
      <c r="V23" s="39">
        <f t="shared" si="36"/>
        <v>45400</v>
      </c>
      <c r="W23" s="51">
        <v>22700</v>
      </c>
      <c r="X23" s="39">
        <f>SUMIF([1]헤몬팜마진!$B$7:$B$32,$C23,[1]헤몬팜마진!$R$7:$R$32)</f>
        <v>7081</v>
      </c>
      <c r="Y23" s="39">
        <f t="shared" si="37"/>
        <v>14754</v>
      </c>
      <c r="Z23" s="39">
        <f t="shared" si="38"/>
        <v>2673</v>
      </c>
      <c r="AA23" s="98">
        <v>2430</v>
      </c>
      <c r="AB23" s="38"/>
      <c r="AC23" s="40">
        <f t="shared" si="39"/>
        <v>0</v>
      </c>
      <c r="AD23" s="41">
        <v>0.1</v>
      </c>
      <c r="AE23" s="36">
        <f>2950*(P23)</f>
        <v>5900</v>
      </c>
      <c r="AF23" s="28">
        <f t="shared" si="40"/>
        <v>0.22995594713656389</v>
      </c>
      <c r="AG23" s="39">
        <f t="shared" si="41"/>
        <v>10440.030000000001</v>
      </c>
      <c r="AH23" s="39">
        <f t="shared" si="42"/>
        <v>1598.0697272727271</v>
      </c>
      <c r="AI23" s="39">
        <f>SUMIF([1]헤몬팜마진!$B$7:$B$32,$C23,[1]헤몬팜마진!$V$7:$V$32)</f>
        <v>7377</v>
      </c>
      <c r="AJ23" s="39">
        <f t="shared" si="43"/>
        <v>18607.900272727275</v>
      </c>
      <c r="AK23" s="42">
        <f t="shared" si="44"/>
        <v>15934.900272727275</v>
      </c>
      <c r="AL23" s="43">
        <f>SUMIF([1]헤몬팜마진!$B$7:$B$32,$C23,[1]헤몬팜마진!$T$7:$T$32)</f>
        <v>49</v>
      </c>
      <c r="AM23" s="44">
        <f>SUMIF([1]헤몬팜마진!$B$7:$B$32,$C23,[1]헤몬팜마진!$U$7:$U$32)</f>
        <v>248</v>
      </c>
      <c r="AN23" s="38"/>
      <c r="AO23" s="52">
        <v>13582</v>
      </c>
      <c r="AP23" s="52">
        <v>3</v>
      </c>
      <c r="AQ23" s="24"/>
      <c r="AR23" s="24"/>
      <c r="AS23" s="24"/>
      <c r="AT23" s="25"/>
      <c r="AU23" s="25"/>
      <c r="AV23" s="25"/>
      <c r="AW23" s="25"/>
      <c r="AX23" s="25"/>
      <c r="AY23" s="25"/>
      <c r="AZ23" s="25"/>
      <c r="BA23" s="25"/>
      <c r="BB23" s="25"/>
      <c r="BC23" s="25"/>
      <c r="BD23" s="25"/>
      <c r="BE23" s="25"/>
      <c r="BF23" s="25"/>
      <c r="BG23" s="25"/>
      <c r="BH23" s="25"/>
      <c r="BI23" s="25"/>
      <c r="BJ23" s="25"/>
      <c r="BK23" s="25"/>
    </row>
    <row r="24" spans="1:63" ht="28.5" customHeight="1">
      <c r="A24" s="53" t="s">
        <v>42</v>
      </c>
      <c r="B24" s="54"/>
      <c r="C24" s="27" t="s">
        <v>43</v>
      </c>
      <c r="D24" s="28" t="e">
        <f t="shared" si="27"/>
        <v>#DIV/0!</v>
      </c>
      <c r="E24" s="29" t="e">
        <f t="shared" si="28"/>
        <v>#DIV/0!</v>
      </c>
      <c r="F24" s="30" t="e">
        <f t="shared" si="29"/>
        <v>#DIV/0!</v>
      </c>
      <c r="G24" s="30">
        <f t="shared" si="30"/>
        <v>0</v>
      </c>
      <c r="H24" s="31">
        <v>0</v>
      </c>
      <c r="I24" s="31">
        <f t="shared" si="31"/>
        <v>105</v>
      </c>
      <c r="J24" s="31">
        <f t="shared" si="32"/>
        <v>210</v>
      </c>
      <c r="K24" s="55">
        <v>430</v>
      </c>
      <c r="L24" s="32">
        <f>40+3+3</f>
        <v>46</v>
      </c>
      <c r="M24" s="33"/>
      <c r="N24" s="34">
        <v>15</v>
      </c>
      <c r="O24" s="45"/>
      <c r="P24" s="36">
        <f t="shared" si="33"/>
        <v>0</v>
      </c>
      <c r="Q24" s="38">
        <v>1</v>
      </c>
      <c r="R24" s="56"/>
      <c r="S24" s="38"/>
      <c r="T24" s="39">
        <f t="shared" si="34"/>
        <v>0</v>
      </c>
      <c r="U24" s="36">
        <f t="shared" si="35"/>
        <v>0</v>
      </c>
      <c r="V24" s="39">
        <f t="shared" si="36"/>
        <v>0</v>
      </c>
      <c r="W24" s="51">
        <v>45800</v>
      </c>
      <c r="X24" s="39">
        <f>SUMIF([1]헤몬팜마진!$B$7:$B$32,$C24,[1]헤몬팜마진!$R$7:$R$32)</f>
        <v>9990</v>
      </c>
      <c r="Y24" s="39">
        <f t="shared" si="37"/>
        <v>0</v>
      </c>
      <c r="Z24" s="39">
        <f t="shared" si="38"/>
        <v>8209.3000000000011</v>
      </c>
      <c r="AA24" s="98">
        <v>7463</v>
      </c>
      <c r="AB24" s="38"/>
      <c r="AC24" s="40">
        <f t="shared" ref="AC24:AC38" si="45">(1210+1100)*Q24</f>
        <v>2310</v>
      </c>
      <c r="AD24" s="41">
        <v>0.11</v>
      </c>
      <c r="AE24" s="36">
        <f t="shared" ref="AE24:AE25" si="46">4150*(P24)</f>
        <v>0</v>
      </c>
      <c r="AF24" s="28" t="e">
        <f t="shared" si="40"/>
        <v>#DIV/0!</v>
      </c>
      <c r="AG24" s="39">
        <f t="shared" si="41"/>
        <v>0</v>
      </c>
      <c r="AH24" s="39">
        <f t="shared" si="42"/>
        <v>0</v>
      </c>
      <c r="AI24" s="39">
        <f>SUMIF([1]헤몬팜마진!$B$7:$B$32,$C24,[1]헤몬팜마진!$V$7:$V$32)</f>
        <v>17332</v>
      </c>
      <c r="AJ24" s="39">
        <f t="shared" si="43"/>
        <v>0</v>
      </c>
      <c r="AK24" s="42">
        <f t="shared" si="44"/>
        <v>-8209.3000000000011</v>
      </c>
      <c r="AL24" s="43">
        <f>SUMIF([1]헤몬팜마진!$B$7:$B$32,$C24,[1]헤몬팜마진!$T$7:$T$32)</f>
        <v>162</v>
      </c>
      <c r="AM24" s="44">
        <f>SUMIF([1]헤몬팜마진!$B$7:$B$32,$C24,[1]헤몬팜마진!$U$7:$U$32)</f>
        <v>827</v>
      </c>
      <c r="AN24" s="38"/>
      <c r="AO24" s="52">
        <v>13653</v>
      </c>
      <c r="AP24" s="52">
        <v>51</v>
      </c>
      <c r="AQ24" s="24"/>
      <c r="AR24" s="24"/>
      <c r="AS24" s="24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</row>
    <row r="25" spans="1:63" ht="28.5" customHeight="1">
      <c r="A25" s="57"/>
      <c r="B25" s="58"/>
      <c r="C25" s="27" t="s">
        <v>44</v>
      </c>
      <c r="D25" s="28">
        <f t="shared" si="27"/>
        <v>-5.9834081751581794E-2</v>
      </c>
      <c r="E25" s="29">
        <f t="shared" si="28"/>
        <v>0.31462928821178821</v>
      </c>
      <c r="F25" s="30">
        <f t="shared" si="29"/>
        <v>0.37446336996336999</v>
      </c>
      <c r="G25" s="30">
        <f t="shared" si="30"/>
        <v>1.5105740181268883E-2</v>
      </c>
      <c r="H25" s="31">
        <v>0</v>
      </c>
      <c r="I25" s="31">
        <f t="shared" si="31"/>
        <v>105</v>
      </c>
      <c r="J25" s="31">
        <f t="shared" si="32"/>
        <v>210</v>
      </c>
      <c r="K25" s="59"/>
      <c r="L25" s="32">
        <f>13+2</f>
        <v>15</v>
      </c>
      <c r="M25" s="33"/>
      <c r="N25" s="34">
        <v>15</v>
      </c>
      <c r="O25" s="45">
        <v>7</v>
      </c>
      <c r="P25" s="36">
        <f t="shared" si="33"/>
        <v>7</v>
      </c>
      <c r="Q25" s="45">
        <v>1</v>
      </c>
      <c r="R25" s="37">
        <v>5</v>
      </c>
      <c r="S25" s="38"/>
      <c r="T25" s="39">
        <f t="shared" si="34"/>
        <v>327600</v>
      </c>
      <c r="U25" s="36">
        <f t="shared" si="35"/>
        <v>0</v>
      </c>
      <c r="V25" s="39">
        <f t="shared" si="36"/>
        <v>327600</v>
      </c>
      <c r="W25" s="51">
        <v>46800</v>
      </c>
      <c r="X25" s="39">
        <f>SUMIF([1]헤몬팜마진!$B$7:$B$32,$C25,[1]헤몬팜마진!$R$7:$R$32)</f>
        <v>9990</v>
      </c>
      <c r="Y25" s="39">
        <f t="shared" si="37"/>
        <v>151424</v>
      </c>
      <c r="Z25" s="39">
        <f t="shared" si="38"/>
        <v>122674.20000000001</v>
      </c>
      <c r="AA25" s="98">
        <v>111522</v>
      </c>
      <c r="AB25" s="38"/>
      <c r="AC25" s="40">
        <f t="shared" si="45"/>
        <v>2310</v>
      </c>
      <c r="AD25" s="41">
        <v>0.11</v>
      </c>
      <c r="AE25" s="36">
        <f t="shared" si="46"/>
        <v>29050</v>
      </c>
      <c r="AF25" s="28">
        <f t="shared" si="40"/>
        <v>0.19867521367521368</v>
      </c>
      <c r="AG25" s="39">
        <f t="shared" si="41"/>
        <v>65086.03</v>
      </c>
      <c r="AH25" s="39">
        <f t="shared" si="42"/>
        <v>8017.4151818181745</v>
      </c>
      <c r="AI25" s="39">
        <f>SUMIF([1]헤몬팜마진!$B$7:$B$32,$C25,[1]헤몬팜마진!$V$7:$V$32)</f>
        <v>21632</v>
      </c>
      <c r="AJ25" s="39">
        <f t="shared" si="43"/>
        <v>103072.55481818182</v>
      </c>
      <c r="AK25" s="60">
        <f t="shared" si="44"/>
        <v>-19601.645181818196</v>
      </c>
      <c r="AL25" s="43">
        <f>SUMIF([1]헤몬팜마진!$B$7:$B$32,$C25,[1]헤몬팜마진!$T$7:$T$32)</f>
        <v>162</v>
      </c>
      <c r="AM25" s="44">
        <f>SUMIF([1]헤몬팜마진!$B$7:$B$32,$C25,[1]헤몬팜마진!$U$7:$U$32)</f>
        <v>827</v>
      </c>
      <c r="AN25" s="38"/>
      <c r="AO25" s="52">
        <v>118599</v>
      </c>
      <c r="AP25" s="52">
        <v>331</v>
      </c>
      <c r="AQ25" s="24"/>
      <c r="AR25" s="24"/>
      <c r="AS25" s="24"/>
      <c r="AT25" s="25"/>
      <c r="AU25" s="25"/>
      <c r="AV25" s="25"/>
      <c r="AW25" s="25"/>
      <c r="AX25" s="25"/>
      <c r="AY25" s="25"/>
      <c r="AZ25" s="25"/>
      <c r="BA25" s="25"/>
      <c r="BB25" s="25"/>
      <c r="BC25" s="25"/>
      <c r="BD25" s="25"/>
      <c r="BE25" s="25"/>
      <c r="BF25" s="25"/>
      <c r="BG25" s="25"/>
      <c r="BH25" s="25"/>
      <c r="BI25" s="25"/>
      <c r="BJ25" s="25"/>
      <c r="BK25" s="25"/>
    </row>
    <row r="26" spans="1:63" ht="28.5" customHeight="1">
      <c r="A26" s="1" t="s">
        <v>45</v>
      </c>
      <c r="B26" s="54"/>
      <c r="C26" s="27" t="s">
        <v>46</v>
      </c>
      <c r="D26" s="28">
        <f t="shared" si="27"/>
        <v>0.34805266494375192</v>
      </c>
      <c r="E26" s="29">
        <f t="shared" si="28"/>
        <v>0.40945400273639404</v>
      </c>
      <c r="F26" s="30">
        <f t="shared" si="29"/>
        <v>6.1401337792642147E-2</v>
      </c>
      <c r="G26" s="30" t="e">
        <f t="shared" si="30"/>
        <v>#DIV/0!</v>
      </c>
      <c r="H26" s="61">
        <v>3504</v>
      </c>
      <c r="I26" s="31">
        <f t="shared" si="31"/>
        <v>210</v>
      </c>
      <c r="J26" s="31">
        <f t="shared" si="32"/>
        <v>420</v>
      </c>
      <c r="K26" s="55">
        <v>626</v>
      </c>
      <c r="L26" s="48">
        <f>30+13+6</f>
        <v>49</v>
      </c>
      <c r="M26" s="49"/>
      <c r="N26" s="62">
        <v>30</v>
      </c>
      <c r="O26" s="45">
        <v>1</v>
      </c>
      <c r="P26" s="36">
        <f t="shared" si="33"/>
        <v>1</v>
      </c>
      <c r="Q26" s="38"/>
      <c r="R26" s="56"/>
      <c r="S26" s="38"/>
      <c r="T26" s="39">
        <f t="shared" si="34"/>
        <v>59800</v>
      </c>
      <c r="U26" s="36">
        <f t="shared" si="35"/>
        <v>0</v>
      </c>
      <c r="V26" s="39">
        <f t="shared" si="36"/>
        <v>59800</v>
      </c>
      <c r="W26" s="51">
        <v>59800</v>
      </c>
      <c r="X26" s="39">
        <f>SUMIF([1]헤몬팜마진!$B$7:$B$32,$C26,[1]헤몬팜마진!$R$7:$R$32)</f>
        <v>13276</v>
      </c>
      <c r="Y26" s="39">
        <f t="shared" si="37"/>
        <v>21956</v>
      </c>
      <c r="Z26" s="39">
        <f t="shared" si="38"/>
        <v>3671.8</v>
      </c>
      <c r="AA26" s="98">
        <v>3338</v>
      </c>
      <c r="AB26" s="63"/>
      <c r="AC26" s="40">
        <f t="shared" si="45"/>
        <v>0</v>
      </c>
      <c r="AD26" s="41">
        <v>0.108</v>
      </c>
      <c r="AE26" s="36">
        <f t="shared" ref="AE26:AE27" si="47">4825*(P26)</f>
        <v>4825</v>
      </c>
      <c r="AF26" s="28">
        <f t="shared" si="40"/>
        <v>0.188685618729097</v>
      </c>
      <c r="AG26" s="39">
        <f t="shared" si="41"/>
        <v>11283.430000000002</v>
      </c>
      <c r="AH26" s="39">
        <f t="shared" si="42"/>
        <v>2075.220636363636</v>
      </c>
      <c r="AI26" s="39">
        <f>SUMIF([1]헤몬팜마진!$B$7:$B$32,$C26,[1]헤몬팜마진!$V$7:$V$32)</f>
        <v>21956</v>
      </c>
      <c r="AJ26" s="39">
        <f t="shared" si="43"/>
        <v>24485.349363636364</v>
      </c>
      <c r="AK26" s="42">
        <f t="shared" si="44"/>
        <v>20813.549363636364</v>
      </c>
      <c r="AL26" s="43">
        <f>SUMIF([1]헤몬팜마진!$B$7:$B$32,$C26,[1]헤몬팜마진!$T$7:$T$32)</f>
        <v>372</v>
      </c>
      <c r="AM26" s="44">
        <f>SUMIF([1]헤몬팜마진!$B$7:$B$32,$C26,[1]헤몬팜마진!$U$7:$U$32)</f>
        <v>1896</v>
      </c>
      <c r="AN26" s="38"/>
      <c r="AO26" s="45"/>
      <c r="AP26" s="46"/>
      <c r="AQ26" s="24"/>
      <c r="AR26" s="24"/>
      <c r="AS26" s="24"/>
      <c r="AT26" s="25"/>
      <c r="AU26" s="25"/>
      <c r="AV26" s="25"/>
      <c r="AW26" s="25"/>
      <c r="AX26" s="25"/>
      <c r="AY26" s="25"/>
      <c r="AZ26" s="25"/>
      <c r="BA26" s="25"/>
      <c r="BB26" s="25"/>
      <c r="BC26" s="25"/>
      <c r="BD26" s="25"/>
      <c r="BE26" s="25"/>
      <c r="BF26" s="25"/>
      <c r="BG26" s="25"/>
      <c r="BH26" s="25"/>
      <c r="BI26" s="25"/>
      <c r="BJ26" s="25"/>
      <c r="BK26" s="25"/>
    </row>
    <row r="27" spans="1:63" ht="28.5" customHeight="1">
      <c r="A27" s="1" t="s">
        <v>45</v>
      </c>
      <c r="B27" s="58"/>
      <c r="C27" s="27" t="s">
        <v>47</v>
      </c>
      <c r="D27" s="28">
        <f t="shared" si="27"/>
        <v>-3.0322146225800709E-2</v>
      </c>
      <c r="E27" s="29">
        <f t="shared" si="28"/>
        <v>0.41153798561713428</v>
      </c>
      <c r="F27" s="30">
        <f t="shared" si="29"/>
        <v>0.44186013184293499</v>
      </c>
      <c r="G27" s="30">
        <f t="shared" si="30"/>
        <v>0</v>
      </c>
      <c r="H27" s="31">
        <v>0</v>
      </c>
      <c r="I27" s="31">
        <f t="shared" si="31"/>
        <v>210</v>
      </c>
      <c r="J27" s="31">
        <f t="shared" si="32"/>
        <v>420</v>
      </c>
      <c r="K27" s="59"/>
      <c r="L27" s="48">
        <f>4+11+18+38+129</f>
        <v>200</v>
      </c>
      <c r="M27" s="49"/>
      <c r="N27" s="34">
        <v>30</v>
      </c>
      <c r="O27" s="45">
        <v>1</v>
      </c>
      <c r="P27" s="36">
        <f t="shared" si="33"/>
        <v>1</v>
      </c>
      <c r="Q27" s="38"/>
      <c r="R27" s="56"/>
      <c r="S27" s="38"/>
      <c r="T27" s="39">
        <f t="shared" si="34"/>
        <v>69780</v>
      </c>
      <c r="U27" s="36">
        <f t="shared" si="35"/>
        <v>0</v>
      </c>
      <c r="V27" s="39">
        <f t="shared" si="36"/>
        <v>69780</v>
      </c>
      <c r="W27" s="51">
        <v>69780</v>
      </c>
      <c r="X27" s="39">
        <f>SUMIF([1]헤몬팜마진!$B$7:$B$32,$C27,[1]헤몬팜마진!$R$7:$R$32)</f>
        <v>13276</v>
      </c>
      <c r="Y27" s="39">
        <f t="shared" si="37"/>
        <v>26257</v>
      </c>
      <c r="Z27" s="39">
        <f t="shared" si="38"/>
        <v>30833.000000000004</v>
      </c>
      <c r="AA27" s="98">
        <v>28030</v>
      </c>
      <c r="AB27" s="38"/>
      <c r="AC27" s="40">
        <f t="shared" si="45"/>
        <v>0</v>
      </c>
      <c r="AD27" s="41">
        <v>0.108</v>
      </c>
      <c r="AE27" s="36">
        <f t="shared" si="47"/>
        <v>4825</v>
      </c>
      <c r="AF27" s="28">
        <f t="shared" si="40"/>
        <v>0.17714588707366008</v>
      </c>
      <c r="AG27" s="39">
        <f t="shared" si="41"/>
        <v>12361.27</v>
      </c>
      <c r="AH27" s="39">
        <f t="shared" si="42"/>
        <v>2444.6093636363635</v>
      </c>
      <c r="AI27" s="39">
        <f>SUMIF([1]헤몬팜마진!$B$7:$B$32,$C27,[1]헤몬팜마진!$V$7:$V$32)</f>
        <v>26257</v>
      </c>
      <c r="AJ27" s="39">
        <f t="shared" si="43"/>
        <v>28717.12063636363</v>
      </c>
      <c r="AK27" s="42">
        <f t="shared" si="44"/>
        <v>-2115.8793636363735</v>
      </c>
      <c r="AL27" s="43">
        <f>SUMIF([1]헤몬팜마진!$B$7:$B$32,$C27,[1]헤몬팜마진!$T$7:$T$32)</f>
        <v>372</v>
      </c>
      <c r="AM27" s="44">
        <f>SUMIF([1]헤몬팜마진!$B$7:$B$32,$C27,[1]헤몬팜마진!$U$7:$U$32)</f>
        <v>1896</v>
      </c>
      <c r="AN27" s="38"/>
      <c r="AO27" s="52">
        <v>29096</v>
      </c>
      <c r="AP27" s="52">
        <v>43</v>
      </c>
      <c r="AQ27" s="24"/>
      <c r="AR27" s="24"/>
      <c r="AS27" s="24"/>
      <c r="AT27" s="25"/>
      <c r="AU27" s="25"/>
      <c r="AV27" s="25"/>
      <c r="AW27" s="25"/>
      <c r="AX27" s="25"/>
      <c r="AY27" s="25"/>
      <c r="AZ27" s="25"/>
      <c r="BA27" s="25"/>
      <c r="BB27" s="25"/>
      <c r="BC27" s="25"/>
      <c r="BD27" s="25"/>
      <c r="BE27" s="25"/>
      <c r="BF27" s="25"/>
      <c r="BG27" s="25"/>
      <c r="BH27" s="25"/>
      <c r="BI27" s="25"/>
      <c r="BJ27" s="25"/>
      <c r="BK27" s="25"/>
    </row>
    <row r="28" spans="1:63" ht="28.5" customHeight="1">
      <c r="A28" s="47" t="s">
        <v>48</v>
      </c>
      <c r="B28" s="26"/>
      <c r="C28" s="27" t="s">
        <v>49</v>
      </c>
      <c r="D28" s="28">
        <f t="shared" si="27"/>
        <v>2.0195291402146244E-2</v>
      </c>
      <c r="E28" s="29">
        <f t="shared" si="28"/>
        <v>0.39082627332345077</v>
      </c>
      <c r="F28" s="30">
        <f t="shared" si="29"/>
        <v>0.3706309819213045</v>
      </c>
      <c r="G28" s="30">
        <f t="shared" si="30"/>
        <v>0.10687022900763359</v>
      </c>
      <c r="H28" s="31">
        <v>500</v>
      </c>
      <c r="I28" s="31">
        <f t="shared" si="31"/>
        <v>105</v>
      </c>
      <c r="J28" s="31">
        <f t="shared" si="32"/>
        <v>210</v>
      </c>
      <c r="K28" s="48">
        <v>577</v>
      </c>
      <c r="L28" s="48">
        <v>211</v>
      </c>
      <c r="M28" s="49"/>
      <c r="N28" s="34">
        <v>15</v>
      </c>
      <c r="O28" s="45">
        <v>14</v>
      </c>
      <c r="P28" s="36">
        <f t="shared" si="33"/>
        <v>14</v>
      </c>
      <c r="Q28" s="45">
        <v>1</v>
      </c>
      <c r="R28" s="37">
        <v>14</v>
      </c>
      <c r="S28" s="45"/>
      <c r="T28" s="39">
        <f t="shared" si="34"/>
        <v>225680</v>
      </c>
      <c r="U28" s="36">
        <f t="shared" si="35"/>
        <v>0</v>
      </c>
      <c r="V28" s="39">
        <f t="shared" si="36"/>
        <v>225680</v>
      </c>
      <c r="W28" s="51">
        <v>16120</v>
      </c>
      <c r="X28" s="39">
        <f>SUMIF([1]헤몬팜마진!$B$7:$B$32,$C28,[1]헤몬팜마진!$R$7:$R$32)</f>
        <v>5089</v>
      </c>
      <c r="Y28" s="39">
        <f t="shared" si="37"/>
        <v>71764</v>
      </c>
      <c r="Z28" s="39">
        <f t="shared" si="38"/>
        <v>83644</v>
      </c>
      <c r="AA28" s="98">
        <v>76040</v>
      </c>
      <c r="AB28" s="64"/>
      <c r="AC28" s="40">
        <f t="shared" si="45"/>
        <v>2310</v>
      </c>
      <c r="AD28" s="41">
        <v>7.8E-2</v>
      </c>
      <c r="AE28" s="36">
        <f>2900*(P28)</f>
        <v>40600</v>
      </c>
      <c r="AF28" s="28">
        <f t="shared" si="40"/>
        <v>0.25790074441687344</v>
      </c>
      <c r="AG28" s="39">
        <f t="shared" si="41"/>
        <v>58203.07</v>
      </c>
      <c r="AH28" s="39">
        <f t="shared" si="42"/>
        <v>7511.2566363636342</v>
      </c>
      <c r="AI28" s="39">
        <f>SUMIF([1]헤몬팜마진!$B$7:$B$32,$C28,[1]헤몬팜마진!$V$7:$V$32)</f>
        <v>5126</v>
      </c>
      <c r="AJ28" s="39">
        <f t="shared" si="43"/>
        <v>88201.673363636364</v>
      </c>
      <c r="AK28" s="60">
        <f t="shared" si="44"/>
        <v>4557.6733636363642</v>
      </c>
      <c r="AL28" s="43">
        <f>SUMIF([1]헤몬팜마진!$B$7:$B$32,$C28,[1]헤몬팜마진!$T$7:$T$32)</f>
        <v>6</v>
      </c>
      <c r="AM28" s="44">
        <f>SUMIF([1]헤몬팜마진!$B$7:$B$32,$C28,[1]헤몬팜마진!$U$7:$U$32)</f>
        <v>31</v>
      </c>
      <c r="AN28" s="38"/>
      <c r="AO28" s="52">
        <v>65392</v>
      </c>
      <c r="AP28" s="52">
        <v>131</v>
      </c>
      <c r="AQ28" s="24"/>
      <c r="AR28" s="24"/>
      <c r="AS28" s="24"/>
      <c r="AT28" s="25"/>
      <c r="AU28" s="25"/>
      <c r="AV28" s="25"/>
      <c r="AW28" s="25"/>
      <c r="AX28" s="25"/>
      <c r="AY28" s="25"/>
      <c r="AZ28" s="25"/>
      <c r="BA28" s="25"/>
      <c r="BB28" s="25"/>
      <c r="BC28" s="25"/>
      <c r="BD28" s="25"/>
      <c r="BE28" s="25"/>
      <c r="BF28" s="25"/>
      <c r="BG28" s="25"/>
      <c r="BH28" s="25"/>
      <c r="BI28" s="25"/>
      <c r="BJ28" s="25"/>
      <c r="BK28" s="25"/>
    </row>
    <row r="29" spans="1:63" ht="28.5" customHeight="1">
      <c r="A29" s="53" t="s">
        <v>50</v>
      </c>
      <c r="B29" s="54"/>
      <c r="C29" s="27" t="s">
        <v>51</v>
      </c>
      <c r="D29" s="65">
        <f t="shared" si="27"/>
        <v>0.10140426650296941</v>
      </c>
      <c r="E29" s="29">
        <f t="shared" si="28"/>
        <v>0.40132700519643677</v>
      </c>
      <c r="F29" s="30">
        <f t="shared" si="29"/>
        <v>0.29992273869346736</v>
      </c>
      <c r="G29" s="30">
        <f t="shared" si="30"/>
        <v>3.4482758620689655E-2</v>
      </c>
      <c r="H29" s="66">
        <v>0</v>
      </c>
      <c r="I29" s="31">
        <f t="shared" si="31"/>
        <v>140</v>
      </c>
      <c r="J29" s="31">
        <f t="shared" si="32"/>
        <v>280</v>
      </c>
      <c r="K29" s="55">
        <v>343</v>
      </c>
      <c r="L29" s="48">
        <f>97+42+48+31+19+10</f>
        <v>247</v>
      </c>
      <c r="M29" s="49"/>
      <c r="N29" s="34">
        <v>20</v>
      </c>
      <c r="O29" s="45">
        <v>8</v>
      </c>
      <c r="P29" s="36">
        <f t="shared" si="33"/>
        <v>8</v>
      </c>
      <c r="Q29" s="45"/>
      <c r="R29" s="37">
        <v>5</v>
      </c>
      <c r="S29" s="38"/>
      <c r="T29" s="39">
        <f t="shared" si="34"/>
        <v>318400</v>
      </c>
      <c r="U29" s="36">
        <f t="shared" si="35"/>
        <v>0</v>
      </c>
      <c r="V29" s="39">
        <f t="shared" si="36"/>
        <v>318400</v>
      </c>
      <c r="W29" s="51">
        <v>39800</v>
      </c>
      <c r="X29" s="39">
        <f>SUMIF([1]헤몬팜마진!$B$7:$B$32,$C29,[1]헤몬팜마진!$R$7:$R$32)</f>
        <v>7855</v>
      </c>
      <c r="Y29" s="39">
        <f t="shared" si="37"/>
        <v>121120</v>
      </c>
      <c r="Z29" s="39">
        <f t="shared" si="38"/>
        <v>95495.400000000009</v>
      </c>
      <c r="AA29" s="98">
        <v>86814</v>
      </c>
      <c r="AB29" s="63"/>
      <c r="AC29" s="40">
        <f t="shared" si="45"/>
        <v>0</v>
      </c>
      <c r="AD29" s="41">
        <v>0.08</v>
      </c>
      <c r="AE29" s="36">
        <f>4150*(P29)</f>
        <v>33200</v>
      </c>
      <c r="AF29" s="28">
        <f t="shared" si="40"/>
        <v>0.18427135678391959</v>
      </c>
      <c r="AG29" s="39">
        <f t="shared" si="41"/>
        <v>58672.03</v>
      </c>
      <c r="AH29" s="39">
        <f t="shared" si="42"/>
        <v>10825.451545454544</v>
      </c>
      <c r="AI29" s="39">
        <f>SUMIF([1]헤몬팜마진!$B$7:$B$32,$C29,[1]헤몬팜마진!$V$7:$V$32)</f>
        <v>15140</v>
      </c>
      <c r="AJ29" s="39">
        <f t="shared" si="43"/>
        <v>127782.51845454547</v>
      </c>
      <c r="AK29" s="42">
        <f t="shared" si="44"/>
        <v>32287.11845454546</v>
      </c>
      <c r="AL29" s="43">
        <f>SUMIF([1]헤몬팜마진!$B$7:$B$32,$C29,[1]헤몬팜마진!$T$7:$T$32)</f>
        <v>176</v>
      </c>
      <c r="AM29" s="44">
        <f>SUMIF([1]헤몬팜마진!$B$7:$B$32,$C29,[1]헤몬팜마진!$U$7:$U$32)</f>
        <v>900</v>
      </c>
      <c r="AN29" s="38"/>
      <c r="AO29" s="52">
        <v>61804</v>
      </c>
      <c r="AP29" s="52">
        <v>145</v>
      </c>
      <c r="AQ29" s="24"/>
      <c r="AR29" s="24"/>
      <c r="AS29" s="24"/>
      <c r="AT29" s="25"/>
      <c r="AU29" s="25"/>
      <c r="AV29" s="25"/>
      <c r="AW29" s="25"/>
      <c r="AX29" s="25"/>
      <c r="AY29" s="25"/>
      <c r="AZ29" s="25"/>
      <c r="BA29" s="25"/>
      <c r="BB29" s="25"/>
      <c r="BC29" s="25"/>
      <c r="BD29" s="25"/>
      <c r="BE29" s="25"/>
      <c r="BF29" s="25"/>
      <c r="BG29" s="25"/>
      <c r="BH29" s="25"/>
      <c r="BI29" s="25"/>
      <c r="BJ29" s="25"/>
      <c r="BK29" s="25"/>
    </row>
    <row r="30" spans="1:63" ht="28.5" customHeight="1">
      <c r="A30" s="57"/>
      <c r="B30" s="58"/>
      <c r="C30" s="27" t="s">
        <v>52</v>
      </c>
      <c r="D30" s="28">
        <f t="shared" si="27"/>
        <v>0.26650570163170162</v>
      </c>
      <c r="E30" s="29">
        <f t="shared" si="28"/>
        <v>0.39158775291375292</v>
      </c>
      <c r="F30" s="30">
        <f t="shared" si="29"/>
        <v>0.1250820512820513</v>
      </c>
      <c r="G30" s="30">
        <f t="shared" si="30"/>
        <v>7.4626865671641784E-2</v>
      </c>
      <c r="H30" s="59"/>
      <c r="I30" s="31">
        <f t="shared" si="31"/>
        <v>105</v>
      </c>
      <c r="J30" s="31">
        <f t="shared" si="32"/>
        <v>210</v>
      </c>
      <c r="K30" s="59"/>
      <c r="L30" s="48">
        <f>74+42+48+18+8+2</f>
        <v>192</v>
      </c>
      <c r="M30" s="49"/>
      <c r="N30" s="34">
        <v>15</v>
      </c>
      <c r="O30" s="38">
        <v>5</v>
      </c>
      <c r="P30" s="36">
        <f t="shared" si="33"/>
        <v>5</v>
      </c>
      <c r="Q30" s="38"/>
      <c r="R30" s="37">
        <v>5</v>
      </c>
      <c r="S30" s="38"/>
      <c r="T30" s="39">
        <f t="shared" si="34"/>
        <v>214500</v>
      </c>
      <c r="U30" s="36">
        <f t="shared" si="35"/>
        <v>0</v>
      </c>
      <c r="V30" s="39">
        <f t="shared" si="36"/>
        <v>214500</v>
      </c>
      <c r="W30" s="51">
        <v>42900</v>
      </c>
      <c r="X30" s="39">
        <f>SUMIF([1]헤몬팜마진!$B$7:$B$32,$C30,[1]헤몬팜마진!$R$7:$R$32)</f>
        <v>7855</v>
      </c>
      <c r="Y30" s="39">
        <f t="shared" si="37"/>
        <v>97205</v>
      </c>
      <c r="Z30" s="39">
        <f t="shared" si="38"/>
        <v>26830.100000000002</v>
      </c>
      <c r="AA30" s="98">
        <v>24391</v>
      </c>
      <c r="AB30" s="38"/>
      <c r="AC30" s="40">
        <f t="shared" si="45"/>
        <v>0</v>
      </c>
      <c r="AD30" s="41">
        <v>7.8E-2</v>
      </c>
      <c r="AE30" s="36">
        <f>1900*(P30)</f>
        <v>9500</v>
      </c>
      <c r="AF30" s="28">
        <f t="shared" si="40"/>
        <v>0.12228904428904429</v>
      </c>
      <c r="AG30" s="39">
        <f t="shared" si="41"/>
        <v>26231.03</v>
      </c>
      <c r="AH30" s="39">
        <f t="shared" si="42"/>
        <v>7068.3969999999954</v>
      </c>
      <c r="AI30" s="39">
        <f>SUMIF([1]헤몬팜마진!$B$7:$B$32,$C30,[1]헤몬팜마진!$V$7:$V$32)</f>
        <v>19441</v>
      </c>
      <c r="AJ30" s="39">
        <f t="shared" si="43"/>
        <v>83995.573000000004</v>
      </c>
      <c r="AK30" s="60">
        <f t="shared" si="44"/>
        <v>57165.472999999998</v>
      </c>
      <c r="AL30" s="43">
        <f>SUMIF([1]헤몬팜마진!$B$7:$B$32,$C30,[1]헤몬팜마진!$T$7:$T$32)</f>
        <v>176</v>
      </c>
      <c r="AM30" s="44">
        <f>SUMIF([1]헤몬팜마진!$B$7:$B$32,$C30,[1]헤몬팜마진!$U$7:$U$32)</f>
        <v>900</v>
      </c>
      <c r="AN30" s="38"/>
      <c r="AO30" s="52">
        <v>17841</v>
      </c>
      <c r="AP30" s="52">
        <v>67</v>
      </c>
      <c r="AQ30" s="24"/>
      <c r="AR30" s="24"/>
      <c r="AS30" s="24"/>
      <c r="AT30" s="25"/>
      <c r="AU30" s="25"/>
      <c r="AV30" s="25"/>
      <c r="AW30" s="25"/>
      <c r="AX30" s="25"/>
      <c r="AY30" s="25"/>
      <c r="AZ30" s="25"/>
      <c r="BA30" s="25"/>
      <c r="BB30" s="25"/>
      <c r="BC30" s="25"/>
      <c r="BD30" s="25"/>
      <c r="BE30" s="25"/>
      <c r="BF30" s="25"/>
      <c r="BG30" s="25"/>
      <c r="BH30" s="25"/>
      <c r="BI30" s="25"/>
      <c r="BJ30" s="25"/>
      <c r="BK30" s="25"/>
    </row>
    <row r="31" spans="1:63" ht="28.5" customHeight="1">
      <c r="A31" s="47" t="s">
        <v>53</v>
      </c>
      <c r="B31" s="26"/>
      <c r="C31" s="27" t="s">
        <v>54</v>
      </c>
      <c r="D31" s="28">
        <f t="shared" si="27"/>
        <v>0.11455339506847322</v>
      </c>
      <c r="E31" s="29">
        <f t="shared" si="28"/>
        <v>0.36300752167103734</v>
      </c>
      <c r="F31" s="30">
        <f t="shared" si="29"/>
        <v>0.24845412660256411</v>
      </c>
      <c r="G31" s="30">
        <f t="shared" si="30"/>
        <v>9.0909090909090912E-2</v>
      </c>
      <c r="H31" s="31">
        <v>1750</v>
      </c>
      <c r="I31" s="31">
        <f t="shared" si="31"/>
        <v>350</v>
      </c>
      <c r="J31" s="31">
        <f t="shared" si="32"/>
        <v>700</v>
      </c>
      <c r="K31" s="48">
        <v>1449</v>
      </c>
      <c r="L31" s="48">
        <v>1217</v>
      </c>
      <c r="M31" s="49"/>
      <c r="N31" s="34">
        <v>50</v>
      </c>
      <c r="O31" s="45">
        <v>26</v>
      </c>
      <c r="P31" s="36">
        <f t="shared" si="33"/>
        <v>26</v>
      </c>
      <c r="Q31" s="38">
        <v>1</v>
      </c>
      <c r="R31" s="37">
        <v>12</v>
      </c>
      <c r="S31" s="38"/>
      <c r="T31" s="39">
        <f t="shared" si="34"/>
        <v>499200</v>
      </c>
      <c r="U31" s="36">
        <f t="shared" si="35"/>
        <v>0</v>
      </c>
      <c r="V31" s="39">
        <f t="shared" si="36"/>
        <v>499200</v>
      </c>
      <c r="W31" s="51">
        <v>19200</v>
      </c>
      <c r="X31" s="39">
        <f>SUMIF([1]헤몬팜마진!$B$7:$B$32,$C31,[1]헤몬팜마진!$R$7:$R$32)</f>
        <v>6373</v>
      </c>
      <c r="Y31" s="39">
        <f t="shared" si="37"/>
        <v>176046</v>
      </c>
      <c r="Z31" s="39">
        <f t="shared" si="38"/>
        <v>124028.3</v>
      </c>
      <c r="AA31" s="98">
        <f>101407+11346</f>
        <v>112753</v>
      </c>
      <c r="AB31" s="38"/>
      <c r="AC31" s="40">
        <f t="shared" si="45"/>
        <v>2310</v>
      </c>
      <c r="AD31" s="41">
        <v>0.08</v>
      </c>
      <c r="AE31" s="36">
        <f>3350*(P31)</f>
        <v>87100</v>
      </c>
      <c r="AF31" s="28">
        <f t="shared" si="40"/>
        <v>0.25447916666666665</v>
      </c>
      <c r="AG31" s="39">
        <f t="shared" si="41"/>
        <v>127036.02999999998</v>
      </c>
      <c r="AH31" s="39">
        <f t="shared" si="42"/>
        <v>14904.615181818179</v>
      </c>
      <c r="AI31" s="39">
        <f>SUMIF([1]헤몬팜마진!$B$7:$B$32,$C31,[1]헤몬팜마진!$V$7:$V$32)</f>
        <v>6771</v>
      </c>
      <c r="AJ31" s="39">
        <f t="shared" si="43"/>
        <v>181213.35481818183</v>
      </c>
      <c r="AK31" s="42">
        <f t="shared" si="44"/>
        <v>57185.05481818183</v>
      </c>
      <c r="AL31" s="43">
        <f>SUMIF([1]헤몬팜마진!$B$7:$B$32,$C31,[1]헤몬팜마진!$T$7:$T$32)</f>
        <v>65</v>
      </c>
      <c r="AM31" s="44">
        <f>SUMIF([1]헤몬팜마진!$B$7:$B$32,$C31,[1]헤몬팜마진!$U$7:$U$32)</f>
        <v>333</v>
      </c>
      <c r="AN31" s="38"/>
      <c r="AO31" s="52">
        <v>32529</v>
      </c>
      <c r="AP31" s="52">
        <v>132</v>
      </c>
      <c r="AQ31" s="24"/>
      <c r="AR31" s="24"/>
      <c r="AS31" s="24"/>
      <c r="AT31" s="25"/>
      <c r="AU31" s="25"/>
      <c r="AV31" s="25"/>
      <c r="AW31" s="25"/>
      <c r="AX31" s="25"/>
      <c r="AY31" s="25"/>
      <c r="AZ31" s="25"/>
      <c r="BA31" s="25"/>
      <c r="BB31" s="25"/>
      <c r="BC31" s="25"/>
      <c r="BD31" s="25"/>
      <c r="BE31" s="25"/>
      <c r="BF31" s="25"/>
      <c r="BG31" s="25"/>
      <c r="BH31" s="25"/>
      <c r="BI31" s="25"/>
      <c r="BJ31" s="25"/>
      <c r="BK31" s="25"/>
    </row>
    <row r="32" spans="1:63" ht="28.5" customHeight="1">
      <c r="A32" s="53" t="s">
        <v>55</v>
      </c>
      <c r="B32" s="67"/>
      <c r="C32" s="27" t="s">
        <v>56</v>
      </c>
      <c r="D32" s="28">
        <f t="shared" si="27"/>
        <v>0.105738274693105</v>
      </c>
      <c r="E32" s="29">
        <f t="shared" si="28"/>
        <v>0.41625979842611699</v>
      </c>
      <c r="F32" s="30">
        <f t="shared" si="29"/>
        <v>0.31052152373301201</v>
      </c>
      <c r="G32" s="30">
        <f t="shared" si="30"/>
        <v>4.5454545454545456E-2</v>
      </c>
      <c r="H32" s="31">
        <v>0</v>
      </c>
      <c r="I32" s="31">
        <f t="shared" si="31"/>
        <v>70</v>
      </c>
      <c r="J32" s="31">
        <f t="shared" si="32"/>
        <v>140</v>
      </c>
      <c r="K32" s="68">
        <v>494</v>
      </c>
      <c r="L32" s="48">
        <v>0</v>
      </c>
      <c r="M32" s="49"/>
      <c r="N32" s="34">
        <v>10</v>
      </c>
      <c r="O32" s="38">
        <v>9</v>
      </c>
      <c r="P32" s="36">
        <f t="shared" si="33"/>
        <v>9</v>
      </c>
      <c r="Q32" s="38">
        <v>1</v>
      </c>
      <c r="R32" s="37">
        <v>7</v>
      </c>
      <c r="S32" s="38"/>
      <c r="T32" s="39">
        <f t="shared" si="34"/>
        <v>448110</v>
      </c>
      <c r="U32" s="36">
        <f t="shared" si="35"/>
        <v>0</v>
      </c>
      <c r="V32" s="39">
        <f t="shared" si="36"/>
        <v>448110</v>
      </c>
      <c r="W32" s="51">
        <v>49790</v>
      </c>
      <c r="X32" s="39">
        <f>SUMIF([1]헤몬팜마진!$B$7:$B$32,$C32,[1]헤몬팜마진!$R$7:$R$32)</f>
        <v>12170</v>
      </c>
      <c r="Y32" s="39">
        <f t="shared" si="37"/>
        <v>167184</v>
      </c>
      <c r="Z32" s="39">
        <f t="shared" si="38"/>
        <v>139147.80000000002</v>
      </c>
      <c r="AA32" s="98">
        <v>126498</v>
      </c>
      <c r="AB32" s="38"/>
      <c r="AC32" s="40">
        <f t="shared" si="45"/>
        <v>2310</v>
      </c>
      <c r="AD32" s="41">
        <v>7.8E-2</v>
      </c>
      <c r="AE32" s="36">
        <f t="shared" ref="AE32:AE33" si="48">4825*(P32)</f>
        <v>43425</v>
      </c>
      <c r="AF32" s="28">
        <f t="shared" si="40"/>
        <v>0.17490700943964652</v>
      </c>
      <c r="AG32" s="39">
        <f t="shared" si="41"/>
        <v>78377.61</v>
      </c>
      <c r="AH32" s="39">
        <f t="shared" si="42"/>
        <v>16018.211727272726</v>
      </c>
      <c r="AI32" s="39">
        <f>SUMIF([1]헤몬팜마진!$B$7:$B$32,$C32,[1]헤몬팜마진!$V$7:$V$32)</f>
        <v>18576</v>
      </c>
      <c r="AJ32" s="39">
        <f t="shared" si="43"/>
        <v>186530.17827272729</v>
      </c>
      <c r="AK32" s="60">
        <f t="shared" si="44"/>
        <v>47382.378272727277</v>
      </c>
      <c r="AL32" s="43">
        <f>SUMIF([1]헤몬팜마진!$B$7:$B$32,$C32,[1]헤몬팜마진!$T$7:$T$32)</f>
        <v>181</v>
      </c>
      <c r="AM32" s="44">
        <f>SUMIF([1]헤몬팜마진!$B$7:$B$32,$C32,[1]헤몬팜마진!$U$7:$U$32)</f>
        <v>926</v>
      </c>
      <c r="AN32" s="38"/>
      <c r="AO32" s="52">
        <v>33743</v>
      </c>
      <c r="AP32" s="52">
        <v>154</v>
      </c>
      <c r="AQ32" s="24"/>
      <c r="AR32" s="24"/>
      <c r="AS32" s="24"/>
      <c r="AT32" s="25"/>
      <c r="AU32" s="25"/>
      <c r="AV32" s="25"/>
      <c r="AW32" s="25"/>
      <c r="AX32" s="25"/>
      <c r="AY32" s="25"/>
      <c r="AZ32" s="25"/>
      <c r="BA32" s="25"/>
      <c r="BB32" s="25"/>
      <c r="BC32" s="25"/>
      <c r="BD32" s="25"/>
      <c r="BE32" s="25"/>
      <c r="BF32" s="25"/>
      <c r="BG32" s="25"/>
      <c r="BH32" s="25"/>
      <c r="BI32" s="25"/>
      <c r="BJ32" s="25"/>
      <c r="BK32" s="25"/>
    </row>
    <row r="33" spans="1:63" ht="28.5" customHeight="1">
      <c r="A33" s="57"/>
      <c r="B33" s="58"/>
      <c r="C33" s="27" t="s">
        <v>57</v>
      </c>
      <c r="D33" s="28">
        <f t="shared" si="27"/>
        <v>0.32303147722037234</v>
      </c>
      <c r="E33" s="29">
        <f t="shared" si="28"/>
        <v>0.40846930836526985</v>
      </c>
      <c r="F33" s="30">
        <f t="shared" si="29"/>
        <v>8.5437831144897489E-2</v>
      </c>
      <c r="G33" s="30">
        <f t="shared" si="30"/>
        <v>3.4682080924855488E-2</v>
      </c>
      <c r="H33" s="31">
        <v>0</v>
      </c>
      <c r="I33" s="31">
        <f t="shared" si="31"/>
        <v>70</v>
      </c>
      <c r="J33" s="31">
        <f t="shared" si="32"/>
        <v>140</v>
      </c>
      <c r="K33" s="59"/>
      <c r="L33" s="48">
        <v>1</v>
      </c>
      <c r="M33" s="49"/>
      <c r="N33" s="34">
        <v>10</v>
      </c>
      <c r="O33" s="45">
        <v>12</v>
      </c>
      <c r="P33" s="36">
        <f t="shared" si="33"/>
        <v>12</v>
      </c>
      <c r="Q33" s="45">
        <v>1</v>
      </c>
      <c r="R33" s="37">
        <v>6</v>
      </c>
      <c r="S33" s="38"/>
      <c r="T33" s="39">
        <f t="shared" si="34"/>
        <v>694560</v>
      </c>
      <c r="U33" s="36">
        <f t="shared" si="35"/>
        <v>0</v>
      </c>
      <c r="V33" s="39">
        <f t="shared" si="36"/>
        <v>694560</v>
      </c>
      <c r="W33" s="51">
        <v>57880</v>
      </c>
      <c r="X33" s="39">
        <f>SUMIF([1]헤몬팜마진!$B$7:$B$32,$C33,[1]헤몬팜마진!$R$7:$R$32)</f>
        <v>12170</v>
      </c>
      <c r="Y33" s="39">
        <f t="shared" si="37"/>
        <v>274512</v>
      </c>
      <c r="Z33" s="39">
        <f t="shared" si="38"/>
        <v>59341.700000000004</v>
      </c>
      <c r="AA33" s="98">
        <v>53947</v>
      </c>
      <c r="AB33" s="38"/>
      <c r="AC33" s="40">
        <f t="shared" si="45"/>
        <v>2310</v>
      </c>
      <c r="AD33" s="41">
        <v>7.8E-2</v>
      </c>
      <c r="AE33" s="36">
        <f t="shared" si="48"/>
        <v>57900</v>
      </c>
      <c r="AF33" s="28">
        <f t="shared" si="40"/>
        <v>0.16136212854181065</v>
      </c>
      <c r="AG33" s="39">
        <f t="shared" si="41"/>
        <v>112075.71</v>
      </c>
      <c r="AH33" s="39">
        <f t="shared" si="42"/>
        <v>24265.847181818172</v>
      </c>
      <c r="AI33" s="39">
        <f>SUMIF([1]헤몬팜마진!$B$7:$B$32,$C33,[1]헤몬팜마진!$V$7:$V$32)</f>
        <v>22876</v>
      </c>
      <c r="AJ33" s="39">
        <f t="shared" si="43"/>
        <v>283706.44281818182</v>
      </c>
      <c r="AK33" s="42">
        <f t="shared" si="44"/>
        <v>224364.74281818181</v>
      </c>
      <c r="AL33" s="43">
        <f>SUMIF([1]헤몬팜마진!$B$7:$B$32,$C33,[1]헤몬팜마진!$T$7:$T$32)</f>
        <v>181</v>
      </c>
      <c r="AM33" s="44">
        <f>SUMIF([1]헤몬팜마진!$B$7:$B$32,$C33,[1]헤몬팜마진!$U$7:$U$32)</f>
        <v>926</v>
      </c>
      <c r="AN33" s="38"/>
      <c r="AO33" s="52">
        <v>32496</v>
      </c>
      <c r="AP33" s="52">
        <v>173</v>
      </c>
      <c r="AQ33" s="24"/>
      <c r="AR33" s="24"/>
      <c r="AS33" s="24"/>
      <c r="AT33" s="25"/>
      <c r="AU33" s="25"/>
      <c r="AV33" s="25"/>
      <c r="AW33" s="25"/>
      <c r="AX33" s="25"/>
      <c r="AY33" s="25"/>
      <c r="AZ33" s="25"/>
      <c r="BA33" s="25"/>
      <c r="BB33" s="25"/>
      <c r="BC33" s="25"/>
      <c r="BD33" s="25"/>
      <c r="BE33" s="25"/>
      <c r="BF33" s="25"/>
      <c r="BG33" s="25"/>
      <c r="BH33" s="25"/>
      <c r="BI33" s="25"/>
      <c r="BJ33" s="25"/>
      <c r="BK33" s="25"/>
    </row>
    <row r="34" spans="1:63" ht="28.5" customHeight="1">
      <c r="A34" s="47" t="s">
        <v>58</v>
      </c>
      <c r="B34" s="26"/>
      <c r="C34" s="27" t="s">
        <v>59</v>
      </c>
      <c r="D34" s="28">
        <f t="shared" si="27"/>
        <v>0.32737121182010892</v>
      </c>
      <c r="E34" s="29">
        <f t="shared" si="28"/>
        <v>0.4982770809245074</v>
      </c>
      <c r="F34" s="30">
        <f t="shared" si="29"/>
        <v>0.17090586910439853</v>
      </c>
      <c r="G34" s="30">
        <f t="shared" si="30"/>
        <v>1.0666666666666666E-2</v>
      </c>
      <c r="H34" s="31">
        <v>2000</v>
      </c>
      <c r="I34" s="31">
        <f t="shared" si="31"/>
        <v>700</v>
      </c>
      <c r="J34" s="31">
        <f t="shared" si="32"/>
        <v>1400</v>
      </c>
      <c r="K34" s="48">
        <v>2373</v>
      </c>
      <c r="L34" s="48">
        <v>3</v>
      </c>
      <c r="M34" s="49"/>
      <c r="N34" s="34">
        <v>100</v>
      </c>
      <c r="O34" s="45">
        <v>17</v>
      </c>
      <c r="P34" s="36">
        <f t="shared" si="33"/>
        <v>17</v>
      </c>
      <c r="Q34" s="45">
        <v>6</v>
      </c>
      <c r="R34" s="37">
        <v>4</v>
      </c>
      <c r="S34" s="38"/>
      <c r="T34" s="39">
        <f t="shared" si="34"/>
        <v>301920</v>
      </c>
      <c r="U34" s="36">
        <f t="shared" si="35"/>
        <v>0</v>
      </c>
      <c r="V34" s="39">
        <f t="shared" si="36"/>
        <v>301920</v>
      </c>
      <c r="W34" s="51">
        <v>17760</v>
      </c>
      <c r="X34" s="39">
        <f>SUMIF([1]헤몬팜마진!$B$7:$B$32,$C34,[1]헤몬팜마진!$R$7:$R$32)</f>
        <v>3983</v>
      </c>
      <c r="Y34" s="39">
        <f t="shared" si="37"/>
        <v>82229</v>
      </c>
      <c r="Z34" s="39">
        <f t="shared" si="38"/>
        <v>51599.9</v>
      </c>
      <c r="AA34" s="98">
        <f>26708+20201</f>
        <v>46909</v>
      </c>
      <c r="AB34" s="38"/>
      <c r="AC34" s="40">
        <f t="shared" si="45"/>
        <v>13860</v>
      </c>
      <c r="AD34" s="41">
        <v>7.8E-2</v>
      </c>
      <c r="AE34" s="36">
        <f t="shared" ref="AE34:AE35" si="49">1900*(P34)</f>
        <v>32300</v>
      </c>
      <c r="AF34" s="28">
        <f t="shared" si="40"/>
        <v>0.18498198198198199</v>
      </c>
      <c r="AG34" s="39">
        <f t="shared" si="41"/>
        <v>55849.79</v>
      </c>
      <c r="AH34" s="39">
        <f t="shared" si="42"/>
        <v>13401.393727272723</v>
      </c>
      <c r="AI34" s="39">
        <f>SUMIF([1]헤몬팜마진!$B$7:$B$32,$C34,[1]헤몬팜마진!$V$7:$V$32)</f>
        <v>4837</v>
      </c>
      <c r="AJ34" s="39">
        <f t="shared" si="43"/>
        <v>150439.81627272727</v>
      </c>
      <c r="AK34" s="42">
        <f t="shared" si="44"/>
        <v>98839.916272727278</v>
      </c>
      <c r="AL34" s="43">
        <f>SUMIF([1]헤몬팜마진!$B$7:$B$32,$C34,[1]헤몬팜마진!$T$7:$T$32)</f>
        <v>140</v>
      </c>
      <c r="AM34" s="44">
        <f>SUMIF([1]헤몬팜마진!$B$7:$B$32,$C34,[1]헤몬팜마진!$U$7:$U$32)</f>
        <v>714</v>
      </c>
      <c r="AN34" s="38"/>
      <c r="AO34" s="52">
        <v>68389</v>
      </c>
      <c r="AP34" s="52">
        <v>375</v>
      </c>
      <c r="AQ34" s="24"/>
      <c r="AR34" s="24"/>
      <c r="AS34" s="24"/>
      <c r="AT34" s="25"/>
      <c r="AU34" s="25"/>
      <c r="AV34" s="25"/>
      <c r="AW34" s="25"/>
      <c r="AX34" s="25"/>
      <c r="AY34" s="25"/>
      <c r="AZ34" s="25"/>
      <c r="BA34" s="25"/>
      <c r="BB34" s="25"/>
      <c r="BC34" s="25"/>
      <c r="BD34" s="25"/>
      <c r="BE34" s="25"/>
      <c r="BF34" s="25"/>
      <c r="BG34" s="25"/>
      <c r="BH34" s="25"/>
      <c r="BI34" s="25"/>
      <c r="BJ34" s="25"/>
      <c r="BK34" s="25"/>
    </row>
    <row r="35" spans="1:63" ht="28.5" customHeight="1">
      <c r="A35" s="47" t="s">
        <v>60</v>
      </c>
      <c r="B35" s="26"/>
      <c r="C35" s="27" t="s">
        <v>61</v>
      </c>
      <c r="D35" s="28">
        <f t="shared" si="27"/>
        <v>0.43888159457478004</v>
      </c>
      <c r="E35" s="29">
        <f t="shared" si="28"/>
        <v>0.43888159457478004</v>
      </c>
      <c r="F35" s="30">
        <f t="shared" si="29"/>
        <v>0</v>
      </c>
      <c r="G35" s="30" t="e">
        <f t="shared" si="30"/>
        <v>#DIV/0!</v>
      </c>
      <c r="H35" s="31">
        <v>0</v>
      </c>
      <c r="I35" s="31">
        <f t="shared" si="31"/>
        <v>350</v>
      </c>
      <c r="J35" s="31">
        <f t="shared" si="32"/>
        <v>700</v>
      </c>
      <c r="K35" s="48">
        <v>87</v>
      </c>
      <c r="L35" s="48">
        <v>0</v>
      </c>
      <c r="M35" s="49"/>
      <c r="N35" s="34">
        <v>50</v>
      </c>
      <c r="O35" s="45">
        <v>-3</v>
      </c>
      <c r="P35" s="36">
        <f t="shared" si="33"/>
        <v>-3</v>
      </c>
      <c r="Q35" s="38">
        <v>3</v>
      </c>
      <c r="R35" s="56"/>
      <c r="S35" s="38"/>
      <c r="T35" s="39">
        <f t="shared" si="34"/>
        <v>-74400</v>
      </c>
      <c r="U35" s="36">
        <f t="shared" si="35"/>
        <v>0</v>
      </c>
      <c r="V35" s="39">
        <f t="shared" si="36"/>
        <v>-74400</v>
      </c>
      <c r="W35" s="51">
        <v>24800</v>
      </c>
      <c r="X35" s="39">
        <f>SUMIF([1]헤몬팜마진!$B$7:$B$32,$C35,[1]헤몬팜마진!$R$7:$R$32)</f>
        <v>8408</v>
      </c>
      <c r="Y35" s="39">
        <f t="shared" si="37"/>
        <v>-25740</v>
      </c>
      <c r="Z35" s="39">
        <f t="shared" si="38"/>
        <v>0</v>
      </c>
      <c r="AA35" s="32"/>
      <c r="AB35" s="63"/>
      <c r="AC35" s="40">
        <f t="shared" si="45"/>
        <v>6930</v>
      </c>
      <c r="AD35" s="41">
        <v>0.1</v>
      </c>
      <c r="AE35" s="36">
        <f t="shared" si="49"/>
        <v>-5700</v>
      </c>
      <c r="AF35" s="28">
        <f t="shared" si="40"/>
        <v>0.17661290322580647</v>
      </c>
      <c r="AG35" s="39">
        <f t="shared" si="41"/>
        <v>-13139.970000000001</v>
      </c>
      <c r="AH35" s="39">
        <f t="shared" si="42"/>
        <v>-2867.2393636363636</v>
      </c>
      <c r="AI35" s="39">
        <f>SUMIF([1]헤몬팜마진!$B$7:$B$32,$C35,[1]헤몬팜마진!$V$7:$V$32)</f>
        <v>8580</v>
      </c>
      <c r="AJ35" s="39">
        <f t="shared" si="43"/>
        <v>-32652.790636363636</v>
      </c>
      <c r="AK35" s="60">
        <f t="shared" si="44"/>
        <v>-32652.790636363636</v>
      </c>
      <c r="AL35" s="43">
        <f>SUMIF([1]헤몬팜마진!$B$7:$B$32,$C35,[1]헤몬팜마진!$T$7:$T$32)</f>
        <v>28</v>
      </c>
      <c r="AM35" s="44">
        <f>SUMIF([1]헤몬팜마진!$B$7:$B$32,$C35,[1]헤몬팜마진!$U$7:$U$32)</f>
        <v>143</v>
      </c>
      <c r="AN35" s="38"/>
      <c r="AO35" s="45"/>
      <c r="AP35" s="46"/>
      <c r="AQ35" s="24"/>
      <c r="AR35" s="24"/>
      <c r="AS35" s="24"/>
      <c r="AT35" s="25"/>
      <c r="AU35" s="25"/>
      <c r="AV35" s="25"/>
      <c r="AW35" s="25"/>
      <c r="AX35" s="25"/>
      <c r="AY35" s="25"/>
      <c r="AZ35" s="25"/>
      <c r="BA35" s="25"/>
      <c r="BB35" s="25"/>
      <c r="BC35" s="25"/>
      <c r="BD35" s="25"/>
      <c r="BE35" s="25"/>
      <c r="BF35" s="25"/>
      <c r="BG35" s="25"/>
      <c r="BH35" s="25"/>
      <c r="BI35" s="25"/>
      <c r="BJ35" s="25"/>
      <c r="BK35" s="25"/>
    </row>
    <row r="36" spans="1:63" ht="28.5" customHeight="1">
      <c r="A36" s="1"/>
      <c r="B36" s="69" t="s">
        <v>62</v>
      </c>
      <c r="C36" s="27" t="s">
        <v>63</v>
      </c>
      <c r="D36" s="28">
        <f t="shared" si="27"/>
        <v>-0.43035807189542485</v>
      </c>
      <c r="E36" s="29">
        <f t="shared" si="28"/>
        <v>0.37867668746286393</v>
      </c>
      <c r="F36" s="30">
        <f t="shared" si="29"/>
        <v>0.80903475935828872</v>
      </c>
      <c r="G36" s="30">
        <f t="shared" si="30"/>
        <v>3.3195020746887967E-2</v>
      </c>
      <c r="H36" s="31">
        <v>700</v>
      </c>
      <c r="I36" s="31">
        <f t="shared" si="31"/>
        <v>210</v>
      </c>
      <c r="J36" s="31">
        <f t="shared" si="32"/>
        <v>420</v>
      </c>
      <c r="K36" s="48">
        <v>954</v>
      </c>
      <c r="L36" s="48">
        <v>2</v>
      </c>
      <c r="M36" s="49"/>
      <c r="N36" s="34">
        <v>30</v>
      </c>
      <c r="O36" s="38">
        <v>27</v>
      </c>
      <c r="P36" s="36">
        <f t="shared" si="33"/>
        <v>17</v>
      </c>
      <c r="Q36" s="38">
        <v>2</v>
      </c>
      <c r="R36" s="37">
        <v>16</v>
      </c>
      <c r="S36" s="38">
        <v>10</v>
      </c>
      <c r="T36" s="39">
        <f t="shared" si="34"/>
        <v>534600</v>
      </c>
      <c r="U36" s="36">
        <f t="shared" si="35"/>
        <v>198000</v>
      </c>
      <c r="V36" s="39">
        <f t="shared" si="36"/>
        <v>336600</v>
      </c>
      <c r="W36" s="51">
        <v>19800</v>
      </c>
      <c r="X36" s="39">
        <f>SUMIF([1]헤몬팜마진!$B$7:$B$32,$C36,[1]헤몬팜마진!$R$7:$R$32)</f>
        <v>6638</v>
      </c>
      <c r="Y36" s="39">
        <f t="shared" si="37"/>
        <v>113662</v>
      </c>
      <c r="Z36" s="39">
        <f t="shared" si="38"/>
        <v>167476.1</v>
      </c>
      <c r="AA36" s="98">
        <v>152251</v>
      </c>
      <c r="AB36" s="64">
        <f>((20900*0.015)+(20900*0.19)+2100+2200+1900)*10</f>
        <v>104845</v>
      </c>
      <c r="AC36" s="40">
        <f t="shared" si="45"/>
        <v>4620</v>
      </c>
      <c r="AD36" s="41">
        <v>0.08</v>
      </c>
      <c r="AE36" s="36">
        <f>3400*(P36)</f>
        <v>57800</v>
      </c>
      <c r="AF36" s="28">
        <f t="shared" si="40"/>
        <v>0.25171717171717173</v>
      </c>
      <c r="AG36" s="39">
        <f t="shared" si="41"/>
        <v>84728.03</v>
      </c>
      <c r="AH36" s="39">
        <f t="shared" si="42"/>
        <v>10747.396999999997</v>
      </c>
      <c r="AI36" s="39">
        <f>SUMIF([1]헤몬팜마진!$B$7:$B$32,$C36,[1]헤몬팜마진!$V$7:$V$32)</f>
        <v>6686</v>
      </c>
      <c r="AJ36" s="39">
        <f t="shared" si="43"/>
        <v>127462.573</v>
      </c>
      <c r="AK36" s="60">
        <f t="shared" si="44"/>
        <v>-144858.527</v>
      </c>
      <c r="AL36" s="43">
        <f>SUMIF([1]헤몬팜마진!$B$7:$B$32,$C36,[1]헤몬팜마진!$T$7:$T$32)</f>
        <v>8</v>
      </c>
      <c r="AM36" s="44">
        <f>SUMIF([1]헤몬팜마진!$B$7:$B$32,$C36,[1]헤몬팜마진!$U$7:$U$32)</f>
        <v>40</v>
      </c>
      <c r="AN36" s="38"/>
      <c r="AO36" s="52">
        <v>359020</v>
      </c>
      <c r="AP36" s="52">
        <v>482</v>
      </c>
      <c r="AQ36" s="24"/>
      <c r="AR36" s="24"/>
      <c r="AS36" s="24"/>
      <c r="AT36" s="25"/>
      <c r="AU36" s="25"/>
      <c r="AV36" s="25"/>
      <c r="AW36" s="25"/>
      <c r="AX36" s="25"/>
      <c r="AY36" s="25"/>
      <c r="AZ36" s="25"/>
      <c r="BA36" s="25"/>
      <c r="BB36" s="25"/>
      <c r="BC36" s="25"/>
      <c r="BD36" s="25"/>
      <c r="BE36" s="25"/>
      <c r="BF36" s="25"/>
      <c r="BG36" s="25"/>
      <c r="BH36" s="25"/>
      <c r="BI36" s="25"/>
      <c r="BJ36" s="25"/>
      <c r="BK36" s="25"/>
    </row>
    <row r="37" spans="1:63" ht="28.5" customHeight="1">
      <c r="A37" s="53" t="s">
        <v>64</v>
      </c>
      <c r="B37" s="70" t="s">
        <v>65</v>
      </c>
      <c r="C37" s="27" t="s">
        <v>66</v>
      </c>
      <c r="D37" s="28">
        <f t="shared" si="27"/>
        <v>0.27162505244682283</v>
      </c>
      <c r="E37" s="29">
        <f t="shared" si="28"/>
        <v>0.43443625273614978</v>
      </c>
      <c r="F37" s="30">
        <f t="shared" si="29"/>
        <v>0.16281120028932691</v>
      </c>
      <c r="G37" s="30">
        <f t="shared" si="30"/>
        <v>0.14705882352941177</v>
      </c>
      <c r="H37" s="31">
        <v>2000</v>
      </c>
      <c r="I37" s="31">
        <f t="shared" si="31"/>
        <v>280</v>
      </c>
      <c r="J37" s="31">
        <f t="shared" si="32"/>
        <v>560</v>
      </c>
      <c r="K37" s="68">
        <v>1048</v>
      </c>
      <c r="L37" s="48">
        <f>311+240+1</f>
        <v>552</v>
      </c>
      <c r="M37" s="49"/>
      <c r="N37" s="34">
        <v>40</v>
      </c>
      <c r="O37" s="45">
        <v>29</v>
      </c>
      <c r="P37" s="36">
        <f t="shared" si="33"/>
        <v>29</v>
      </c>
      <c r="Q37" s="45">
        <v>6</v>
      </c>
      <c r="R37" s="37">
        <v>20</v>
      </c>
      <c r="S37" s="38"/>
      <c r="T37" s="39">
        <f t="shared" si="34"/>
        <v>718910</v>
      </c>
      <c r="U37" s="36">
        <f t="shared" si="35"/>
        <v>0</v>
      </c>
      <c r="V37" s="39">
        <f t="shared" si="36"/>
        <v>718910</v>
      </c>
      <c r="W37" s="51">
        <v>24790</v>
      </c>
      <c r="X37" s="39">
        <f>SUMIF([1]헤몬팜마진!$B$7:$B$32,$C37,[1]헤몬팜마진!$R$7:$R$32)</f>
        <v>6859</v>
      </c>
      <c r="Y37" s="39">
        <f t="shared" si="37"/>
        <v>210366</v>
      </c>
      <c r="Z37" s="39">
        <f t="shared" si="38"/>
        <v>117046.6</v>
      </c>
      <c r="AA37" s="98">
        <v>106406</v>
      </c>
      <c r="AB37" s="63"/>
      <c r="AC37" s="40">
        <f t="shared" si="45"/>
        <v>13860</v>
      </c>
      <c r="AD37" s="41">
        <v>0.108</v>
      </c>
      <c r="AE37" s="36">
        <f>3150*(P37)</f>
        <v>91350</v>
      </c>
      <c r="AF37" s="28">
        <f t="shared" si="40"/>
        <v>0.23506736587333604</v>
      </c>
      <c r="AG37" s="39">
        <f t="shared" si="41"/>
        <v>168992.31000000003</v>
      </c>
      <c r="AH37" s="39">
        <f t="shared" si="42"/>
        <v>27231.123545454539</v>
      </c>
      <c r="AI37" s="39">
        <f>SUMIF([1]헤몬팜마진!$B$7:$B$32,$C37,[1]헤몬팜마진!$V$7:$V$32)</f>
        <v>7254</v>
      </c>
      <c r="AJ37" s="39">
        <f t="shared" si="43"/>
        <v>312320.56645454542</v>
      </c>
      <c r="AK37" s="60">
        <f t="shared" si="44"/>
        <v>195273.96645454541</v>
      </c>
      <c r="AL37" s="43">
        <f>SUMIF([1]헤몬팜마진!$B$7:$B$32,$C37,[1]헤몬팜마진!$T$7:$T$32)</f>
        <v>65</v>
      </c>
      <c r="AM37" s="44">
        <f>SUMIF([1]헤몬팜마진!$B$7:$B$32,$C37,[1]헤몬팜마진!$U$7:$U$32)</f>
        <v>330</v>
      </c>
      <c r="AN37" s="38"/>
      <c r="AO37" s="52">
        <v>38190</v>
      </c>
      <c r="AP37" s="52">
        <v>136</v>
      </c>
      <c r="AQ37" s="24"/>
      <c r="AR37" s="24"/>
      <c r="AS37" s="24"/>
      <c r="AT37" s="25"/>
      <c r="AU37" s="25"/>
      <c r="AV37" s="25"/>
      <c r="AW37" s="25"/>
      <c r="AX37" s="25"/>
      <c r="AY37" s="25"/>
      <c r="AZ37" s="25"/>
      <c r="BA37" s="25"/>
      <c r="BB37" s="25"/>
      <c r="BC37" s="25"/>
      <c r="BD37" s="25"/>
      <c r="BE37" s="25"/>
      <c r="BF37" s="25"/>
      <c r="BG37" s="25"/>
      <c r="BH37" s="25"/>
      <c r="BI37" s="25"/>
      <c r="BJ37" s="25"/>
      <c r="BK37" s="25"/>
    </row>
    <row r="38" spans="1:63" ht="28.5" customHeight="1">
      <c r="A38" s="57"/>
      <c r="B38" s="69" t="s">
        <v>67</v>
      </c>
      <c r="C38" s="27" t="s">
        <v>68</v>
      </c>
      <c r="D38" s="28" t="e">
        <f t="shared" si="27"/>
        <v>#DIV/0!</v>
      </c>
      <c r="E38" s="29" t="e">
        <f t="shared" si="28"/>
        <v>#DIV/0!</v>
      </c>
      <c r="F38" s="30" t="e">
        <f t="shared" si="29"/>
        <v>#DIV/0!</v>
      </c>
      <c r="G38" s="30">
        <f t="shared" si="30"/>
        <v>0</v>
      </c>
      <c r="H38" s="31">
        <v>0</v>
      </c>
      <c r="I38" s="31">
        <f t="shared" si="31"/>
        <v>105</v>
      </c>
      <c r="J38" s="31">
        <f t="shared" si="32"/>
        <v>210</v>
      </c>
      <c r="K38" s="59"/>
      <c r="L38" s="48">
        <f>22+3</f>
        <v>25</v>
      </c>
      <c r="M38" s="49"/>
      <c r="N38" s="34">
        <v>15</v>
      </c>
      <c r="O38" s="38">
        <v>0</v>
      </c>
      <c r="P38" s="36">
        <f t="shared" si="33"/>
        <v>0</v>
      </c>
      <c r="Q38" s="38"/>
      <c r="R38" s="50"/>
      <c r="S38" s="38"/>
      <c r="T38" s="39">
        <f t="shared" si="34"/>
        <v>0</v>
      </c>
      <c r="U38" s="36">
        <f t="shared" si="35"/>
        <v>0</v>
      </c>
      <c r="V38" s="39">
        <f t="shared" si="36"/>
        <v>0</v>
      </c>
      <c r="W38" s="51">
        <v>39800</v>
      </c>
      <c r="X38" s="39">
        <f>SUMIF([1]헤몬팜마진!$B$7:$B$32,$C38,[1]헤몬팜마진!$R$7:$R$32)</f>
        <v>13719</v>
      </c>
      <c r="Y38" s="39">
        <f t="shared" si="37"/>
        <v>0</v>
      </c>
      <c r="Z38" s="39">
        <f t="shared" si="38"/>
        <v>47648.700000000004</v>
      </c>
      <c r="AA38" s="98">
        <v>43317</v>
      </c>
      <c r="AB38" s="63"/>
      <c r="AC38" s="40">
        <f t="shared" si="45"/>
        <v>0</v>
      </c>
      <c r="AD38" s="41">
        <v>0.108</v>
      </c>
      <c r="AE38" s="36">
        <f>3550*(P38)</f>
        <v>0</v>
      </c>
      <c r="AF38" s="28" t="e">
        <f t="shared" si="40"/>
        <v>#DIV/0!</v>
      </c>
      <c r="AG38" s="39">
        <f t="shared" si="41"/>
        <v>0</v>
      </c>
      <c r="AH38" s="39">
        <f t="shared" si="42"/>
        <v>0</v>
      </c>
      <c r="AI38" s="39">
        <f>SUMIF([1]헤몬팜마진!$B$7:$B$32,$C38,[1]헤몬팜마진!$V$7:$V$32)</f>
        <v>14113</v>
      </c>
      <c r="AJ38" s="39">
        <f t="shared" si="43"/>
        <v>0</v>
      </c>
      <c r="AK38" s="60">
        <f t="shared" si="44"/>
        <v>-47648.700000000004</v>
      </c>
      <c r="AL38" s="43">
        <f>SUMIF([1]헤몬팜마진!$B$7:$B$32,$C38,[1]헤몬팜마진!$T$7:$T$32)</f>
        <v>65</v>
      </c>
      <c r="AM38" s="44">
        <f>SUMIF([1]헤몬팜마진!$B$7:$B$32,$C38,[1]헤몬팜마진!$U$7:$U$32)</f>
        <v>330</v>
      </c>
      <c r="AN38" s="38"/>
      <c r="AO38" s="52">
        <v>45068</v>
      </c>
      <c r="AP38" s="52">
        <v>101</v>
      </c>
      <c r="AQ38" s="24"/>
      <c r="AR38" s="24"/>
      <c r="AS38" s="24"/>
      <c r="AT38" s="25"/>
      <c r="AU38" s="25"/>
      <c r="AV38" s="25"/>
      <c r="AW38" s="25"/>
      <c r="AX38" s="25"/>
      <c r="AY38" s="25"/>
      <c r="AZ38" s="25"/>
      <c r="BA38" s="25"/>
      <c r="BB38" s="25"/>
      <c r="BC38" s="25"/>
      <c r="BD38" s="25"/>
      <c r="BE38" s="25"/>
      <c r="BF38" s="25"/>
      <c r="BG38" s="25"/>
      <c r="BH38" s="25"/>
      <c r="BI38" s="25"/>
      <c r="BJ38" s="25"/>
      <c r="BK38" s="25"/>
    </row>
    <row r="39" spans="1:63" ht="28.5" customHeight="1" thickBot="1">
      <c r="A39" s="1"/>
      <c r="B39" s="71"/>
      <c r="C39" s="72"/>
      <c r="D39" s="73">
        <f t="shared" si="27"/>
        <v>0.15562759584524116</v>
      </c>
      <c r="E39" s="74">
        <f t="shared" si="28"/>
        <v>0.41371349426205012</v>
      </c>
      <c r="F39" s="75">
        <f t="shared" si="29"/>
        <v>0.25808589841680896</v>
      </c>
      <c r="G39" s="76"/>
      <c r="H39" s="77"/>
      <c r="I39" s="77"/>
      <c r="J39" s="77"/>
      <c r="K39" s="77"/>
      <c r="L39" s="77"/>
      <c r="M39" s="77"/>
      <c r="N39" s="77"/>
      <c r="O39" s="78">
        <f t="shared" ref="O39:V39" si="50">SUM(O22:O38)</f>
        <v>346</v>
      </c>
      <c r="P39" s="79">
        <f t="shared" si="50"/>
        <v>336</v>
      </c>
      <c r="Q39" s="78">
        <f t="shared" si="50"/>
        <v>33</v>
      </c>
      <c r="R39" s="78">
        <f t="shared" si="50"/>
        <v>237</v>
      </c>
      <c r="S39" s="78">
        <f t="shared" si="50"/>
        <v>10</v>
      </c>
      <c r="T39" s="78">
        <f t="shared" si="50"/>
        <v>9712960</v>
      </c>
      <c r="U39" s="78">
        <f t="shared" si="50"/>
        <v>198000</v>
      </c>
      <c r="V39" s="79">
        <f t="shared" si="50"/>
        <v>9514960</v>
      </c>
      <c r="W39" s="77"/>
      <c r="X39" s="78">
        <f t="shared" ref="X39:AC39" si="51">SUM(X22:X38)</f>
        <v>153583</v>
      </c>
      <c r="Y39" s="79">
        <f t="shared" si="51"/>
        <v>3268534</v>
      </c>
      <c r="Z39" s="78">
        <f t="shared" si="51"/>
        <v>2350832.0000000005</v>
      </c>
      <c r="AA39" s="78">
        <f t="shared" si="51"/>
        <v>2137120</v>
      </c>
      <c r="AB39" s="78">
        <f t="shared" si="51"/>
        <v>104845</v>
      </c>
      <c r="AC39" s="78">
        <f t="shared" si="51"/>
        <v>74850</v>
      </c>
      <c r="AD39" s="80">
        <v>0.09</v>
      </c>
      <c r="AE39" s="79">
        <f>SUM(AE22:AE38)</f>
        <v>1074625</v>
      </c>
      <c r="AF39" s="75">
        <f t="shared" si="40"/>
        <v>0.20294056937706517</v>
      </c>
      <c r="AG39" s="81">
        <f t="shared" ref="AG39:AI39" si="52">SUM(AG22:AG38)</f>
        <v>1971636.4300000004</v>
      </c>
      <c r="AH39" s="81">
        <f t="shared" si="52"/>
        <v>338322.22063636355</v>
      </c>
      <c r="AI39" s="81">
        <f t="shared" si="52"/>
        <v>233199</v>
      </c>
      <c r="AJ39" s="81">
        <f t="shared" si="43"/>
        <v>3936467.3493636362</v>
      </c>
      <c r="AK39" s="82">
        <f t="shared" si="44"/>
        <v>1480790.3493636358</v>
      </c>
      <c r="AL39" s="83"/>
      <c r="AM39" s="84"/>
      <c r="AN39" s="85"/>
      <c r="AO39" s="86">
        <f t="shared" ref="AO39:AP39" si="53">SUM(AO22:AO23)</f>
        <v>384885</v>
      </c>
      <c r="AP39" s="87">
        <f t="shared" si="53"/>
        <v>1996</v>
      </c>
      <c r="AQ39" s="24"/>
      <c r="AR39" s="24"/>
      <c r="AS39" s="24"/>
      <c r="AT39" s="25"/>
      <c r="AU39" s="25"/>
      <c r="AV39" s="25"/>
      <c r="AW39" s="25"/>
      <c r="AX39" s="25"/>
      <c r="AY39" s="25"/>
      <c r="AZ39" s="25"/>
      <c r="BA39" s="25"/>
      <c r="BB39" s="25"/>
      <c r="BC39" s="25"/>
      <c r="BD39" s="25"/>
      <c r="BE39" s="25"/>
      <c r="BF39" s="25"/>
      <c r="BG39" s="25"/>
      <c r="BH39" s="25"/>
      <c r="BI39" s="25"/>
      <c r="BJ39" s="25"/>
      <c r="BK39" s="25"/>
    </row>
    <row r="40" spans="1:63" ht="28.5" customHeight="1" thickBot="1">
      <c r="A40" s="88"/>
      <c r="B40" s="89"/>
      <c r="C40" s="90"/>
      <c r="D40" s="91"/>
      <c r="E40" s="91"/>
      <c r="F40" s="91"/>
      <c r="G40" s="91"/>
      <c r="H40" s="92"/>
      <c r="I40" s="92"/>
      <c r="J40" s="92"/>
      <c r="K40" s="92"/>
      <c r="L40" s="92"/>
      <c r="M40" s="92"/>
      <c r="N40" s="92"/>
      <c r="O40" s="92"/>
      <c r="P40" s="93"/>
      <c r="Q40" s="92"/>
      <c r="R40" s="92"/>
      <c r="S40" s="92"/>
      <c r="T40" s="92"/>
      <c r="U40" s="92"/>
      <c r="V40" s="92"/>
      <c r="W40" s="92"/>
      <c r="X40" s="92"/>
      <c r="Y40" s="92"/>
      <c r="Z40" s="92"/>
      <c r="AA40" s="94"/>
      <c r="AB40" s="95"/>
      <c r="AC40" s="96"/>
      <c r="AD40" s="96"/>
      <c r="AE40" s="96"/>
      <c r="AF40" s="96"/>
      <c r="AG40" s="95"/>
      <c r="AH40" s="95"/>
      <c r="AI40" s="97"/>
      <c r="AJ40" s="25"/>
      <c r="AK40" s="24"/>
      <c r="AL40" s="24"/>
      <c r="AM40" s="24"/>
      <c r="AN40" s="25"/>
      <c r="AO40" s="25"/>
      <c r="AP40" s="25"/>
      <c r="AQ40" s="24"/>
      <c r="AR40" s="24"/>
      <c r="AS40" s="24"/>
      <c r="AT40" s="25"/>
      <c r="AU40" s="25"/>
      <c r="AV40" s="25"/>
      <c r="AW40" s="25"/>
      <c r="AX40" s="25"/>
      <c r="AY40" s="25"/>
      <c r="AZ40" s="25"/>
      <c r="BA40" s="25"/>
      <c r="BB40" s="25"/>
      <c r="BC40" s="25"/>
      <c r="BD40" s="25"/>
      <c r="BE40" s="25"/>
      <c r="BF40" s="25"/>
      <c r="BG40" s="25"/>
      <c r="BH40" s="25"/>
      <c r="BI40" s="25"/>
      <c r="BJ40" s="25"/>
      <c r="BK40" s="25"/>
    </row>
    <row r="41" spans="1:63" ht="28.5" customHeight="1">
      <c r="A41" s="1"/>
      <c r="B41" s="2"/>
      <c r="C41" s="3">
        <v>45947</v>
      </c>
      <c r="D41" s="4" t="s">
        <v>0</v>
      </c>
      <c r="E41" s="4" t="s">
        <v>1</v>
      </c>
      <c r="F41" s="4" t="s">
        <v>2</v>
      </c>
      <c r="G41" s="5" t="s">
        <v>3</v>
      </c>
      <c r="H41" s="6" t="s">
        <v>4</v>
      </c>
      <c r="I41" s="7" t="s">
        <v>5</v>
      </c>
      <c r="J41" s="7" t="s">
        <v>6</v>
      </c>
      <c r="K41" s="8" t="s">
        <v>7</v>
      </c>
      <c r="L41" s="9" t="s">
        <v>8</v>
      </c>
      <c r="M41" s="10" t="s">
        <v>9</v>
      </c>
      <c r="N41" s="11" t="s">
        <v>10</v>
      </c>
      <c r="O41" s="11" t="s">
        <v>11</v>
      </c>
      <c r="P41" s="11" t="s">
        <v>12</v>
      </c>
      <c r="Q41" s="12" t="s">
        <v>13</v>
      </c>
      <c r="R41" s="11" t="s">
        <v>14</v>
      </c>
      <c r="S41" s="13" t="s">
        <v>15</v>
      </c>
      <c r="T41" s="14" t="s">
        <v>16</v>
      </c>
      <c r="U41" s="14" t="s">
        <v>17</v>
      </c>
      <c r="V41" s="14" t="s">
        <v>18</v>
      </c>
      <c r="W41" s="14" t="s">
        <v>19</v>
      </c>
      <c r="X41" s="10" t="s">
        <v>20</v>
      </c>
      <c r="Y41" s="10" t="s">
        <v>21</v>
      </c>
      <c r="Z41" s="15" t="s">
        <v>22</v>
      </c>
      <c r="AA41" s="15" t="s">
        <v>23</v>
      </c>
      <c r="AB41" s="16" t="s">
        <v>24</v>
      </c>
      <c r="AC41" s="17" t="s">
        <v>25</v>
      </c>
      <c r="AD41" s="18" t="s">
        <v>26</v>
      </c>
      <c r="AE41" s="4" t="s">
        <v>27</v>
      </c>
      <c r="AF41" s="19" t="s">
        <v>28</v>
      </c>
      <c r="AG41" s="19" t="s">
        <v>26</v>
      </c>
      <c r="AH41" s="4" t="s">
        <v>29</v>
      </c>
      <c r="AI41" s="10" t="s">
        <v>30</v>
      </c>
      <c r="AJ41" s="10" t="s">
        <v>31</v>
      </c>
      <c r="AK41" s="4" t="s">
        <v>32</v>
      </c>
      <c r="AL41" s="20" t="s">
        <v>33</v>
      </c>
      <c r="AM41" s="21" t="s">
        <v>34</v>
      </c>
      <c r="AN41" s="22" t="s">
        <v>35</v>
      </c>
      <c r="AO41" s="22" t="s">
        <v>36</v>
      </c>
      <c r="AP41" s="23" t="s">
        <v>37</v>
      </c>
      <c r="AQ41" s="24"/>
      <c r="AR41" s="24"/>
      <c r="AS41" s="24"/>
      <c r="AT41" s="25"/>
      <c r="AU41" s="25"/>
      <c r="AV41" s="25"/>
      <c r="AW41" s="25"/>
      <c r="AX41" s="25"/>
      <c r="AY41" s="25"/>
      <c r="AZ41" s="25"/>
      <c r="BA41" s="25"/>
      <c r="BB41" s="25"/>
      <c r="BC41" s="25"/>
      <c r="BD41" s="25"/>
      <c r="BE41" s="25"/>
      <c r="BF41" s="25"/>
      <c r="BG41" s="25"/>
      <c r="BH41" s="25"/>
      <c r="BI41" s="25"/>
      <c r="BJ41" s="25"/>
      <c r="BK41" s="25"/>
    </row>
    <row r="42" spans="1:63" ht="28.5" customHeight="1">
      <c r="A42" s="1" t="s">
        <v>38</v>
      </c>
      <c r="B42" s="26"/>
      <c r="C42" s="27" t="s">
        <v>39</v>
      </c>
      <c r="D42" s="28">
        <f t="shared" ref="D42:D59" si="54">AK42/V42</f>
        <v>0.16826857162192638</v>
      </c>
      <c r="E42" s="29">
        <f t="shared" ref="E42:E59" si="55">AJ42/V42</f>
        <v>0.42271097581271772</v>
      </c>
      <c r="F42" s="30">
        <f t="shared" ref="F42:F59" si="56">(Z42+AB42)/V42</f>
        <v>0.25444240419079134</v>
      </c>
      <c r="G42" s="30">
        <f t="shared" ref="G42:G58" si="57">R42/AP42</f>
        <v>7.2410632447296064E-2</v>
      </c>
      <c r="H42" s="31">
        <v>7410</v>
      </c>
      <c r="I42" s="31">
        <f t="shared" ref="I42:I58" si="58">N42*7</f>
        <v>1400</v>
      </c>
      <c r="J42" s="31">
        <f t="shared" ref="J42:J58" si="59">N42*14</f>
        <v>2800</v>
      </c>
      <c r="K42" s="32">
        <v>76</v>
      </c>
      <c r="L42" s="32">
        <f>1906+1320</f>
        <v>3226</v>
      </c>
      <c r="M42" s="33"/>
      <c r="N42" s="34">
        <v>200</v>
      </c>
      <c r="O42" s="35">
        <v>195</v>
      </c>
      <c r="P42" s="36">
        <f t="shared" ref="P42:P58" si="60">O42-S42</f>
        <v>195</v>
      </c>
      <c r="Q42" s="35">
        <v>14</v>
      </c>
      <c r="R42" s="37">
        <v>158</v>
      </c>
      <c r="S42" s="38"/>
      <c r="T42" s="39">
        <f t="shared" ref="T42:T58" si="61">W42*O42</f>
        <v>5440500</v>
      </c>
      <c r="U42" s="36">
        <f t="shared" ref="U42:U58" si="62">W42*S42</f>
        <v>0</v>
      </c>
      <c r="V42" s="39">
        <f t="shared" ref="V42:V58" si="63">T42-U42</f>
        <v>5440500</v>
      </c>
      <c r="W42" s="39">
        <v>27900</v>
      </c>
      <c r="X42" s="39">
        <f>SUMIF([1]헤몬팜마진!$B$7:$B$32,$C42,[1]헤몬팜마진!$R$7:$R$32)</f>
        <v>8851</v>
      </c>
      <c r="Y42" s="39">
        <f t="shared" ref="Y42:Y58" si="64">AI42*P42</f>
        <v>1802775</v>
      </c>
      <c r="Z42" s="39">
        <f t="shared" ref="Z42:Z58" si="65">AA42*1.1</f>
        <v>1384293.9000000001</v>
      </c>
      <c r="AA42" s="98">
        <v>1258449</v>
      </c>
      <c r="AB42" s="38"/>
      <c r="AC42" s="40">
        <f t="shared" ref="AC42:AC43" si="66">(1072+1100)*Q42</f>
        <v>30408</v>
      </c>
      <c r="AD42" s="41">
        <v>0.1</v>
      </c>
      <c r="AE42" s="36">
        <f>3050*(P42)</f>
        <v>594750</v>
      </c>
      <c r="AF42" s="28">
        <f t="shared" ref="AF42:AF59" si="67">AD42+(AE42/V42)</f>
        <v>0.20931899641577062</v>
      </c>
      <c r="AG42" s="39">
        <f t="shared" ref="AG42:AG58" si="68">IFERROR(V42*AF42+3%,0)</f>
        <v>1138800.03</v>
      </c>
      <c r="AH42" s="39">
        <f t="shared" ref="AH42:AH58" si="69">V42/1.1*10%-((AI42*P42)+AG42+(AN42*P42)+(AL42*P42))*10%</f>
        <v>199165.90609090909</v>
      </c>
      <c r="AI42" s="39">
        <f>SUMIF([1]헤몬팜마진!$B$7:$B$32,$C42,[1]헤몬팜마진!$V$7:$V$32)</f>
        <v>9245</v>
      </c>
      <c r="AJ42" s="39">
        <f t="shared" ref="AJ42:AJ59" si="70">V42-(Y42+AG42+AH42+(AN42*P42))</f>
        <v>2299759.0639090906</v>
      </c>
      <c r="AK42" s="42">
        <f t="shared" ref="AK42:AK59" si="71">AJ42-Z42-AB42</f>
        <v>915465.16390909045</v>
      </c>
      <c r="AL42" s="43">
        <f>SUMIF([1]헤몬팜마진!$B$7:$B$32,$C42,[1]헤몬팜마진!$T$7:$T$32)</f>
        <v>65</v>
      </c>
      <c r="AM42" s="44">
        <f>SUMIF([1]헤몬팜마진!$B$7:$B$32,$C42,[1]헤몬팜마진!$U$7:$U$32)</f>
        <v>330</v>
      </c>
      <c r="AN42" s="38"/>
      <c r="AO42" s="52">
        <v>405479</v>
      </c>
      <c r="AP42" s="52">
        <v>2182</v>
      </c>
      <c r="AQ42" s="24"/>
      <c r="AR42" s="24"/>
      <c r="AS42" s="24"/>
      <c r="AT42" s="25"/>
      <c r="AU42" s="25"/>
      <c r="AV42" s="25"/>
      <c r="AW42" s="25"/>
      <c r="AX42" s="25"/>
      <c r="AY42" s="25"/>
      <c r="AZ42" s="25"/>
      <c r="BA42" s="25"/>
      <c r="BB42" s="25"/>
      <c r="BC42" s="25"/>
      <c r="BD42" s="25"/>
      <c r="BE42" s="25"/>
      <c r="BF42" s="25"/>
      <c r="BG42" s="25"/>
      <c r="BH42" s="25"/>
      <c r="BI42" s="25"/>
      <c r="BJ42" s="25"/>
      <c r="BK42" s="25"/>
    </row>
    <row r="43" spans="1:63" ht="28.5" customHeight="1">
      <c r="A43" s="47" t="s">
        <v>40</v>
      </c>
      <c r="B43" s="26"/>
      <c r="C43" s="27" t="s">
        <v>41</v>
      </c>
      <c r="D43" s="28" t="e">
        <f t="shared" si="54"/>
        <v>#DIV/0!</v>
      </c>
      <c r="E43" s="29" t="e">
        <f t="shared" si="55"/>
        <v>#DIV/0!</v>
      </c>
      <c r="F43" s="30" t="e">
        <f t="shared" si="56"/>
        <v>#DIV/0!</v>
      </c>
      <c r="G43" s="30" t="e">
        <f t="shared" si="57"/>
        <v>#DIV/0!</v>
      </c>
      <c r="H43" s="31">
        <v>1460</v>
      </c>
      <c r="I43" s="31">
        <f t="shared" si="58"/>
        <v>140</v>
      </c>
      <c r="J43" s="31">
        <f t="shared" si="59"/>
        <v>280</v>
      </c>
      <c r="K43" s="48">
        <v>325</v>
      </c>
      <c r="L43" s="48">
        <v>0</v>
      </c>
      <c r="M43" s="49"/>
      <c r="N43" s="34">
        <v>20</v>
      </c>
      <c r="O43" s="45"/>
      <c r="P43" s="36">
        <f t="shared" si="60"/>
        <v>0</v>
      </c>
      <c r="Q43" s="38"/>
      <c r="R43" s="50"/>
      <c r="S43" s="38"/>
      <c r="T43" s="39">
        <f t="shared" si="61"/>
        <v>0</v>
      </c>
      <c r="U43" s="36">
        <f t="shared" si="62"/>
        <v>0</v>
      </c>
      <c r="V43" s="39">
        <f t="shared" si="63"/>
        <v>0</v>
      </c>
      <c r="W43" s="51">
        <v>22700</v>
      </c>
      <c r="X43" s="39">
        <f>SUMIF([1]헤몬팜마진!$B$7:$B$32,$C43,[1]헤몬팜마진!$R$7:$R$32)</f>
        <v>7081</v>
      </c>
      <c r="Y43" s="39">
        <f t="shared" si="64"/>
        <v>0</v>
      </c>
      <c r="Z43" s="39">
        <f t="shared" si="65"/>
        <v>0</v>
      </c>
      <c r="AA43" s="98"/>
      <c r="AB43" s="38"/>
      <c r="AC43" s="40">
        <f t="shared" si="66"/>
        <v>0</v>
      </c>
      <c r="AD43" s="41">
        <v>0.1</v>
      </c>
      <c r="AE43" s="36">
        <f>2950*(P43)</f>
        <v>0</v>
      </c>
      <c r="AF43" s="28" t="e">
        <f t="shared" si="67"/>
        <v>#DIV/0!</v>
      </c>
      <c r="AG43" s="39">
        <f t="shared" si="68"/>
        <v>0</v>
      </c>
      <c r="AH43" s="39">
        <f t="shared" si="69"/>
        <v>0</v>
      </c>
      <c r="AI43" s="39">
        <f>SUMIF([1]헤몬팜마진!$B$7:$B$32,$C43,[1]헤몬팜마진!$V$7:$V$32)</f>
        <v>7377</v>
      </c>
      <c r="AJ43" s="39">
        <f t="shared" si="70"/>
        <v>0</v>
      </c>
      <c r="AK43" s="42">
        <f t="shared" si="71"/>
        <v>0</v>
      </c>
      <c r="AL43" s="43">
        <f>SUMIF([1]헤몬팜마진!$B$7:$B$32,$C43,[1]헤몬팜마진!$T$7:$T$32)</f>
        <v>49</v>
      </c>
      <c r="AM43" s="44">
        <f>SUMIF([1]헤몬팜마진!$B$7:$B$32,$C43,[1]헤몬팜마진!$U$7:$U$32)</f>
        <v>248</v>
      </c>
      <c r="AN43" s="38"/>
      <c r="AO43" s="52"/>
      <c r="AP43" s="52"/>
      <c r="AQ43" s="24"/>
      <c r="AR43" s="24"/>
      <c r="AS43" s="24"/>
      <c r="AT43" s="25"/>
      <c r="AU43" s="25"/>
      <c r="AV43" s="25"/>
      <c r="AW43" s="25"/>
      <c r="AX43" s="25"/>
      <c r="AY43" s="25"/>
      <c r="AZ43" s="25"/>
      <c r="BA43" s="25"/>
      <c r="BB43" s="25"/>
      <c r="BC43" s="25"/>
      <c r="BD43" s="25"/>
      <c r="BE43" s="25"/>
      <c r="BF43" s="25"/>
      <c r="BG43" s="25"/>
      <c r="BH43" s="25"/>
      <c r="BI43" s="25"/>
      <c r="BJ43" s="25"/>
      <c r="BK43" s="25"/>
    </row>
    <row r="44" spans="1:63" ht="28.5" customHeight="1">
      <c r="A44" s="47" t="s">
        <v>42</v>
      </c>
      <c r="B44" s="54"/>
      <c r="C44" s="27" t="s">
        <v>43</v>
      </c>
      <c r="D44" s="28">
        <f t="shared" si="54"/>
        <v>0.16031113834855099</v>
      </c>
      <c r="E44" s="29">
        <f t="shared" si="55"/>
        <v>0.38830895494243745</v>
      </c>
      <c r="F44" s="30">
        <f t="shared" si="56"/>
        <v>0.22799781659388649</v>
      </c>
      <c r="G44" s="30">
        <f t="shared" si="57"/>
        <v>1.0101010101010102E-2</v>
      </c>
      <c r="H44" s="31">
        <v>0</v>
      </c>
      <c r="I44" s="31">
        <f t="shared" si="58"/>
        <v>105</v>
      </c>
      <c r="J44" s="31">
        <f t="shared" si="59"/>
        <v>210</v>
      </c>
      <c r="K44" s="99">
        <v>430</v>
      </c>
      <c r="L44" s="32">
        <f>40+3+3</f>
        <v>46</v>
      </c>
      <c r="M44" s="33"/>
      <c r="N44" s="34">
        <v>15</v>
      </c>
      <c r="O44" s="45">
        <v>2</v>
      </c>
      <c r="P44" s="36">
        <f t="shared" si="60"/>
        <v>2</v>
      </c>
      <c r="Q44" s="38"/>
      <c r="R44" s="56">
        <v>1</v>
      </c>
      <c r="S44" s="38"/>
      <c r="T44" s="39">
        <f t="shared" si="61"/>
        <v>91600</v>
      </c>
      <c r="U44" s="36">
        <f t="shared" si="62"/>
        <v>0</v>
      </c>
      <c r="V44" s="39">
        <f t="shared" si="63"/>
        <v>91600</v>
      </c>
      <c r="W44" s="51">
        <v>45800</v>
      </c>
      <c r="X44" s="39">
        <f>SUMIF([1]헤몬팜마진!$B$7:$B$32,$C44,[1]헤몬팜마진!$R$7:$R$32)</f>
        <v>9990</v>
      </c>
      <c r="Y44" s="39">
        <f t="shared" si="64"/>
        <v>34664</v>
      </c>
      <c r="Z44" s="39">
        <f t="shared" si="65"/>
        <v>20884.600000000002</v>
      </c>
      <c r="AA44" s="98">
        <v>18986</v>
      </c>
      <c r="AB44" s="38"/>
      <c r="AC44" s="40">
        <f t="shared" ref="AC44:AC58" si="72">(1210+1100)*Q44</f>
        <v>0</v>
      </c>
      <c r="AD44" s="41">
        <v>0.11</v>
      </c>
      <c r="AE44" s="36">
        <f t="shared" ref="AE44:AE46" si="73">4150*(P44)</f>
        <v>8300</v>
      </c>
      <c r="AF44" s="28">
        <f t="shared" si="67"/>
        <v>0.2006113537117904</v>
      </c>
      <c r="AG44" s="39">
        <f t="shared" si="68"/>
        <v>18376.03</v>
      </c>
      <c r="AH44" s="39">
        <f t="shared" si="69"/>
        <v>2990.8697272727259</v>
      </c>
      <c r="AI44" s="39">
        <f>SUMIF([1]헤몬팜마진!$B$7:$B$32,$C44,[1]헤몬팜마진!$V$7:$V$32)</f>
        <v>17332</v>
      </c>
      <c r="AJ44" s="39">
        <f t="shared" si="70"/>
        <v>35569.100272727272</v>
      </c>
      <c r="AK44" s="42">
        <f t="shared" si="71"/>
        <v>14684.500272727269</v>
      </c>
      <c r="AL44" s="43">
        <f>SUMIF([1]헤몬팜마진!$B$7:$B$32,$C44,[1]헤몬팜마진!$T$7:$T$32)</f>
        <v>162</v>
      </c>
      <c r="AM44" s="44">
        <f>SUMIF([1]헤몬팜마진!$B$7:$B$32,$C44,[1]헤몬팜마진!$U$7:$U$32)</f>
        <v>827</v>
      </c>
      <c r="AN44" s="38"/>
      <c r="AO44" s="52">
        <v>24633</v>
      </c>
      <c r="AP44" s="52">
        <v>99</v>
      </c>
      <c r="AQ44" s="24"/>
      <c r="AR44" s="24"/>
      <c r="AS44" s="24"/>
      <c r="AT44" s="25"/>
      <c r="AU44" s="25"/>
      <c r="AV44" s="25"/>
      <c r="AW44" s="25"/>
      <c r="AX44" s="25"/>
      <c r="AY44" s="25"/>
      <c r="AZ44" s="25"/>
      <c r="BA44" s="25"/>
      <c r="BB44" s="25"/>
      <c r="BC44" s="25"/>
      <c r="BD44" s="25"/>
      <c r="BE44" s="25"/>
      <c r="BF44" s="25"/>
      <c r="BG44" s="25"/>
      <c r="BH44" s="25"/>
      <c r="BI44" s="25"/>
      <c r="BJ44" s="25"/>
      <c r="BK44" s="25"/>
    </row>
    <row r="45" spans="1:63" ht="28.5" customHeight="1">
      <c r="A45" s="47"/>
      <c r="B45" s="58"/>
      <c r="C45" s="27" t="s">
        <v>44</v>
      </c>
      <c r="D45" s="28">
        <f t="shared" si="54"/>
        <v>-0.2243660439005439</v>
      </c>
      <c r="E45" s="29">
        <f t="shared" si="55"/>
        <v>0.31462925524475527</v>
      </c>
      <c r="F45" s="30">
        <f t="shared" si="56"/>
        <v>0.5389952991452992</v>
      </c>
      <c r="G45" s="30">
        <f t="shared" si="57"/>
        <v>1.0563380281690141E-2</v>
      </c>
      <c r="H45" s="31">
        <v>0</v>
      </c>
      <c r="I45" s="31">
        <f t="shared" si="58"/>
        <v>105</v>
      </c>
      <c r="J45" s="31">
        <f t="shared" si="59"/>
        <v>210</v>
      </c>
      <c r="K45" s="100"/>
      <c r="L45" s="32">
        <f>13+2</f>
        <v>15</v>
      </c>
      <c r="M45" s="33"/>
      <c r="N45" s="34">
        <v>15</v>
      </c>
      <c r="O45" s="45">
        <v>5</v>
      </c>
      <c r="P45" s="36">
        <f t="shared" si="60"/>
        <v>5</v>
      </c>
      <c r="Q45" s="45">
        <v>1</v>
      </c>
      <c r="R45" s="37">
        <v>3</v>
      </c>
      <c r="S45" s="38"/>
      <c r="T45" s="39">
        <f t="shared" si="61"/>
        <v>234000</v>
      </c>
      <c r="U45" s="36">
        <f t="shared" si="62"/>
        <v>0</v>
      </c>
      <c r="V45" s="39">
        <f t="shared" si="63"/>
        <v>234000</v>
      </c>
      <c r="W45" s="51">
        <v>46800</v>
      </c>
      <c r="X45" s="39">
        <f>SUMIF([1]헤몬팜마진!$B$7:$B$32,$C45,[1]헤몬팜마진!$R$7:$R$32)</f>
        <v>9990</v>
      </c>
      <c r="Y45" s="39">
        <f t="shared" si="64"/>
        <v>108160</v>
      </c>
      <c r="Z45" s="39">
        <f t="shared" si="65"/>
        <v>126124.90000000001</v>
      </c>
      <c r="AA45" s="98">
        <v>114659</v>
      </c>
      <c r="AB45" s="38"/>
      <c r="AC45" s="40">
        <f t="shared" si="72"/>
        <v>2310</v>
      </c>
      <c r="AD45" s="41">
        <v>0.11</v>
      </c>
      <c r="AE45" s="36">
        <f t="shared" si="73"/>
        <v>20750</v>
      </c>
      <c r="AF45" s="28">
        <f t="shared" si="67"/>
        <v>0.19867521367521368</v>
      </c>
      <c r="AG45" s="39">
        <f t="shared" si="68"/>
        <v>46490.03</v>
      </c>
      <c r="AH45" s="39">
        <f t="shared" si="69"/>
        <v>5726.7242727272715</v>
      </c>
      <c r="AI45" s="39">
        <f>SUMIF([1]헤몬팜마진!$B$7:$B$32,$C45,[1]헤몬팜마진!$V$7:$V$32)</f>
        <v>21632</v>
      </c>
      <c r="AJ45" s="39">
        <f t="shared" si="70"/>
        <v>73623.245727272733</v>
      </c>
      <c r="AK45" s="60">
        <f t="shared" si="71"/>
        <v>-52501.654272727275</v>
      </c>
      <c r="AL45" s="43">
        <f>SUMIF([1]헤몬팜마진!$B$7:$B$32,$C45,[1]헤몬팜마진!$T$7:$T$32)</f>
        <v>162</v>
      </c>
      <c r="AM45" s="44">
        <f>SUMIF([1]헤몬팜마진!$B$7:$B$32,$C45,[1]헤몬팜마진!$U$7:$U$32)</f>
        <v>827</v>
      </c>
      <c r="AN45" s="38"/>
      <c r="AO45" s="52">
        <v>80319</v>
      </c>
      <c r="AP45" s="52">
        <v>284</v>
      </c>
      <c r="AQ45" s="24"/>
      <c r="AR45" s="24"/>
      <c r="AS45" s="24"/>
      <c r="AT45" s="25"/>
      <c r="AU45" s="25"/>
      <c r="AV45" s="25"/>
      <c r="AW45" s="25"/>
      <c r="AX45" s="25"/>
      <c r="AY45" s="25"/>
      <c r="AZ45" s="25"/>
      <c r="BA45" s="25"/>
      <c r="BB45" s="25"/>
      <c r="BC45" s="25"/>
      <c r="BD45" s="25"/>
      <c r="BE45" s="25"/>
      <c r="BF45" s="25"/>
      <c r="BG45" s="25"/>
      <c r="BH45" s="25"/>
      <c r="BI45" s="25"/>
      <c r="BJ45" s="25"/>
      <c r="BK45" s="25"/>
    </row>
    <row r="46" spans="1:63" ht="28.5" customHeight="1">
      <c r="A46" s="47" t="s">
        <v>50</v>
      </c>
      <c r="B46" s="101"/>
      <c r="C46" s="27" t="s">
        <v>51</v>
      </c>
      <c r="D46" s="65">
        <f t="shared" si="54"/>
        <v>6.1246950009789157E-2</v>
      </c>
      <c r="E46" s="29">
        <f t="shared" si="55"/>
        <v>0.40132699308229458</v>
      </c>
      <c r="F46" s="30">
        <f t="shared" si="56"/>
        <v>0.34008004307250539</v>
      </c>
      <c r="G46" s="30">
        <f t="shared" si="57"/>
        <v>3.896103896103896E-2</v>
      </c>
      <c r="H46" s="61">
        <v>0</v>
      </c>
      <c r="I46" s="31">
        <f t="shared" si="58"/>
        <v>140</v>
      </c>
      <c r="J46" s="31">
        <f t="shared" si="59"/>
        <v>280</v>
      </c>
      <c r="K46" s="99">
        <v>343</v>
      </c>
      <c r="L46" s="48">
        <f>97+42+48+31+19+10</f>
        <v>247</v>
      </c>
      <c r="M46" s="49"/>
      <c r="N46" s="34">
        <v>20</v>
      </c>
      <c r="O46" s="45">
        <v>7</v>
      </c>
      <c r="P46" s="36">
        <f t="shared" si="60"/>
        <v>7</v>
      </c>
      <c r="Q46" s="45">
        <v>1</v>
      </c>
      <c r="R46" s="37">
        <v>6</v>
      </c>
      <c r="S46" s="38"/>
      <c r="T46" s="39">
        <f t="shared" si="61"/>
        <v>278600</v>
      </c>
      <c r="U46" s="36">
        <f t="shared" si="62"/>
        <v>0</v>
      </c>
      <c r="V46" s="39">
        <f t="shared" si="63"/>
        <v>278600</v>
      </c>
      <c r="W46" s="51">
        <v>39800</v>
      </c>
      <c r="X46" s="39">
        <f>SUMIF([1]헤몬팜마진!$B$7:$B$32,$C46,[1]헤몬팜마진!$R$7:$R$32)</f>
        <v>7855</v>
      </c>
      <c r="Y46" s="39">
        <f t="shared" si="64"/>
        <v>105980</v>
      </c>
      <c r="Z46" s="39">
        <f t="shared" si="65"/>
        <v>94746.3</v>
      </c>
      <c r="AA46" s="98">
        <v>86133</v>
      </c>
      <c r="AB46" s="63"/>
      <c r="AC46" s="40">
        <f t="shared" si="72"/>
        <v>2310</v>
      </c>
      <c r="AD46" s="41">
        <v>0.08</v>
      </c>
      <c r="AE46" s="36">
        <f t="shared" si="73"/>
        <v>29050</v>
      </c>
      <c r="AF46" s="28">
        <f t="shared" si="67"/>
        <v>0.18427135678391959</v>
      </c>
      <c r="AG46" s="39">
        <f t="shared" si="68"/>
        <v>51338.03</v>
      </c>
      <c r="AH46" s="39">
        <f t="shared" si="69"/>
        <v>9472.2697272727273</v>
      </c>
      <c r="AI46" s="39">
        <f>SUMIF([1]헤몬팜마진!$B$7:$B$32,$C46,[1]헤몬팜마진!$V$7:$V$32)</f>
        <v>15140</v>
      </c>
      <c r="AJ46" s="39">
        <f t="shared" si="70"/>
        <v>111809.70027272726</v>
      </c>
      <c r="AK46" s="42">
        <f t="shared" si="71"/>
        <v>17063.40027272726</v>
      </c>
      <c r="AL46" s="43">
        <f>SUMIF([1]헤몬팜마진!$B$7:$B$32,$C46,[1]헤몬팜마진!$T$7:$T$32)</f>
        <v>176</v>
      </c>
      <c r="AM46" s="44">
        <f>SUMIF([1]헤몬팜마진!$B$7:$B$32,$C46,[1]헤몬팜마진!$U$7:$U$32)</f>
        <v>900</v>
      </c>
      <c r="AN46" s="38"/>
      <c r="AO46" s="52">
        <v>54110</v>
      </c>
      <c r="AP46" s="52">
        <v>154</v>
      </c>
      <c r="AQ46" s="24"/>
      <c r="AR46" s="24"/>
      <c r="AS46" s="24"/>
      <c r="AT46" s="25"/>
      <c r="AU46" s="25"/>
      <c r="AV46" s="25"/>
      <c r="AW46" s="25"/>
      <c r="AX46" s="25"/>
      <c r="AY46" s="25"/>
      <c r="AZ46" s="25"/>
      <c r="BA46" s="25"/>
      <c r="BB46" s="25"/>
      <c r="BC46" s="25"/>
      <c r="BD46" s="25"/>
      <c r="BE46" s="25"/>
      <c r="BF46" s="25"/>
      <c r="BG46" s="25"/>
      <c r="BH46" s="25"/>
      <c r="BI46" s="25"/>
      <c r="BJ46" s="25"/>
      <c r="BK46" s="25"/>
    </row>
    <row r="47" spans="1:63" ht="28.5" customHeight="1">
      <c r="A47" s="47"/>
      <c r="B47" s="102"/>
      <c r="C47" s="27" t="s">
        <v>52</v>
      </c>
      <c r="D47" s="28">
        <f t="shared" si="54"/>
        <v>-0.21489993006993011</v>
      </c>
      <c r="E47" s="29">
        <f t="shared" si="55"/>
        <v>0.39158724941724943</v>
      </c>
      <c r="F47" s="30">
        <f t="shared" si="56"/>
        <v>0.60648717948717956</v>
      </c>
      <c r="G47" s="30">
        <f t="shared" si="57"/>
        <v>0</v>
      </c>
      <c r="H47" s="103"/>
      <c r="I47" s="31">
        <f t="shared" si="58"/>
        <v>105</v>
      </c>
      <c r="J47" s="31">
        <f t="shared" si="59"/>
        <v>210</v>
      </c>
      <c r="K47" s="100"/>
      <c r="L47" s="48">
        <f>74+42+48+18+8+2</f>
        <v>192</v>
      </c>
      <c r="M47" s="49"/>
      <c r="N47" s="34">
        <v>15</v>
      </c>
      <c r="O47" s="38">
        <v>1</v>
      </c>
      <c r="P47" s="36">
        <f t="shared" si="60"/>
        <v>1</v>
      </c>
      <c r="Q47" s="38"/>
      <c r="R47" s="37"/>
      <c r="S47" s="38"/>
      <c r="T47" s="39">
        <f t="shared" si="61"/>
        <v>42900</v>
      </c>
      <c r="U47" s="36">
        <f t="shared" si="62"/>
        <v>0</v>
      </c>
      <c r="V47" s="39">
        <f t="shared" si="63"/>
        <v>42900</v>
      </c>
      <c r="W47" s="51">
        <v>42900</v>
      </c>
      <c r="X47" s="39">
        <f>SUMIF([1]헤몬팜마진!$B$7:$B$32,$C47,[1]헤몬팜마진!$R$7:$R$32)</f>
        <v>7855</v>
      </c>
      <c r="Y47" s="39">
        <f t="shared" si="64"/>
        <v>19441</v>
      </c>
      <c r="Z47" s="39">
        <f t="shared" si="65"/>
        <v>26018.300000000003</v>
      </c>
      <c r="AA47" s="98">
        <v>23653</v>
      </c>
      <c r="AB47" s="38"/>
      <c r="AC47" s="40">
        <f t="shared" si="72"/>
        <v>0</v>
      </c>
      <c r="AD47" s="41">
        <v>7.8E-2</v>
      </c>
      <c r="AE47" s="36">
        <f>1900*(P47)</f>
        <v>1900</v>
      </c>
      <c r="AF47" s="28">
        <f t="shared" si="67"/>
        <v>0.12228904428904429</v>
      </c>
      <c r="AG47" s="39">
        <f t="shared" si="68"/>
        <v>5246.23</v>
      </c>
      <c r="AH47" s="39">
        <f t="shared" si="69"/>
        <v>1413.6769999999997</v>
      </c>
      <c r="AI47" s="39">
        <f>SUMIF([1]헤몬팜마진!$B$7:$B$32,$C47,[1]헤몬팜마진!$V$7:$V$32)</f>
        <v>19441</v>
      </c>
      <c r="AJ47" s="39">
        <f t="shared" si="70"/>
        <v>16799.093000000001</v>
      </c>
      <c r="AK47" s="60">
        <f t="shared" si="71"/>
        <v>-9219.2070000000022</v>
      </c>
      <c r="AL47" s="43">
        <f>SUMIF([1]헤몬팜마진!$B$7:$B$32,$C47,[1]헤몬팜마진!$T$7:$T$32)</f>
        <v>176</v>
      </c>
      <c r="AM47" s="44">
        <f>SUMIF([1]헤몬팜마진!$B$7:$B$32,$C47,[1]헤몬팜마진!$U$7:$U$32)</f>
        <v>900</v>
      </c>
      <c r="AN47" s="38"/>
      <c r="AO47" s="52">
        <v>22658</v>
      </c>
      <c r="AP47" s="52">
        <v>70</v>
      </c>
      <c r="AQ47" s="24"/>
      <c r="AR47" s="24"/>
      <c r="AS47" s="24"/>
      <c r="AT47" s="25"/>
      <c r="AU47" s="25"/>
      <c r="AV47" s="25"/>
      <c r="AW47" s="25"/>
      <c r="AX47" s="25"/>
      <c r="AY47" s="25"/>
      <c r="AZ47" s="25"/>
      <c r="BA47" s="25"/>
      <c r="BB47" s="25"/>
      <c r="BC47" s="25"/>
      <c r="BD47" s="25"/>
      <c r="BE47" s="25"/>
      <c r="BF47" s="25"/>
      <c r="BG47" s="25"/>
      <c r="BH47" s="25"/>
      <c r="BI47" s="25"/>
      <c r="BJ47" s="25"/>
      <c r="BK47" s="25"/>
    </row>
    <row r="48" spans="1:63" ht="28.5" customHeight="1">
      <c r="A48" s="1" t="s">
        <v>45</v>
      </c>
      <c r="B48" s="101"/>
      <c r="C48" s="27" t="s">
        <v>46</v>
      </c>
      <c r="D48" s="28" t="e">
        <f t="shared" si="54"/>
        <v>#DIV/0!</v>
      </c>
      <c r="E48" s="29" t="e">
        <f t="shared" si="55"/>
        <v>#DIV/0!</v>
      </c>
      <c r="F48" s="30" t="e">
        <f t="shared" si="56"/>
        <v>#DIV/0!</v>
      </c>
      <c r="G48" s="30" t="e">
        <f t="shared" si="57"/>
        <v>#DIV/0!</v>
      </c>
      <c r="H48" s="61">
        <v>3504</v>
      </c>
      <c r="I48" s="31">
        <f t="shared" si="58"/>
        <v>210</v>
      </c>
      <c r="J48" s="31">
        <f t="shared" si="59"/>
        <v>420</v>
      </c>
      <c r="K48" s="99">
        <v>626</v>
      </c>
      <c r="L48" s="48">
        <f>30+13+6</f>
        <v>49</v>
      </c>
      <c r="M48" s="49"/>
      <c r="N48" s="62">
        <v>30</v>
      </c>
      <c r="O48" s="45"/>
      <c r="P48" s="36">
        <f t="shared" si="60"/>
        <v>0</v>
      </c>
      <c r="Q48" s="38"/>
      <c r="R48" s="56"/>
      <c r="S48" s="38"/>
      <c r="T48" s="39">
        <f t="shared" si="61"/>
        <v>0</v>
      </c>
      <c r="U48" s="36">
        <f t="shared" si="62"/>
        <v>0</v>
      </c>
      <c r="V48" s="39">
        <f t="shared" si="63"/>
        <v>0</v>
      </c>
      <c r="W48" s="51">
        <v>59800</v>
      </c>
      <c r="X48" s="39">
        <f>SUMIF([1]헤몬팜마진!$B$7:$B$32,$C48,[1]헤몬팜마진!$R$7:$R$32)</f>
        <v>13276</v>
      </c>
      <c r="Y48" s="39">
        <f t="shared" si="64"/>
        <v>0</v>
      </c>
      <c r="Z48" s="39">
        <f t="shared" si="65"/>
        <v>0</v>
      </c>
      <c r="AA48" s="98"/>
      <c r="AB48" s="63"/>
      <c r="AC48" s="40">
        <f t="shared" si="72"/>
        <v>0</v>
      </c>
      <c r="AD48" s="41">
        <v>0.108</v>
      </c>
      <c r="AE48" s="36">
        <f t="shared" ref="AE48:AE49" si="74">4825*(P48)</f>
        <v>0</v>
      </c>
      <c r="AF48" s="28" t="e">
        <f t="shared" si="67"/>
        <v>#DIV/0!</v>
      </c>
      <c r="AG48" s="39">
        <f t="shared" si="68"/>
        <v>0</v>
      </c>
      <c r="AH48" s="39">
        <f t="shared" si="69"/>
        <v>0</v>
      </c>
      <c r="AI48" s="39">
        <f>SUMIF([1]헤몬팜마진!$B$7:$B$32,$C48,[1]헤몬팜마진!$V$7:$V$32)</f>
        <v>21956</v>
      </c>
      <c r="AJ48" s="39">
        <f t="shared" si="70"/>
        <v>0</v>
      </c>
      <c r="AK48" s="42">
        <f t="shared" si="71"/>
        <v>0</v>
      </c>
      <c r="AL48" s="43">
        <f>SUMIF([1]헤몬팜마진!$B$7:$B$32,$C48,[1]헤몬팜마진!$T$7:$T$32)</f>
        <v>372</v>
      </c>
      <c r="AM48" s="44">
        <f>SUMIF([1]헤몬팜마진!$B$7:$B$32,$C48,[1]헤몬팜마진!$U$7:$U$32)</f>
        <v>1896</v>
      </c>
      <c r="AN48" s="38"/>
      <c r="AO48" s="45"/>
      <c r="AP48" s="46"/>
      <c r="AQ48" s="24"/>
      <c r="AR48" s="24"/>
      <c r="AS48" s="24"/>
      <c r="AT48" s="25"/>
      <c r="AU48" s="25"/>
      <c r="AV48" s="25"/>
      <c r="AW48" s="25"/>
      <c r="AX48" s="25"/>
      <c r="AY48" s="25"/>
      <c r="AZ48" s="25"/>
      <c r="BA48" s="25"/>
      <c r="BB48" s="25"/>
      <c r="BC48" s="25"/>
      <c r="BD48" s="25"/>
      <c r="BE48" s="25"/>
      <c r="BF48" s="25"/>
      <c r="BG48" s="25"/>
      <c r="BH48" s="25"/>
      <c r="BI48" s="25"/>
      <c r="BJ48" s="25"/>
      <c r="BK48" s="25"/>
    </row>
    <row r="49" spans="1:63" ht="28.5" customHeight="1">
      <c r="A49" s="1" t="s">
        <v>45</v>
      </c>
      <c r="B49" s="102"/>
      <c r="C49" s="27" t="s">
        <v>47</v>
      </c>
      <c r="D49" s="28">
        <f t="shared" si="54"/>
        <v>4.2159940331952271E-2</v>
      </c>
      <c r="E49" s="29">
        <f t="shared" si="55"/>
        <v>0.41153798561713428</v>
      </c>
      <c r="F49" s="30">
        <f t="shared" si="56"/>
        <v>0.36937804528518203</v>
      </c>
      <c r="G49" s="30">
        <f t="shared" si="57"/>
        <v>0</v>
      </c>
      <c r="H49" s="31">
        <v>0</v>
      </c>
      <c r="I49" s="31">
        <f t="shared" si="58"/>
        <v>210</v>
      </c>
      <c r="J49" s="31">
        <f t="shared" si="59"/>
        <v>420</v>
      </c>
      <c r="K49" s="100"/>
      <c r="L49" s="48">
        <f>4+11+18+38+129</f>
        <v>200</v>
      </c>
      <c r="M49" s="49"/>
      <c r="N49" s="34">
        <v>30</v>
      </c>
      <c r="O49" s="45">
        <v>1</v>
      </c>
      <c r="P49" s="36">
        <f t="shared" si="60"/>
        <v>1</v>
      </c>
      <c r="Q49" s="38"/>
      <c r="R49" s="56"/>
      <c r="S49" s="38"/>
      <c r="T49" s="39">
        <f t="shared" si="61"/>
        <v>69780</v>
      </c>
      <c r="U49" s="36">
        <f t="shared" si="62"/>
        <v>0</v>
      </c>
      <c r="V49" s="39">
        <f t="shared" si="63"/>
        <v>69780</v>
      </c>
      <c r="W49" s="51">
        <v>69780</v>
      </c>
      <c r="X49" s="39">
        <f>SUMIF([1]헤몬팜마진!$B$7:$B$32,$C49,[1]헤몬팜마진!$R$7:$R$32)</f>
        <v>13276</v>
      </c>
      <c r="Y49" s="39">
        <f t="shared" si="64"/>
        <v>26257</v>
      </c>
      <c r="Z49" s="39">
        <f t="shared" si="65"/>
        <v>25775.200000000001</v>
      </c>
      <c r="AA49" s="98">
        <v>23432</v>
      </c>
      <c r="AB49" s="38"/>
      <c r="AC49" s="40">
        <f t="shared" si="72"/>
        <v>0</v>
      </c>
      <c r="AD49" s="41">
        <v>0.108</v>
      </c>
      <c r="AE49" s="36">
        <f t="shared" si="74"/>
        <v>4825</v>
      </c>
      <c r="AF49" s="28">
        <f t="shared" si="67"/>
        <v>0.17714588707366008</v>
      </c>
      <c r="AG49" s="39">
        <f t="shared" si="68"/>
        <v>12361.27</v>
      </c>
      <c r="AH49" s="39">
        <f t="shared" si="69"/>
        <v>2444.6093636363635</v>
      </c>
      <c r="AI49" s="39">
        <f>SUMIF([1]헤몬팜마진!$B$7:$B$32,$C49,[1]헤몬팜마진!$V$7:$V$32)</f>
        <v>26257</v>
      </c>
      <c r="AJ49" s="39">
        <f t="shared" si="70"/>
        <v>28717.12063636363</v>
      </c>
      <c r="AK49" s="42">
        <f t="shared" si="71"/>
        <v>2941.9206363636295</v>
      </c>
      <c r="AL49" s="43">
        <f>SUMIF([1]헤몬팜마진!$B$7:$B$32,$C49,[1]헤몬팜마진!$T$7:$T$32)</f>
        <v>372</v>
      </c>
      <c r="AM49" s="44">
        <f>SUMIF([1]헤몬팜마진!$B$7:$B$32,$C49,[1]헤몬팜마진!$U$7:$U$32)</f>
        <v>1896</v>
      </c>
      <c r="AN49" s="38"/>
      <c r="AO49" s="52">
        <v>24277</v>
      </c>
      <c r="AP49" s="52">
        <v>33</v>
      </c>
      <c r="AQ49" s="24"/>
      <c r="AR49" s="24"/>
      <c r="AS49" s="24"/>
      <c r="AT49" s="25"/>
      <c r="AU49" s="25"/>
      <c r="AV49" s="25"/>
      <c r="AW49" s="25"/>
      <c r="AX49" s="25"/>
      <c r="AY49" s="25"/>
      <c r="AZ49" s="25"/>
      <c r="BA49" s="25"/>
      <c r="BB49" s="25"/>
      <c r="BC49" s="25"/>
      <c r="BD49" s="25"/>
      <c r="BE49" s="25"/>
      <c r="BF49" s="25"/>
      <c r="BG49" s="25"/>
      <c r="BH49" s="25"/>
      <c r="BI49" s="25"/>
      <c r="BJ49" s="25"/>
      <c r="BK49" s="25"/>
    </row>
    <row r="50" spans="1:63" ht="28.5" customHeight="1">
      <c r="A50" s="47" t="s">
        <v>48</v>
      </c>
      <c r="B50" s="26"/>
      <c r="C50" s="27" t="s">
        <v>49</v>
      </c>
      <c r="D50" s="28">
        <f t="shared" si="54"/>
        <v>-9.0085669975186078E-2</v>
      </c>
      <c r="E50" s="29">
        <f t="shared" si="55"/>
        <v>0.39082624069478911</v>
      </c>
      <c r="F50" s="30">
        <f t="shared" si="56"/>
        <v>0.48091191066997518</v>
      </c>
      <c r="G50" s="30">
        <f t="shared" si="57"/>
        <v>4.9180327868852458E-2</v>
      </c>
      <c r="H50" s="31">
        <v>500</v>
      </c>
      <c r="I50" s="31">
        <f t="shared" si="58"/>
        <v>105</v>
      </c>
      <c r="J50" s="31">
        <f t="shared" si="59"/>
        <v>210</v>
      </c>
      <c r="K50" s="48">
        <v>577</v>
      </c>
      <c r="L50" s="48">
        <v>211</v>
      </c>
      <c r="M50" s="49"/>
      <c r="N50" s="34">
        <v>15</v>
      </c>
      <c r="O50" s="45">
        <v>11</v>
      </c>
      <c r="P50" s="36">
        <f t="shared" si="60"/>
        <v>11</v>
      </c>
      <c r="Q50" s="45"/>
      <c r="R50" s="37">
        <v>6</v>
      </c>
      <c r="S50" s="45"/>
      <c r="T50" s="39">
        <f t="shared" si="61"/>
        <v>177320</v>
      </c>
      <c r="U50" s="36">
        <f t="shared" si="62"/>
        <v>0</v>
      </c>
      <c r="V50" s="39">
        <f t="shared" si="63"/>
        <v>177320</v>
      </c>
      <c r="W50" s="51">
        <v>16120</v>
      </c>
      <c r="X50" s="39">
        <f>SUMIF([1]헤몬팜마진!$B$7:$B$32,$C50,[1]헤몬팜마진!$R$7:$R$32)</f>
        <v>5089</v>
      </c>
      <c r="Y50" s="39">
        <f t="shared" si="64"/>
        <v>56386</v>
      </c>
      <c r="Z50" s="39">
        <f t="shared" si="65"/>
        <v>85275.3</v>
      </c>
      <c r="AA50" s="98">
        <v>77523</v>
      </c>
      <c r="AB50" s="64"/>
      <c r="AC50" s="40">
        <f t="shared" si="72"/>
        <v>0</v>
      </c>
      <c r="AD50" s="41">
        <v>7.8E-2</v>
      </c>
      <c r="AE50" s="36">
        <f>2900*(P50)</f>
        <v>31900</v>
      </c>
      <c r="AF50" s="28">
        <f t="shared" si="67"/>
        <v>0.25790074441687344</v>
      </c>
      <c r="AG50" s="39">
        <f t="shared" si="68"/>
        <v>45730.99</v>
      </c>
      <c r="AH50" s="39">
        <f t="shared" si="69"/>
        <v>5901.7010000000009</v>
      </c>
      <c r="AI50" s="39">
        <f>SUMIF([1]헤몬팜마진!$B$7:$B$32,$C50,[1]헤몬팜마진!$V$7:$V$32)</f>
        <v>5126</v>
      </c>
      <c r="AJ50" s="39">
        <f t="shared" si="70"/>
        <v>69301.309000000008</v>
      </c>
      <c r="AK50" s="60">
        <f t="shared" si="71"/>
        <v>-15973.990999999995</v>
      </c>
      <c r="AL50" s="43">
        <f>SUMIF([1]헤몬팜마진!$B$7:$B$32,$C50,[1]헤몬팜마진!$T$7:$T$32)</f>
        <v>6</v>
      </c>
      <c r="AM50" s="44">
        <f>SUMIF([1]헤몬팜마진!$B$7:$B$32,$C50,[1]헤몬팜마진!$U$7:$U$32)</f>
        <v>31</v>
      </c>
      <c r="AN50" s="38"/>
      <c r="AO50" s="52">
        <v>55425</v>
      </c>
      <c r="AP50" s="52">
        <v>122</v>
      </c>
      <c r="AQ50" s="24"/>
      <c r="AR50" s="24"/>
      <c r="AS50" s="24"/>
      <c r="AT50" s="25"/>
      <c r="AU50" s="25"/>
      <c r="AV50" s="25"/>
      <c r="AW50" s="25"/>
      <c r="AX50" s="25"/>
      <c r="AY50" s="25"/>
      <c r="AZ50" s="25"/>
      <c r="BA50" s="25"/>
      <c r="BB50" s="25"/>
      <c r="BC50" s="25"/>
      <c r="BD50" s="25"/>
      <c r="BE50" s="25"/>
      <c r="BF50" s="25"/>
      <c r="BG50" s="25"/>
      <c r="BH50" s="25"/>
      <c r="BI50" s="25"/>
      <c r="BJ50" s="25"/>
      <c r="BK50" s="25"/>
    </row>
    <row r="51" spans="1:63" ht="28.5" customHeight="1">
      <c r="A51" s="47" t="s">
        <v>53</v>
      </c>
      <c r="B51" s="26"/>
      <c r="C51" s="27" t="s">
        <v>54</v>
      </c>
      <c r="D51" s="28">
        <f t="shared" si="54"/>
        <v>0.12439590165043293</v>
      </c>
      <c r="E51" s="29">
        <f t="shared" si="55"/>
        <v>0.36300750879329008</v>
      </c>
      <c r="F51" s="30">
        <f t="shared" si="56"/>
        <v>0.23861160714285717</v>
      </c>
      <c r="G51" s="30">
        <f t="shared" si="57"/>
        <v>8.59375E-2</v>
      </c>
      <c r="H51" s="31">
        <v>1750</v>
      </c>
      <c r="I51" s="31">
        <f t="shared" si="58"/>
        <v>350</v>
      </c>
      <c r="J51" s="31">
        <f t="shared" si="59"/>
        <v>700</v>
      </c>
      <c r="K51" s="48">
        <v>1449</v>
      </c>
      <c r="L51" s="48">
        <v>1217</v>
      </c>
      <c r="M51" s="49"/>
      <c r="N51" s="34">
        <v>50</v>
      </c>
      <c r="O51" s="45">
        <v>21</v>
      </c>
      <c r="P51" s="36">
        <f t="shared" si="60"/>
        <v>21</v>
      </c>
      <c r="Q51" s="38">
        <v>2</v>
      </c>
      <c r="R51" s="37">
        <v>11</v>
      </c>
      <c r="S51" s="38"/>
      <c r="T51" s="39">
        <f t="shared" si="61"/>
        <v>403200</v>
      </c>
      <c r="U51" s="36">
        <f t="shared" si="62"/>
        <v>0</v>
      </c>
      <c r="V51" s="39">
        <f t="shared" si="63"/>
        <v>403200</v>
      </c>
      <c r="W51" s="51">
        <v>19200</v>
      </c>
      <c r="X51" s="39">
        <f>SUMIF([1]헤몬팜마진!$B$7:$B$32,$C51,[1]헤몬팜마진!$R$7:$R$32)</f>
        <v>6373</v>
      </c>
      <c r="Y51" s="39">
        <f t="shared" si="64"/>
        <v>142191</v>
      </c>
      <c r="Z51" s="39">
        <f t="shared" si="65"/>
        <v>96208.200000000012</v>
      </c>
      <c r="AA51" s="98">
        <v>87462</v>
      </c>
      <c r="AB51" s="38"/>
      <c r="AC51" s="40">
        <f t="shared" si="72"/>
        <v>4620</v>
      </c>
      <c r="AD51" s="41">
        <v>0.08</v>
      </c>
      <c r="AE51" s="36">
        <f>3350*(P51)</f>
        <v>70350</v>
      </c>
      <c r="AF51" s="28">
        <f t="shared" si="67"/>
        <v>0.25447916666666665</v>
      </c>
      <c r="AG51" s="39">
        <f t="shared" si="68"/>
        <v>102606.02999999998</v>
      </c>
      <c r="AH51" s="39">
        <f t="shared" si="69"/>
        <v>12038.342454545458</v>
      </c>
      <c r="AI51" s="39">
        <f>SUMIF([1]헤몬팜마진!$B$7:$B$32,$C51,[1]헤몬팜마진!$V$7:$V$32)</f>
        <v>6771</v>
      </c>
      <c r="AJ51" s="39">
        <f t="shared" si="70"/>
        <v>146364.62754545457</v>
      </c>
      <c r="AK51" s="42">
        <f t="shared" si="71"/>
        <v>50156.427545454557</v>
      </c>
      <c r="AL51" s="43">
        <f>SUMIF([1]헤몬팜마진!$B$7:$B$32,$C51,[1]헤몬팜마진!$T$7:$T$32)</f>
        <v>65</v>
      </c>
      <c r="AM51" s="44">
        <f>SUMIF([1]헤몬팜마진!$B$7:$B$32,$C51,[1]헤몬팜마진!$U$7:$U$32)</f>
        <v>333</v>
      </c>
      <c r="AN51" s="38"/>
      <c r="AO51" s="52">
        <v>38772</v>
      </c>
      <c r="AP51" s="52">
        <v>128</v>
      </c>
      <c r="AQ51" s="24"/>
      <c r="AR51" s="24"/>
      <c r="AS51" s="24"/>
      <c r="AT51" s="25"/>
      <c r="AU51" s="25"/>
      <c r="AV51" s="25"/>
      <c r="AW51" s="25"/>
      <c r="AX51" s="25"/>
      <c r="AY51" s="25"/>
      <c r="AZ51" s="25"/>
      <c r="BA51" s="25"/>
      <c r="BB51" s="25"/>
      <c r="BC51" s="25"/>
      <c r="BD51" s="25"/>
      <c r="BE51" s="25"/>
      <c r="BF51" s="25"/>
      <c r="BG51" s="25"/>
      <c r="BH51" s="25"/>
      <c r="BI51" s="25"/>
      <c r="BJ51" s="25"/>
      <c r="BK51" s="25"/>
    </row>
    <row r="52" spans="1:63" ht="28.5" customHeight="1">
      <c r="A52" s="53" t="s">
        <v>55</v>
      </c>
      <c r="B52" s="67"/>
      <c r="C52" s="27" t="s">
        <v>56</v>
      </c>
      <c r="D52" s="28">
        <f t="shared" si="54"/>
        <v>6.956498353691562E-2</v>
      </c>
      <c r="E52" s="29">
        <f t="shared" si="55"/>
        <v>0.4162597682995855</v>
      </c>
      <c r="F52" s="30">
        <f t="shared" si="56"/>
        <v>0.34669478476266991</v>
      </c>
      <c r="G52" s="30">
        <f t="shared" si="57"/>
        <v>3.669724770642202E-2</v>
      </c>
      <c r="H52" s="31">
        <v>0</v>
      </c>
      <c r="I52" s="31">
        <f t="shared" si="58"/>
        <v>70</v>
      </c>
      <c r="J52" s="31">
        <f t="shared" si="59"/>
        <v>140</v>
      </c>
      <c r="K52" s="68">
        <v>494</v>
      </c>
      <c r="L52" s="48">
        <v>0</v>
      </c>
      <c r="M52" s="49"/>
      <c r="N52" s="34">
        <v>10</v>
      </c>
      <c r="O52" s="38">
        <v>6</v>
      </c>
      <c r="P52" s="36">
        <f t="shared" si="60"/>
        <v>6</v>
      </c>
      <c r="Q52" s="38"/>
      <c r="R52" s="37">
        <v>4</v>
      </c>
      <c r="S52" s="38"/>
      <c r="T52" s="39">
        <f t="shared" si="61"/>
        <v>298740</v>
      </c>
      <c r="U52" s="36">
        <f t="shared" si="62"/>
        <v>0</v>
      </c>
      <c r="V52" s="39">
        <f t="shared" si="63"/>
        <v>298740</v>
      </c>
      <c r="W52" s="51">
        <v>49790</v>
      </c>
      <c r="X52" s="39">
        <f>SUMIF([1]헤몬팜마진!$B$7:$B$32,$C52,[1]헤몬팜마진!$R$7:$R$32)</f>
        <v>12170</v>
      </c>
      <c r="Y52" s="39">
        <f t="shared" si="64"/>
        <v>111456</v>
      </c>
      <c r="Z52" s="39">
        <f t="shared" si="65"/>
        <v>103571.6</v>
      </c>
      <c r="AA52" s="98">
        <v>94156</v>
      </c>
      <c r="AB52" s="38"/>
      <c r="AC52" s="40">
        <f t="shared" si="72"/>
        <v>0</v>
      </c>
      <c r="AD52" s="41">
        <v>7.8E-2</v>
      </c>
      <c r="AE52" s="36">
        <f t="shared" ref="AE52:AE53" si="75">4825*(P52)</f>
        <v>28950</v>
      </c>
      <c r="AF52" s="28">
        <f t="shared" si="67"/>
        <v>0.17490700943964652</v>
      </c>
      <c r="AG52" s="39">
        <f t="shared" si="68"/>
        <v>52251.75</v>
      </c>
      <c r="AH52" s="39">
        <f t="shared" si="69"/>
        <v>10678.80681818182</v>
      </c>
      <c r="AI52" s="39">
        <f>SUMIF([1]헤몬팜마진!$B$7:$B$32,$C52,[1]헤몬팜마진!$V$7:$V$32)</f>
        <v>18576</v>
      </c>
      <c r="AJ52" s="39">
        <f t="shared" si="70"/>
        <v>124353.44318181818</v>
      </c>
      <c r="AK52" s="60">
        <f t="shared" si="71"/>
        <v>20781.843181818171</v>
      </c>
      <c r="AL52" s="43">
        <f>SUMIF([1]헤몬팜마진!$B$7:$B$32,$C52,[1]헤몬팜마진!$T$7:$T$32)</f>
        <v>181</v>
      </c>
      <c r="AM52" s="44">
        <f>SUMIF([1]헤몬팜마진!$B$7:$B$32,$C52,[1]헤몬팜마진!$U$7:$U$32)</f>
        <v>926</v>
      </c>
      <c r="AN52" s="38"/>
      <c r="AO52" s="52">
        <v>25452</v>
      </c>
      <c r="AP52" s="52">
        <v>109</v>
      </c>
      <c r="AQ52" s="24"/>
      <c r="AR52" s="24"/>
      <c r="AS52" s="24"/>
      <c r="AT52" s="25"/>
      <c r="AU52" s="25"/>
      <c r="AV52" s="25"/>
      <c r="AW52" s="25"/>
      <c r="AX52" s="25"/>
      <c r="AY52" s="25"/>
      <c r="AZ52" s="25"/>
      <c r="BA52" s="25"/>
      <c r="BB52" s="25"/>
      <c r="BC52" s="25"/>
      <c r="BD52" s="25"/>
      <c r="BE52" s="25"/>
      <c r="BF52" s="25"/>
      <c r="BG52" s="25"/>
      <c r="BH52" s="25"/>
      <c r="BI52" s="25"/>
      <c r="BJ52" s="25"/>
      <c r="BK52" s="25"/>
    </row>
    <row r="53" spans="1:63" ht="28.5" customHeight="1">
      <c r="A53" s="57"/>
      <c r="B53" s="58"/>
      <c r="C53" s="27" t="s">
        <v>57</v>
      </c>
      <c r="D53" s="28">
        <f t="shared" si="54"/>
        <v>0.14008928792067177</v>
      </c>
      <c r="E53" s="29">
        <f t="shared" si="55"/>
        <v>0.4084692694917384</v>
      </c>
      <c r="F53" s="30">
        <f t="shared" si="56"/>
        <v>0.26837998157106663</v>
      </c>
      <c r="G53" s="30">
        <f t="shared" si="57"/>
        <v>2.2222222222222223E-2</v>
      </c>
      <c r="H53" s="31">
        <v>0</v>
      </c>
      <c r="I53" s="31">
        <f t="shared" si="58"/>
        <v>70</v>
      </c>
      <c r="J53" s="31">
        <f t="shared" si="59"/>
        <v>140</v>
      </c>
      <c r="K53" s="59"/>
      <c r="L53" s="48">
        <v>1</v>
      </c>
      <c r="M53" s="49"/>
      <c r="N53" s="34">
        <v>10</v>
      </c>
      <c r="O53" s="45">
        <v>6</v>
      </c>
      <c r="P53" s="36">
        <f t="shared" si="60"/>
        <v>6</v>
      </c>
      <c r="Q53" s="45">
        <v>2</v>
      </c>
      <c r="R53" s="37">
        <v>4</v>
      </c>
      <c r="S53" s="38"/>
      <c r="T53" s="39">
        <f t="shared" si="61"/>
        <v>347280</v>
      </c>
      <c r="U53" s="36">
        <f t="shared" si="62"/>
        <v>0</v>
      </c>
      <c r="V53" s="39">
        <f t="shared" si="63"/>
        <v>347280</v>
      </c>
      <c r="W53" s="51">
        <v>57880</v>
      </c>
      <c r="X53" s="39">
        <f>SUMIF([1]헤몬팜마진!$B$7:$B$32,$C53,[1]헤몬팜마진!$R$7:$R$32)</f>
        <v>12170</v>
      </c>
      <c r="Y53" s="39">
        <f t="shared" si="64"/>
        <v>137256</v>
      </c>
      <c r="Z53" s="39">
        <f t="shared" si="65"/>
        <v>93203.000000000015</v>
      </c>
      <c r="AA53" s="98">
        <v>84730</v>
      </c>
      <c r="AB53" s="38"/>
      <c r="AC53" s="40">
        <f t="shared" si="72"/>
        <v>4620</v>
      </c>
      <c r="AD53" s="41">
        <v>7.8E-2</v>
      </c>
      <c r="AE53" s="36">
        <f t="shared" si="75"/>
        <v>28950</v>
      </c>
      <c r="AF53" s="28">
        <f t="shared" si="67"/>
        <v>0.16136212854181065</v>
      </c>
      <c r="AG53" s="39">
        <f t="shared" si="68"/>
        <v>56037.87</v>
      </c>
      <c r="AH53" s="39">
        <f t="shared" si="69"/>
        <v>12132.922090909087</v>
      </c>
      <c r="AI53" s="39">
        <f>SUMIF([1]헤몬팜마진!$B$7:$B$32,$C53,[1]헤몬팜마진!$V$7:$V$32)</f>
        <v>22876</v>
      </c>
      <c r="AJ53" s="39">
        <f t="shared" si="70"/>
        <v>141853.20790909091</v>
      </c>
      <c r="AK53" s="42">
        <f t="shared" si="71"/>
        <v>48650.207909090896</v>
      </c>
      <c r="AL53" s="43">
        <f>SUMIF([1]헤몬팜마진!$B$7:$B$32,$C53,[1]헤몬팜마진!$T$7:$T$32)</f>
        <v>181</v>
      </c>
      <c r="AM53" s="44">
        <f>SUMIF([1]헤몬팜마진!$B$7:$B$32,$C53,[1]헤몬팜마진!$U$7:$U$32)</f>
        <v>926</v>
      </c>
      <c r="AN53" s="38"/>
      <c r="AO53" s="52">
        <v>28101</v>
      </c>
      <c r="AP53" s="52">
        <v>180</v>
      </c>
      <c r="AQ53" s="24"/>
      <c r="AR53" s="24"/>
      <c r="AS53" s="24"/>
      <c r="AT53" s="25"/>
      <c r="AU53" s="25"/>
      <c r="AV53" s="25"/>
      <c r="AW53" s="25"/>
      <c r="AX53" s="25"/>
      <c r="AY53" s="25"/>
      <c r="AZ53" s="25"/>
      <c r="BA53" s="25"/>
      <c r="BB53" s="25"/>
      <c r="BC53" s="25"/>
      <c r="BD53" s="25"/>
      <c r="BE53" s="25"/>
      <c r="BF53" s="25"/>
      <c r="BG53" s="25"/>
      <c r="BH53" s="25"/>
      <c r="BI53" s="25"/>
      <c r="BJ53" s="25"/>
      <c r="BK53" s="25"/>
    </row>
    <row r="54" spans="1:63" ht="28.5" customHeight="1">
      <c r="A54" s="47" t="s">
        <v>58</v>
      </c>
      <c r="B54" s="26"/>
      <c r="C54" s="27" t="s">
        <v>59</v>
      </c>
      <c r="D54" s="28">
        <f t="shared" si="54"/>
        <v>0.35200486416440363</v>
      </c>
      <c r="E54" s="29">
        <f t="shared" si="55"/>
        <v>0.49827709033794559</v>
      </c>
      <c r="F54" s="30">
        <f t="shared" si="56"/>
        <v>0.14627222617354199</v>
      </c>
      <c r="G54" s="30">
        <f t="shared" si="57"/>
        <v>5.2356020942408377E-2</v>
      </c>
      <c r="H54" s="31">
        <v>2000</v>
      </c>
      <c r="I54" s="31">
        <f t="shared" si="58"/>
        <v>700</v>
      </c>
      <c r="J54" s="31">
        <f t="shared" si="59"/>
        <v>1400</v>
      </c>
      <c r="K54" s="48">
        <v>2373</v>
      </c>
      <c r="L54" s="48">
        <v>3</v>
      </c>
      <c r="M54" s="49"/>
      <c r="N54" s="34">
        <v>100</v>
      </c>
      <c r="O54" s="45">
        <v>19</v>
      </c>
      <c r="P54" s="36">
        <f t="shared" si="60"/>
        <v>19</v>
      </c>
      <c r="Q54" s="45">
        <v>6</v>
      </c>
      <c r="R54" s="37">
        <v>10</v>
      </c>
      <c r="S54" s="38"/>
      <c r="T54" s="39">
        <f t="shared" si="61"/>
        <v>337440</v>
      </c>
      <c r="U54" s="36">
        <f t="shared" si="62"/>
        <v>0</v>
      </c>
      <c r="V54" s="39">
        <f t="shared" si="63"/>
        <v>337440</v>
      </c>
      <c r="W54" s="51">
        <v>17760</v>
      </c>
      <c r="X54" s="39">
        <f>SUMIF([1]헤몬팜마진!$B$7:$B$32,$C54,[1]헤몬팜마진!$R$7:$R$32)</f>
        <v>3983</v>
      </c>
      <c r="Y54" s="39">
        <f t="shared" si="64"/>
        <v>91903</v>
      </c>
      <c r="Z54" s="39">
        <f t="shared" si="65"/>
        <v>49358.100000000006</v>
      </c>
      <c r="AA54" s="98">
        <f>23432+21439</f>
        <v>44871</v>
      </c>
      <c r="AB54" s="38"/>
      <c r="AC54" s="40">
        <f t="shared" si="72"/>
        <v>13860</v>
      </c>
      <c r="AD54" s="41">
        <v>7.8E-2</v>
      </c>
      <c r="AE54" s="36">
        <f>1900*(P54)</f>
        <v>36100</v>
      </c>
      <c r="AF54" s="28">
        <f t="shared" si="67"/>
        <v>0.18498198198198199</v>
      </c>
      <c r="AG54" s="39">
        <f t="shared" si="68"/>
        <v>62420.35</v>
      </c>
      <c r="AH54" s="39">
        <f t="shared" si="69"/>
        <v>14978.028636363635</v>
      </c>
      <c r="AI54" s="39">
        <f>SUMIF([1]헤몬팜마진!$B$7:$B$32,$C54,[1]헤몬팜마진!$V$7:$V$32)</f>
        <v>4837</v>
      </c>
      <c r="AJ54" s="39">
        <f t="shared" si="70"/>
        <v>168138.62136363637</v>
      </c>
      <c r="AK54" s="42">
        <f t="shared" si="71"/>
        <v>118780.52136363636</v>
      </c>
      <c r="AL54" s="43">
        <f>SUMIF([1]헤몬팜마진!$B$7:$B$32,$C54,[1]헤몬팜마진!$T$7:$T$32)</f>
        <v>140</v>
      </c>
      <c r="AM54" s="44">
        <f>SUMIF([1]헤몬팜마진!$B$7:$B$32,$C54,[1]헤몬팜마진!$U$7:$U$32)</f>
        <v>714</v>
      </c>
      <c r="AN54" s="38"/>
      <c r="AO54" s="52">
        <v>42154</v>
      </c>
      <c r="AP54" s="52">
        <v>191</v>
      </c>
      <c r="AQ54" s="24"/>
      <c r="AR54" s="24"/>
      <c r="AS54" s="24"/>
      <c r="AT54" s="25"/>
      <c r="AU54" s="25"/>
      <c r="AV54" s="25"/>
      <c r="AW54" s="25"/>
      <c r="AX54" s="25"/>
      <c r="AY54" s="25"/>
      <c r="AZ54" s="25"/>
      <c r="BA54" s="25"/>
      <c r="BB54" s="25"/>
      <c r="BC54" s="25"/>
      <c r="BD54" s="25"/>
      <c r="BE54" s="25"/>
      <c r="BF54" s="25"/>
      <c r="BG54" s="25"/>
      <c r="BH54" s="25"/>
      <c r="BI54" s="25"/>
      <c r="BJ54" s="25"/>
      <c r="BK54" s="25"/>
    </row>
    <row r="55" spans="1:63" ht="28.5" customHeight="1">
      <c r="A55" s="47" t="s">
        <v>64</v>
      </c>
      <c r="B55" s="70" t="s">
        <v>65</v>
      </c>
      <c r="C55" s="27" t="s">
        <v>66</v>
      </c>
      <c r="D55" s="28">
        <f t="shared" si="54"/>
        <v>0.16666620406872271</v>
      </c>
      <c r="E55" s="29">
        <f t="shared" si="55"/>
        <v>0.43443622222120354</v>
      </c>
      <c r="F55" s="30">
        <f t="shared" si="56"/>
        <v>0.26777001815248086</v>
      </c>
      <c r="G55" s="30">
        <f t="shared" si="57"/>
        <v>9.6153846153846159E-2</v>
      </c>
      <c r="H55" s="31">
        <v>2000</v>
      </c>
      <c r="I55" s="31">
        <f t="shared" si="58"/>
        <v>280</v>
      </c>
      <c r="J55" s="31">
        <f t="shared" si="59"/>
        <v>560</v>
      </c>
      <c r="K55" s="104">
        <v>1048</v>
      </c>
      <c r="L55" s="48">
        <f>311+240+1</f>
        <v>552</v>
      </c>
      <c r="M55" s="49"/>
      <c r="N55" s="34">
        <v>40</v>
      </c>
      <c r="O55" s="45">
        <v>16</v>
      </c>
      <c r="P55" s="36">
        <f t="shared" si="60"/>
        <v>16</v>
      </c>
      <c r="Q55" s="45">
        <v>6</v>
      </c>
      <c r="R55" s="37">
        <v>10</v>
      </c>
      <c r="S55" s="38"/>
      <c r="T55" s="39">
        <f t="shared" si="61"/>
        <v>396640</v>
      </c>
      <c r="U55" s="36">
        <f t="shared" si="62"/>
        <v>0</v>
      </c>
      <c r="V55" s="39">
        <f t="shared" si="63"/>
        <v>396640</v>
      </c>
      <c r="W55" s="51">
        <v>24790</v>
      </c>
      <c r="X55" s="39">
        <f>SUMIF([1]헤몬팜마진!$B$7:$B$32,$C55,[1]헤몬팜마진!$R$7:$R$32)</f>
        <v>6859</v>
      </c>
      <c r="Y55" s="39">
        <f t="shared" si="64"/>
        <v>116064</v>
      </c>
      <c r="Z55" s="39">
        <f t="shared" si="65"/>
        <v>106208.3</v>
      </c>
      <c r="AA55" s="98">
        <v>96553</v>
      </c>
      <c r="AB55" s="63"/>
      <c r="AC55" s="40">
        <f t="shared" si="72"/>
        <v>13860</v>
      </c>
      <c r="AD55" s="41">
        <v>0.108</v>
      </c>
      <c r="AE55" s="36">
        <f>3150*(P55)</f>
        <v>50400</v>
      </c>
      <c r="AF55" s="28">
        <f t="shared" si="67"/>
        <v>0.23506736587333604</v>
      </c>
      <c r="AG55" s="39">
        <f t="shared" si="68"/>
        <v>93237.150000000009</v>
      </c>
      <c r="AH55" s="39">
        <f t="shared" si="69"/>
        <v>15024.066818181811</v>
      </c>
      <c r="AI55" s="39">
        <f>SUMIF([1]헤몬팜마진!$B$7:$B$32,$C55,[1]헤몬팜마진!$V$7:$V$32)</f>
        <v>7254</v>
      </c>
      <c r="AJ55" s="39">
        <f t="shared" si="70"/>
        <v>172314.78318181817</v>
      </c>
      <c r="AK55" s="60">
        <f t="shared" si="71"/>
        <v>66106.48318181817</v>
      </c>
      <c r="AL55" s="43">
        <f>SUMIF([1]헤몬팜마진!$B$7:$B$32,$C55,[1]헤몬팜마진!$T$7:$T$32)</f>
        <v>65</v>
      </c>
      <c r="AM55" s="44">
        <f>SUMIF([1]헤몬팜마진!$B$7:$B$32,$C55,[1]헤몬팜마진!$U$7:$U$32)</f>
        <v>330</v>
      </c>
      <c r="AN55" s="38"/>
      <c r="AO55" s="52">
        <v>36707</v>
      </c>
      <c r="AP55" s="52">
        <v>104</v>
      </c>
      <c r="AQ55" s="24"/>
      <c r="AR55" s="24"/>
      <c r="AS55" s="24"/>
      <c r="AT55" s="25"/>
      <c r="AU55" s="25"/>
      <c r="AV55" s="25"/>
      <c r="AW55" s="25"/>
      <c r="AX55" s="25"/>
      <c r="AY55" s="25"/>
      <c r="AZ55" s="25"/>
      <c r="BA55" s="25"/>
      <c r="BB55" s="25"/>
      <c r="BC55" s="25"/>
      <c r="BD55" s="25"/>
      <c r="BE55" s="25"/>
      <c r="BF55" s="25"/>
      <c r="BG55" s="25"/>
      <c r="BH55" s="25"/>
      <c r="BI55" s="25"/>
      <c r="BJ55" s="25"/>
      <c r="BK55" s="25"/>
    </row>
    <row r="56" spans="1:63" ht="28.5" customHeight="1">
      <c r="A56" s="47"/>
      <c r="B56" s="69" t="s">
        <v>67</v>
      </c>
      <c r="C56" s="27" t="s">
        <v>68</v>
      </c>
      <c r="D56" s="28">
        <f t="shared" si="54"/>
        <v>-0.35454159090909099</v>
      </c>
      <c r="E56" s="29">
        <f t="shared" si="55"/>
        <v>0.41263931361352213</v>
      </c>
      <c r="F56" s="30">
        <f t="shared" si="56"/>
        <v>0.76718090452261312</v>
      </c>
      <c r="G56" s="30">
        <f t="shared" si="57"/>
        <v>1.8018018018018018E-2</v>
      </c>
      <c r="H56" s="31">
        <v>0</v>
      </c>
      <c r="I56" s="31">
        <f t="shared" si="58"/>
        <v>105</v>
      </c>
      <c r="J56" s="31">
        <f t="shared" si="59"/>
        <v>210</v>
      </c>
      <c r="K56" s="105"/>
      <c r="L56" s="48">
        <f>22+3</f>
        <v>25</v>
      </c>
      <c r="M56" s="49"/>
      <c r="N56" s="34">
        <v>15</v>
      </c>
      <c r="O56" s="38">
        <v>2</v>
      </c>
      <c r="P56" s="36">
        <f t="shared" si="60"/>
        <v>2</v>
      </c>
      <c r="Q56" s="38"/>
      <c r="R56" s="50">
        <v>2</v>
      </c>
      <c r="S56" s="38"/>
      <c r="T56" s="39">
        <f t="shared" si="61"/>
        <v>79600</v>
      </c>
      <c r="U56" s="36">
        <f t="shared" si="62"/>
        <v>0</v>
      </c>
      <c r="V56" s="39">
        <f t="shared" si="63"/>
        <v>79600</v>
      </c>
      <c r="W56" s="51">
        <v>39800</v>
      </c>
      <c r="X56" s="39">
        <f>SUMIF([1]헤몬팜마진!$B$7:$B$32,$C56,[1]헤몬팜마진!$R$7:$R$32)</f>
        <v>13719</v>
      </c>
      <c r="Y56" s="39">
        <f t="shared" si="64"/>
        <v>28226</v>
      </c>
      <c r="Z56" s="39">
        <f t="shared" si="65"/>
        <v>61067.600000000006</v>
      </c>
      <c r="AA56" s="98">
        <v>55516</v>
      </c>
      <c r="AB56" s="63"/>
      <c r="AC56" s="40">
        <f t="shared" si="72"/>
        <v>0</v>
      </c>
      <c r="AD56" s="41">
        <v>0.108</v>
      </c>
      <c r="AE56" s="36">
        <f>3550*(P56)</f>
        <v>7100</v>
      </c>
      <c r="AF56" s="28">
        <f t="shared" si="67"/>
        <v>0.1971959798994975</v>
      </c>
      <c r="AG56" s="39">
        <f t="shared" si="68"/>
        <v>15696.830000000002</v>
      </c>
      <c r="AH56" s="39">
        <f t="shared" si="69"/>
        <v>2831.0806363636357</v>
      </c>
      <c r="AI56" s="39">
        <f>SUMIF([1]헤몬팜마진!$B$7:$B$32,$C56,[1]헤몬팜마진!$V$7:$V$32)</f>
        <v>14113</v>
      </c>
      <c r="AJ56" s="39">
        <f t="shared" si="70"/>
        <v>32846.089363636362</v>
      </c>
      <c r="AK56" s="60">
        <f t="shared" si="71"/>
        <v>-28221.510636363644</v>
      </c>
      <c r="AL56" s="43">
        <f>SUMIF([1]헤몬팜마진!$B$7:$B$32,$C56,[1]헤몬팜마진!$T$7:$T$32)</f>
        <v>65</v>
      </c>
      <c r="AM56" s="44">
        <f>SUMIF([1]헤몬팜마진!$B$7:$B$32,$C56,[1]헤몬팜마진!$U$7:$U$32)</f>
        <v>330</v>
      </c>
      <c r="AN56" s="38"/>
      <c r="AO56" s="52">
        <v>35861</v>
      </c>
      <c r="AP56" s="52">
        <v>111</v>
      </c>
      <c r="AQ56" s="24"/>
      <c r="AR56" s="24"/>
      <c r="AS56" s="24"/>
      <c r="AT56" s="25"/>
      <c r="AU56" s="25"/>
      <c r="AV56" s="25"/>
      <c r="AW56" s="25"/>
      <c r="AX56" s="25"/>
      <c r="AY56" s="25"/>
      <c r="AZ56" s="25"/>
      <c r="BA56" s="25"/>
      <c r="BB56" s="25"/>
      <c r="BC56" s="25"/>
      <c r="BD56" s="25"/>
      <c r="BE56" s="25"/>
      <c r="BF56" s="25"/>
      <c r="BG56" s="25"/>
      <c r="BH56" s="25"/>
      <c r="BI56" s="25"/>
      <c r="BJ56" s="25"/>
      <c r="BK56" s="25"/>
    </row>
    <row r="57" spans="1:63" ht="28.5" customHeight="1">
      <c r="A57" s="1"/>
      <c r="B57" s="69" t="s">
        <v>62</v>
      </c>
      <c r="C57" s="27" t="s">
        <v>63</v>
      </c>
      <c r="D57" s="28">
        <f t="shared" si="54"/>
        <v>0.10675736884978818</v>
      </c>
      <c r="E57" s="29">
        <f t="shared" si="55"/>
        <v>0.37867672368849786</v>
      </c>
      <c r="F57" s="30">
        <f t="shared" si="56"/>
        <v>0.27191935483870966</v>
      </c>
      <c r="G57" s="30">
        <f t="shared" si="57"/>
        <v>4.3137254901960784E-2</v>
      </c>
      <c r="H57" s="31">
        <v>700</v>
      </c>
      <c r="I57" s="31">
        <f t="shared" si="58"/>
        <v>210</v>
      </c>
      <c r="J57" s="31">
        <f t="shared" si="59"/>
        <v>420</v>
      </c>
      <c r="K57" s="48">
        <v>954</v>
      </c>
      <c r="L57" s="48">
        <v>2</v>
      </c>
      <c r="M57" s="49"/>
      <c r="N57" s="34">
        <v>30</v>
      </c>
      <c r="O57" s="38">
        <v>31</v>
      </c>
      <c r="P57" s="36">
        <f t="shared" si="60"/>
        <v>31</v>
      </c>
      <c r="Q57" s="38">
        <v>2</v>
      </c>
      <c r="R57" s="37">
        <v>22</v>
      </c>
      <c r="S57" s="38"/>
      <c r="T57" s="39">
        <f t="shared" si="61"/>
        <v>613800</v>
      </c>
      <c r="U57" s="36">
        <f t="shared" si="62"/>
        <v>0</v>
      </c>
      <c r="V57" s="39">
        <f t="shared" si="63"/>
        <v>613800</v>
      </c>
      <c r="W57" s="51">
        <v>19800</v>
      </c>
      <c r="X57" s="39">
        <f>SUMIF([1]헤몬팜마진!$B$7:$B$32,$C57,[1]헤몬팜마진!$R$7:$R$32)</f>
        <v>6638</v>
      </c>
      <c r="Y57" s="39">
        <f t="shared" si="64"/>
        <v>207266</v>
      </c>
      <c r="Z57" s="39">
        <f t="shared" si="65"/>
        <v>166904.1</v>
      </c>
      <c r="AA57" s="98">
        <v>151731</v>
      </c>
      <c r="AB57" s="64"/>
      <c r="AC57" s="40">
        <f t="shared" si="72"/>
        <v>4620</v>
      </c>
      <c r="AD57" s="41">
        <v>0.08</v>
      </c>
      <c r="AE57" s="36">
        <f>3400*(P57)</f>
        <v>105400</v>
      </c>
      <c r="AF57" s="28">
        <f t="shared" si="67"/>
        <v>0.25171717171717173</v>
      </c>
      <c r="AG57" s="39">
        <f t="shared" si="68"/>
        <v>154504.03</v>
      </c>
      <c r="AH57" s="39">
        <f t="shared" si="69"/>
        <v>19598.196999999993</v>
      </c>
      <c r="AI57" s="39">
        <f>SUMIF([1]헤몬팜마진!$B$7:$B$32,$C57,[1]헤몬팜마진!$V$7:$V$32)</f>
        <v>6686</v>
      </c>
      <c r="AJ57" s="39">
        <f t="shared" si="70"/>
        <v>232431.77299999999</v>
      </c>
      <c r="AK57" s="60">
        <f t="shared" si="71"/>
        <v>65527.672999999981</v>
      </c>
      <c r="AL57" s="43">
        <f>SUMIF([1]헤몬팜마진!$B$7:$B$32,$C57,[1]헤몬팜마진!$T$7:$T$32)</f>
        <v>8</v>
      </c>
      <c r="AM57" s="44">
        <f>SUMIF([1]헤몬팜마진!$B$7:$B$32,$C57,[1]헤몬팜마진!$U$7:$U$32)</f>
        <v>40</v>
      </c>
      <c r="AN57" s="38"/>
      <c r="AO57" s="52">
        <v>331558</v>
      </c>
      <c r="AP57" s="52">
        <v>510</v>
      </c>
      <c r="AQ57" s="24"/>
      <c r="AR57" s="24"/>
      <c r="AS57" s="24"/>
      <c r="AT57" s="25"/>
      <c r="AU57" s="25"/>
      <c r="AV57" s="25"/>
      <c r="AW57" s="25"/>
      <c r="AX57" s="25"/>
      <c r="AY57" s="25"/>
      <c r="AZ57" s="25"/>
      <c r="BA57" s="25"/>
      <c r="BB57" s="25"/>
      <c r="BC57" s="25"/>
      <c r="BD57" s="25"/>
      <c r="BE57" s="25"/>
      <c r="BF57" s="25"/>
      <c r="BG57" s="25"/>
      <c r="BH57" s="25"/>
      <c r="BI57" s="25"/>
      <c r="BJ57" s="25"/>
      <c r="BK57" s="25"/>
    </row>
    <row r="58" spans="1:63" ht="28.5" customHeight="1">
      <c r="A58" s="47" t="s">
        <v>60</v>
      </c>
      <c r="B58" s="26"/>
      <c r="C58" s="27" t="s">
        <v>61</v>
      </c>
      <c r="D58" s="28" t="e">
        <f t="shared" si="54"/>
        <v>#DIV/0!</v>
      </c>
      <c r="E58" s="29" t="e">
        <f t="shared" si="55"/>
        <v>#DIV/0!</v>
      </c>
      <c r="F58" s="30" t="e">
        <f t="shared" si="56"/>
        <v>#DIV/0!</v>
      </c>
      <c r="G58" s="30" t="e">
        <f t="shared" si="57"/>
        <v>#DIV/0!</v>
      </c>
      <c r="H58" s="31">
        <v>0</v>
      </c>
      <c r="I58" s="31">
        <f t="shared" si="58"/>
        <v>350</v>
      </c>
      <c r="J58" s="31">
        <f t="shared" si="59"/>
        <v>700</v>
      </c>
      <c r="K58" s="48">
        <v>87</v>
      </c>
      <c r="L58" s="48">
        <v>0</v>
      </c>
      <c r="M58" s="49"/>
      <c r="N58" s="34">
        <v>50</v>
      </c>
      <c r="O58" s="45">
        <v>0</v>
      </c>
      <c r="P58" s="36">
        <f t="shared" si="60"/>
        <v>0</v>
      </c>
      <c r="Q58" s="38"/>
      <c r="R58" s="56"/>
      <c r="S58" s="38"/>
      <c r="T58" s="39">
        <f t="shared" si="61"/>
        <v>0</v>
      </c>
      <c r="U58" s="36">
        <f t="shared" si="62"/>
        <v>0</v>
      </c>
      <c r="V58" s="39">
        <f t="shared" si="63"/>
        <v>0</v>
      </c>
      <c r="W58" s="51">
        <v>24800</v>
      </c>
      <c r="X58" s="39">
        <f>SUMIF([1]헤몬팜마진!$B$7:$B$32,$C58,[1]헤몬팜마진!$R$7:$R$32)</f>
        <v>8408</v>
      </c>
      <c r="Y58" s="39">
        <f t="shared" si="64"/>
        <v>0</v>
      </c>
      <c r="Z58" s="39">
        <f t="shared" si="65"/>
        <v>0</v>
      </c>
      <c r="AA58" s="32"/>
      <c r="AB58" s="63"/>
      <c r="AC58" s="40">
        <f t="shared" si="72"/>
        <v>0</v>
      </c>
      <c r="AD58" s="41">
        <v>0.1</v>
      </c>
      <c r="AE58" s="36">
        <f>1900*(P58)</f>
        <v>0</v>
      </c>
      <c r="AF58" s="28" t="e">
        <f t="shared" si="67"/>
        <v>#DIV/0!</v>
      </c>
      <c r="AG58" s="39">
        <f t="shared" si="68"/>
        <v>0</v>
      </c>
      <c r="AH58" s="39">
        <f t="shared" si="69"/>
        <v>0</v>
      </c>
      <c r="AI58" s="39">
        <f>SUMIF([1]헤몬팜마진!$B$7:$B$32,$C58,[1]헤몬팜마진!$V$7:$V$32)</f>
        <v>8580</v>
      </c>
      <c r="AJ58" s="39">
        <f t="shared" si="70"/>
        <v>0</v>
      </c>
      <c r="AK58" s="60">
        <f t="shared" si="71"/>
        <v>0</v>
      </c>
      <c r="AL58" s="43">
        <f>SUMIF([1]헤몬팜마진!$B$7:$B$32,$C58,[1]헤몬팜마진!$T$7:$T$32)</f>
        <v>28</v>
      </c>
      <c r="AM58" s="44">
        <f>SUMIF([1]헤몬팜마진!$B$7:$B$32,$C58,[1]헤몬팜마진!$U$7:$U$32)</f>
        <v>143</v>
      </c>
      <c r="AN58" s="38"/>
      <c r="AO58" s="45"/>
      <c r="AP58" s="46"/>
      <c r="AQ58" s="24"/>
      <c r="AR58" s="24"/>
      <c r="AS58" s="24"/>
      <c r="AT58" s="25"/>
      <c r="AU58" s="25"/>
      <c r="AV58" s="25"/>
      <c r="AW58" s="25"/>
      <c r="AX58" s="25"/>
      <c r="AY58" s="25"/>
      <c r="AZ58" s="25"/>
      <c r="BA58" s="25"/>
      <c r="BB58" s="25"/>
      <c r="BC58" s="25"/>
      <c r="BD58" s="25"/>
      <c r="BE58" s="25"/>
      <c r="BF58" s="25"/>
      <c r="BG58" s="25"/>
      <c r="BH58" s="25"/>
      <c r="BI58" s="25"/>
      <c r="BJ58" s="25"/>
      <c r="BK58" s="25"/>
    </row>
    <row r="59" spans="1:63" ht="28.5" customHeight="1" thickBot="1">
      <c r="A59" s="1"/>
      <c r="B59" s="71"/>
      <c r="C59" s="72"/>
      <c r="D59" s="73">
        <f t="shared" si="54"/>
        <v>0.13780350209542591</v>
      </c>
      <c r="E59" s="74">
        <f t="shared" si="55"/>
        <v>0.41467657561382254</v>
      </c>
      <c r="F59" s="75">
        <f t="shared" si="56"/>
        <v>0.27687307351839668</v>
      </c>
      <c r="G59" s="76"/>
      <c r="H59" s="77"/>
      <c r="I59" s="77"/>
      <c r="J59" s="77"/>
      <c r="K59" s="77"/>
      <c r="L59" s="77"/>
      <c r="M59" s="77"/>
      <c r="N59" s="77"/>
      <c r="O59" s="78">
        <f t="shared" ref="O59:V59" si="76">SUM(O42:O57)</f>
        <v>323</v>
      </c>
      <c r="P59" s="79">
        <f t="shared" si="76"/>
        <v>323</v>
      </c>
      <c r="Q59" s="78">
        <f t="shared" si="76"/>
        <v>34</v>
      </c>
      <c r="R59" s="78">
        <f t="shared" si="76"/>
        <v>237</v>
      </c>
      <c r="S59" s="78">
        <f t="shared" si="76"/>
        <v>0</v>
      </c>
      <c r="T59" s="78">
        <f t="shared" si="76"/>
        <v>8811400</v>
      </c>
      <c r="U59" s="78">
        <f t="shared" si="76"/>
        <v>0</v>
      </c>
      <c r="V59" s="79">
        <f t="shared" si="76"/>
        <v>8811400</v>
      </c>
      <c r="W59" s="77"/>
      <c r="X59" s="78">
        <f t="shared" ref="X59:AC59" si="77">SUM(X42:X57)</f>
        <v>145175</v>
      </c>
      <c r="Y59" s="79">
        <f t="shared" si="77"/>
        <v>2988025</v>
      </c>
      <c r="Z59" s="78">
        <f t="shared" si="77"/>
        <v>2439639.4000000004</v>
      </c>
      <c r="AA59" s="78">
        <f t="shared" si="77"/>
        <v>2217854</v>
      </c>
      <c r="AB59" s="78">
        <f t="shared" si="77"/>
        <v>0</v>
      </c>
      <c r="AC59" s="78">
        <f t="shared" si="77"/>
        <v>76608</v>
      </c>
      <c r="AD59" s="80">
        <v>0.09</v>
      </c>
      <c r="AE59" s="79">
        <f>SUM(AE42:AE57)</f>
        <v>1018725</v>
      </c>
      <c r="AF59" s="75">
        <f t="shared" si="67"/>
        <v>0.20561443130490048</v>
      </c>
      <c r="AG59" s="81">
        <f t="shared" ref="AG59:AI59" si="78">SUM(AG42:AG57)</f>
        <v>1855096.6200000003</v>
      </c>
      <c r="AH59" s="81">
        <f t="shared" si="78"/>
        <v>314397.20163636364</v>
      </c>
      <c r="AI59" s="81">
        <f t="shared" si="78"/>
        <v>224619</v>
      </c>
      <c r="AJ59" s="81">
        <f t="shared" si="70"/>
        <v>3653881.1783636361</v>
      </c>
      <c r="AK59" s="82">
        <f t="shared" si="71"/>
        <v>1214241.7783636358</v>
      </c>
      <c r="AL59" s="83"/>
      <c r="AM59" s="84"/>
      <c r="AN59" s="85"/>
      <c r="AO59" s="86">
        <f t="shared" ref="AO59:AP59" si="79">SUM(AO42:AO43)</f>
        <v>405479</v>
      </c>
      <c r="AP59" s="87">
        <f t="shared" si="79"/>
        <v>2182</v>
      </c>
      <c r="AQ59" s="24"/>
      <c r="AR59" s="24"/>
      <c r="AS59" s="24"/>
      <c r="AT59" s="25"/>
      <c r="AU59" s="25"/>
      <c r="AV59" s="25"/>
      <c r="AW59" s="25"/>
      <c r="AX59" s="25"/>
      <c r="AY59" s="25"/>
      <c r="AZ59" s="25"/>
      <c r="BA59" s="25"/>
      <c r="BB59" s="25"/>
      <c r="BC59" s="25"/>
      <c r="BD59" s="25"/>
      <c r="BE59" s="25"/>
      <c r="BF59" s="25"/>
      <c r="BG59" s="25"/>
      <c r="BH59" s="25"/>
      <c r="BI59" s="25"/>
      <c r="BJ59" s="25"/>
      <c r="BK59" s="25"/>
    </row>
    <row r="60" spans="1:63" ht="28.5" customHeight="1" thickBot="1">
      <c r="A60" s="88"/>
      <c r="B60" s="89"/>
      <c r="C60" s="90"/>
      <c r="D60" s="91"/>
      <c r="E60" s="91"/>
      <c r="F60" s="91"/>
      <c r="G60" s="91"/>
      <c r="H60" s="92"/>
      <c r="I60" s="92"/>
      <c r="J60" s="92"/>
      <c r="K60" s="92"/>
      <c r="L60" s="92"/>
      <c r="M60" s="92"/>
      <c r="N60" s="92"/>
      <c r="O60" s="92"/>
      <c r="P60" s="93"/>
      <c r="Q60" s="92"/>
      <c r="R60" s="92"/>
      <c r="S60" s="92"/>
      <c r="T60" s="92"/>
      <c r="U60" s="92"/>
      <c r="V60" s="92"/>
      <c r="W60" s="92"/>
      <c r="X60" s="92"/>
      <c r="Y60" s="92"/>
      <c r="Z60" s="92"/>
      <c r="AA60" s="94"/>
      <c r="AB60" s="95"/>
      <c r="AC60" s="96"/>
      <c r="AD60" s="96"/>
      <c r="AE60" s="96"/>
      <c r="AF60" s="96"/>
      <c r="AG60" s="95"/>
      <c r="AH60" s="95"/>
      <c r="AI60" s="97"/>
      <c r="AJ60" s="25"/>
      <c r="AK60" s="24"/>
      <c r="AL60" s="24"/>
      <c r="AM60" s="24"/>
      <c r="AN60" s="25"/>
      <c r="AO60" s="25"/>
      <c r="AP60" s="25"/>
      <c r="AQ60" s="24"/>
      <c r="AR60" s="24"/>
      <c r="AS60" s="24"/>
      <c r="AT60" s="25"/>
      <c r="AU60" s="25"/>
      <c r="AV60" s="25"/>
      <c r="AW60" s="25"/>
      <c r="AX60" s="25"/>
      <c r="AY60" s="25"/>
      <c r="AZ60" s="25"/>
      <c r="BA60" s="25"/>
      <c r="BB60" s="25"/>
      <c r="BC60" s="25"/>
      <c r="BD60" s="25"/>
      <c r="BE60" s="25"/>
      <c r="BF60" s="25"/>
      <c r="BG60" s="25"/>
      <c r="BH60" s="25"/>
      <c r="BI60" s="25"/>
      <c r="BJ60" s="25"/>
      <c r="BK60" s="25"/>
    </row>
    <row r="61" spans="1:63" ht="28.5" customHeight="1">
      <c r="A61" s="1"/>
      <c r="B61" s="2"/>
      <c r="C61" s="3">
        <v>45948</v>
      </c>
      <c r="D61" s="4" t="s">
        <v>0</v>
      </c>
      <c r="E61" s="4" t="s">
        <v>1</v>
      </c>
      <c r="F61" s="4" t="s">
        <v>2</v>
      </c>
      <c r="G61" s="5" t="s">
        <v>3</v>
      </c>
      <c r="H61" s="6" t="s">
        <v>4</v>
      </c>
      <c r="I61" s="7" t="s">
        <v>5</v>
      </c>
      <c r="J61" s="7" t="s">
        <v>6</v>
      </c>
      <c r="K61" s="8" t="s">
        <v>7</v>
      </c>
      <c r="L61" s="9" t="s">
        <v>8</v>
      </c>
      <c r="M61" s="10" t="s">
        <v>9</v>
      </c>
      <c r="N61" s="11" t="s">
        <v>10</v>
      </c>
      <c r="O61" s="11" t="s">
        <v>11</v>
      </c>
      <c r="P61" s="11" t="s">
        <v>12</v>
      </c>
      <c r="Q61" s="12" t="s">
        <v>13</v>
      </c>
      <c r="R61" s="11" t="s">
        <v>14</v>
      </c>
      <c r="S61" s="13" t="s">
        <v>15</v>
      </c>
      <c r="T61" s="14" t="s">
        <v>16</v>
      </c>
      <c r="U61" s="14" t="s">
        <v>17</v>
      </c>
      <c r="V61" s="14" t="s">
        <v>18</v>
      </c>
      <c r="W61" s="14" t="s">
        <v>19</v>
      </c>
      <c r="X61" s="10" t="s">
        <v>20</v>
      </c>
      <c r="Y61" s="10" t="s">
        <v>21</v>
      </c>
      <c r="Z61" s="15" t="s">
        <v>22</v>
      </c>
      <c r="AA61" s="15" t="s">
        <v>23</v>
      </c>
      <c r="AB61" s="16" t="s">
        <v>24</v>
      </c>
      <c r="AC61" s="17" t="s">
        <v>25</v>
      </c>
      <c r="AD61" s="18" t="s">
        <v>26</v>
      </c>
      <c r="AE61" s="4" t="s">
        <v>27</v>
      </c>
      <c r="AF61" s="19" t="s">
        <v>28</v>
      </c>
      <c r="AG61" s="19" t="s">
        <v>26</v>
      </c>
      <c r="AH61" s="4" t="s">
        <v>29</v>
      </c>
      <c r="AI61" s="10" t="s">
        <v>30</v>
      </c>
      <c r="AJ61" s="10" t="s">
        <v>31</v>
      </c>
      <c r="AK61" s="4" t="s">
        <v>32</v>
      </c>
      <c r="AL61" s="20" t="s">
        <v>33</v>
      </c>
      <c r="AM61" s="21" t="s">
        <v>34</v>
      </c>
      <c r="AN61" s="22" t="s">
        <v>35</v>
      </c>
      <c r="AO61" s="22" t="s">
        <v>36</v>
      </c>
      <c r="AP61" s="23" t="s">
        <v>37</v>
      </c>
      <c r="AQ61" s="24"/>
      <c r="AR61" s="24"/>
      <c r="AS61" s="24"/>
      <c r="AT61" s="25"/>
      <c r="AU61" s="25"/>
      <c r="AV61" s="25"/>
      <c r="AW61" s="25"/>
      <c r="AX61" s="25"/>
      <c r="AY61" s="25"/>
      <c r="AZ61" s="25"/>
      <c r="BA61" s="25"/>
      <c r="BB61" s="25"/>
      <c r="BC61" s="25"/>
      <c r="BD61" s="25"/>
      <c r="BE61" s="25"/>
      <c r="BF61" s="25"/>
      <c r="BG61" s="25"/>
      <c r="BH61" s="25"/>
      <c r="BI61" s="25"/>
      <c r="BJ61" s="25"/>
      <c r="BK61" s="25"/>
    </row>
    <row r="62" spans="1:63" ht="28.5" customHeight="1">
      <c r="A62" s="1" t="s">
        <v>38</v>
      </c>
      <c r="B62" s="26"/>
      <c r="C62" s="27" t="s">
        <v>39</v>
      </c>
      <c r="D62" s="28">
        <f t="shared" ref="D62:D79" si="80">AK62/V62</f>
        <v>0.17367685738353772</v>
      </c>
      <c r="E62" s="29">
        <f t="shared" ref="E62:E79" si="81">AJ62/V62</f>
        <v>0.42271097702455912</v>
      </c>
      <c r="F62" s="30">
        <f t="shared" ref="F62:F79" si="82">(Z62+AB62)/V62</f>
        <v>0.24903411964102137</v>
      </c>
      <c r="G62" s="30">
        <f t="shared" ref="G62:G78" si="83">R62/AP62</f>
        <v>8.2783882783882781E-2</v>
      </c>
      <c r="H62" s="31">
        <v>7410</v>
      </c>
      <c r="I62" s="31">
        <f t="shared" ref="I62:I78" si="84">N62*7</f>
        <v>1400</v>
      </c>
      <c r="J62" s="31">
        <f t="shared" ref="J62:J78" si="85">N62*14</f>
        <v>2800</v>
      </c>
      <c r="K62" s="32">
        <v>76</v>
      </c>
      <c r="L62" s="32">
        <f>1906+1320</f>
        <v>3226</v>
      </c>
      <c r="M62" s="33"/>
      <c r="N62" s="34">
        <v>200</v>
      </c>
      <c r="O62" s="35">
        <v>258</v>
      </c>
      <c r="P62" s="36">
        <f t="shared" ref="P62:P78" si="86">O62-S62</f>
        <v>258</v>
      </c>
      <c r="Q62" s="35">
        <v>11</v>
      </c>
      <c r="R62" s="37">
        <v>226</v>
      </c>
      <c r="S62" s="38"/>
      <c r="T62" s="39">
        <f t="shared" ref="T62:T78" si="87">W62*O62</f>
        <v>7198200</v>
      </c>
      <c r="U62" s="36">
        <f t="shared" ref="U62:U78" si="88">W62*S62</f>
        <v>0</v>
      </c>
      <c r="V62" s="39">
        <f t="shared" ref="V62:V78" si="89">T62-U62</f>
        <v>7198200</v>
      </c>
      <c r="W62" s="39">
        <v>27900</v>
      </c>
      <c r="X62" s="39">
        <f>SUMIF([1]헤몬팜마진!$B$7:$B$32,$C62,[1]헤몬팜마진!$R$7:$R$32)</f>
        <v>8851</v>
      </c>
      <c r="Y62" s="39">
        <f t="shared" ref="Y62:Y78" si="90">AI62*P62</f>
        <v>2385210</v>
      </c>
      <c r="Z62" s="39">
        <f t="shared" ref="Z62:Z78" si="91">AA62*1.1</f>
        <v>1792597.4000000001</v>
      </c>
      <c r="AA62" s="98">
        <v>1629634</v>
      </c>
      <c r="AB62" s="38"/>
      <c r="AC62" s="40">
        <f t="shared" ref="AC62:AC63" si="92">(1072+1100)*Q62</f>
        <v>23892</v>
      </c>
      <c r="AD62" s="41">
        <v>0.1</v>
      </c>
      <c r="AE62" s="36">
        <f>3050*(P62)</f>
        <v>786900</v>
      </c>
      <c r="AF62" s="28">
        <f t="shared" ref="AF62:AF79" si="93">AD62+(AE62/V62)</f>
        <v>0.20931899641577062</v>
      </c>
      <c r="AG62" s="39">
        <f t="shared" ref="AG62:AG78" si="94">IFERROR(V62*AF62+3%,0)</f>
        <v>1506720.03</v>
      </c>
      <c r="AH62" s="39">
        <f t="shared" ref="AH62:AH78" si="95">V62/1.1*10%-((AI62*P62)+AG62+(AN62*P62)+(AL62*P62))*10%</f>
        <v>263511.81518181821</v>
      </c>
      <c r="AI62" s="39">
        <f>SUMIF([1]헤몬팜마진!$B$7:$B$32,$C62,[1]헤몬팜마진!$V$7:$V$32)</f>
        <v>9245</v>
      </c>
      <c r="AJ62" s="39">
        <f t="shared" ref="AJ62:AJ79" si="96">V62-(Y62+AG62+AH62+(AN62*P62))</f>
        <v>3042758.1548181814</v>
      </c>
      <c r="AK62" s="42">
        <f t="shared" ref="AK62:AK79" si="97">AJ62-Z62-AB62</f>
        <v>1250160.7548181813</v>
      </c>
      <c r="AL62" s="43">
        <f>SUMIF([1]헤몬팜마진!$B$7:$B$32,$C62,[1]헤몬팜마진!$T$7:$T$32)</f>
        <v>65</v>
      </c>
      <c r="AM62" s="44">
        <f>SUMIF([1]헤몬팜마진!$B$7:$B$32,$C62,[1]헤몬팜마진!$U$7:$U$32)</f>
        <v>330</v>
      </c>
      <c r="AN62" s="38"/>
      <c r="AO62" s="52">
        <v>513963</v>
      </c>
      <c r="AP62" s="52">
        <v>2730</v>
      </c>
      <c r="AQ62" s="24"/>
      <c r="AR62" s="24"/>
      <c r="AS62" s="24"/>
      <c r="AT62" s="25"/>
      <c r="AU62" s="25"/>
      <c r="AV62" s="25"/>
      <c r="AW62" s="25"/>
      <c r="AX62" s="25"/>
      <c r="AY62" s="25"/>
      <c r="AZ62" s="25"/>
      <c r="BA62" s="25"/>
      <c r="BB62" s="25"/>
      <c r="BC62" s="25"/>
      <c r="BD62" s="25"/>
      <c r="BE62" s="25"/>
      <c r="BF62" s="25"/>
      <c r="BG62" s="25"/>
      <c r="BH62" s="25"/>
      <c r="BI62" s="25"/>
      <c r="BJ62" s="25"/>
      <c r="BK62" s="25"/>
    </row>
    <row r="63" spans="1:63" ht="28.5" customHeight="1">
      <c r="A63" s="47" t="s">
        <v>40</v>
      </c>
      <c r="B63" s="26"/>
      <c r="C63" s="27" t="s">
        <v>41</v>
      </c>
      <c r="D63" s="28" t="e">
        <f t="shared" si="80"/>
        <v>#DIV/0!</v>
      </c>
      <c r="E63" s="29" t="e">
        <f t="shared" si="81"/>
        <v>#DIV/0!</v>
      </c>
      <c r="F63" s="30" t="e">
        <f t="shared" si="82"/>
        <v>#DIV/0!</v>
      </c>
      <c r="G63" s="30" t="e">
        <f t="shared" si="83"/>
        <v>#DIV/0!</v>
      </c>
      <c r="H63" s="31">
        <v>1460</v>
      </c>
      <c r="I63" s="31">
        <f t="shared" si="84"/>
        <v>140</v>
      </c>
      <c r="J63" s="31">
        <f t="shared" si="85"/>
        <v>280</v>
      </c>
      <c r="K63" s="48">
        <v>325</v>
      </c>
      <c r="L63" s="48">
        <v>0</v>
      </c>
      <c r="M63" s="49"/>
      <c r="N63" s="34">
        <v>20</v>
      </c>
      <c r="O63" s="45">
        <v>0</v>
      </c>
      <c r="P63" s="36">
        <f t="shared" si="86"/>
        <v>0</v>
      </c>
      <c r="Q63" s="38"/>
      <c r="R63" s="50"/>
      <c r="S63" s="38"/>
      <c r="T63" s="39">
        <f t="shared" si="87"/>
        <v>0</v>
      </c>
      <c r="U63" s="36">
        <f t="shared" si="88"/>
        <v>0</v>
      </c>
      <c r="V63" s="39">
        <f t="shared" si="89"/>
        <v>0</v>
      </c>
      <c r="W63" s="51">
        <v>22700</v>
      </c>
      <c r="X63" s="39">
        <f>SUMIF([1]헤몬팜마진!$B$7:$B$32,$C63,[1]헤몬팜마진!$R$7:$R$32)</f>
        <v>7081</v>
      </c>
      <c r="Y63" s="39">
        <f t="shared" si="90"/>
        <v>0</v>
      </c>
      <c r="Z63" s="39">
        <f t="shared" si="91"/>
        <v>0</v>
      </c>
      <c r="AA63" s="98"/>
      <c r="AB63" s="38"/>
      <c r="AC63" s="40">
        <f t="shared" si="92"/>
        <v>0</v>
      </c>
      <c r="AD63" s="41">
        <v>0.1</v>
      </c>
      <c r="AE63" s="36">
        <f>2950*(P63)</f>
        <v>0</v>
      </c>
      <c r="AF63" s="28" t="e">
        <f t="shared" si="93"/>
        <v>#DIV/0!</v>
      </c>
      <c r="AG63" s="39">
        <f t="shared" si="94"/>
        <v>0</v>
      </c>
      <c r="AH63" s="39">
        <f t="shared" si="95"/>
        <v>0</v>
      </c>
      <c r="AI63" s="39">
        <f>SUMIF([1]헤몬팜마진!$B$7:$B$32,$C63,[1]헤몬팜마진!$V$7:$V$32)</f>
        <v>7377</v>
      </c>
      <c r="AJ63" s="39">
        <f t="shared" si="96"/>
        <v>0</v>
      </c>
      <c r="AK63" s="42">
        <f t="shared" si="97"/>
        <v>0</v>
      </c>
      <c r="AL63" s="43">
        <f>SUMIF([1]헤몬팜마진!$B$7:$B$32,$C63,[1]헤몬팜마진!$T$7:$T$32)</f>
        <v>49</v>
      </c>
      <c r="AM63" s="44">
        <f>SUMIF([1]헤몬팜마진!$B$7:$B$32,$C63,[1]헤몬팜마진!$U$7:$U$32)</f>
        <v>248</v>
      </c>
      <c r="AN63" s="38"/>
      <c r="AO63" s="52"/>
      <c r="AP63" s="52"/>
      <c r="AQ63" s="24"/>
      <c r="AR63" s="24"/>
      <c r="AS63" s="24"/>
      <c r="AT63" s="25"/>
      <c r="AU63" s="25"/>
      <c r="AV63" s="25"/>
      <c r="AW63" s="25"/>
      <c r="AX63" s="25"/>
      <c r="AY63" s="25"/>
      <c r="AZ63" s="25"/>
      <c r="BA63" s="25"/>
      <c r="BB63" s="25"/>
      <c r="BC63" s="25"/>
      <c r="BD63" s="25"/>
      <c r="BE63" s="25"/>
      <c r="BF63" s="25"/>
      <c r="BG63" s="25"/>
      <c r="BH63" s="25"/>
      <c r="BI63" s="25"/>
      <c r="BJ63" s="25"/>
      <c r="BK63" s="25"/>
    </row>
    <row r="64" spans="1:63" ht="28.5" customHeight="1">
      <c r="A64" s="47" t="s">
        <v>42</v>
      </c>
      <c r="B64" s="54"/>
      <c r="C64" s="27" t="s">
        <v>43</v>
      </c>
      <c r="D64" s="28">
        <f t="shared" si="80"/>
        <v>0.28583006380082798</v>
      </c>
      <c r="E64" s="29">
        <f t="shared" si="81"/>
        <v>0.38830916548516986</v>
      </c>
      <c r="F64" s="30">
        <f t="shared" si="82"/>
        <v>0.10247910168434186</v>
      </c>
      <c r="G64" s="30">
        <f t="shared" si="83"/>
        <v>3.2432432432432434E-2</v>
      </c>
      <c r="H64" s="31">
        <v>0</v>
      </c>
      <c r="I64" s="31">
        <f t="shared" si="84"/>
        <v>105</v>
      </c>
      <c r="J64" s="31">
        <f t="shared" si="85"/>
        <v>210</v>
      </c>
      <c r="K64" s="99">
        <v>430</v>
      </c>
      <c r="L64" s="32">
        <f>40+3+3</f>
        <v>46</v>
      </c>
      <c r="M64" s="33"/>
      <c r="N64" s="34">
        <v>15</v>
      </c>
      <c r="O64" s="45">
        <v>7</v>
      </c>
      <c r="P64" s="36">
        <f t="shared" si="86"/>
        <v>7</v>
      </c>
      <c r="Q64" s="38"/>
      <c r="R64" s="56">
        <v>6</v>
      </c>
      <c r="S64" s="38"/>
      <c r="T64" s="39">
        <f t="shared" si="87"/>
        <v>320600</v>
      </c>
      <c r="U64" s="36">
        <f t="shared" si="88"/>
        <v>0</v>
      </c>
      <c r="V64" s="39">
        <f t="shared" si="89"/>
        <v>320600</v>
      </c>
      <c r="W64" s="51">
        <v>45800</v>
      </c>
      <c r="X64" s="39">
        <f>SUMIF([1]헤몬팜마진!$B$7:$B$32,$C64,[1]헤몬팜마진!$R$7:$R$32)</f>
        <v>9990</v>
      </c>
      <c r="Y64" s="39">
        <f t="shared" si="90"/>
        <v>121324</v>
      </c>
      <c r="Z64" s="39">
        <f t="shared" si="91"/>
        <v>32854.800000000003</v>
      </c>
      <c r="AA64" s="98">
        <v>29868</v>
      </c>
      <c r="AB64" s="38"/>
      <c r="AC64" s="40">
        <f t="shared" ref="AC64:AC78" si="98">(1210+1100)*Q64</f>
        <v>0</v>
      </c>
      <c r="AD64" s="41">
        <v>0.11</v>
      </c>
      <c r="AE64" s="36">
        <f t="shared" ref="AE64:AE66" si="99">4150*(P64)</f>
        <v>29050</v>
      </c>
      <c r="AF64" s="28">
        <f t="shared" si="93"/>
        <v>0.2006113537117904</v>
      </c>
      <c r="AG64" s="39">
        <f t="shared" si="94"/>
        <v>64316.03</v>
      </c>
      <c r="AH64" s="39">
        <f t="shared" si="95"/>
        <v>10468.051545454542</v>
      </c>
      <c r="AI64" s="39">
        <f>SUMIF([1]헤몬팜마진!$B$7:$B$32,$C64,[1]헤몬팜마진!$V$7:$V$32)</f>
        <v>17332</v>
      </c>
      <c r="AJ64" s="39">
        <f t="shared" si="96"/>
        <v>124491.91845454546</v>
      </c>
      <c r="AK64" s="42">
        <f t="shared" si="97"/>
        <v>91637.11845454546</v>
      </c>
      <c r="AL64" s="43">
        <f>SUMIF([1]헤몬팜마진!$B$7:$B$32,$C64,[1]헤몬팜마진!$T$7:$T$32)</f>
        <v>162</v>
      </c>
      <c r="AM64" s="44">
        <f>SUMIF([1]헤몬팜마진!$B$7:$B$32,$C64,[1]헤몬팜마진!$U$7:$U$32)</f>
        <v>827</v>
      </c>
      <c r="AN64" s="38"/>
      <c r="AO64" s="52">
        <v>41209</v>
      </c>
      <c r="AP64" s="52">
        <v>185</v>
      </c>
      <c r="AQ64" s="24"/>
      <c r="AR64" s="24"/>
      <c r="AS64" s="24"/>
      <c r="AT64" s="25"/>
      <c r="AU64" s="25"/>
      <c r="AV64" s="25"/>
      <c r="AW64" s="25"/>
      <c r="AX64" s="25"/>
      <c r="AY64" s="25"/>
      <c r="AZ64" s="25"/>
      <c r="BA64" s="25"/>
      <c r="BB64" s="25"/>
      <c r="BC64" s="25"/>
      <c r="BD64" s="25"/>
      <c r="BE64" s="25"/>
      <c r="BF64" s="25"/>
      <c r="BG64" s="25"/>
      <c r="BH64" s="25"/>
      <c r="BI64" s="25"/>
      <c r="BJ64" s="25"/>
      <c r="BK64" s="25"/>
    </row>
    <row r="65" spans="1:63" ht="28.5" customHeight="1">
      <c r="A65" s="47"/>
      <c r="B65" s="58"/>
      <c r="C65" s="27" t="s">
        <v>44</v>
      </c>
      <c r="D65" s="28">
        <f t="shared" si="80"/>
        <v>-0.32096158556721061</v>
      </c>
      <c r="E65" s="29">
        <f t="shared" si="81"/>
        <v>0.31462922639860136</v>
      </c>
      <c r="F65" s="30">
        <f t="shared" si="82"/>
        <v>0.63559081196581202</v>
      </c>
      <c r="G65" s="30">
        <f t="shared" si="83"/>
        <v>2.7777777777777776E-2</v>
      </c>
      <c r="H65" s="31">
        <v>0</v>
      </c>
      <c r="I65" s="31">
        <f t="shared" si="84"/>
        <v>105</v>
      </c>
      <c r="J65" s="31">
        <f t="shared" si="85"/>
        <v>210</v>
      </c>
      <c r="K65" s="100"/>
      <c r="L65" s="32">
        <f>13+2</f>
        <v>15</v>
      </c>
      <c r="M65" s="33"/>
      <c r="N65" s="34">
        <v>15</v>
      </c>
      <c r="O65" s="45">
        <v>4</v>
      </c>
      <c r="P65" s="36">
        <f t="shared" si="86"/>
        <v>4</v>
      </c>
      <c r="Q65" s="45">
        <v>1</v>
      </c>
      <c r="R65" s="37">
        <v>5</v>
      </c>
      <c r="S65" s="38"/>
      <c r="T65" s="39">
        <f t="shared" si="87"/>
        <v>187200</v>
      </c>
      <c r="U65" s="36">
        <f t="shared" si="88"/>
        <v>0</v>
      </c>
      <c r="V65" s="39">
        <f t="shared" si="89"/>
        <v>187200</v>
      </c>
      <c r="W65" s="51">
        <v>46800</v>
      </c>
      <c r="X65" s="39">
        <f>SUMIF([1]헤몬팜마진!$B$7:$B$32,$C65,[1]헤몬팜마진!$R$7:$R$32)</f>
        <v>9990</v>
      </c>
      <c r="Y65" s="39">
        <f t="shared" si="90"/>
        <v>86528</v>
      </c>
      <c r="Z65" s="39">
        <f t="shared" si="91"/>
        <v>118982.6</v>
      </c>
      <c r="AA65" s="98">
        <f>84900+23266</f>
        <v>108166</v>
      </c>
      <c r="AB65" s="38"/>
      <c r="AC65" s="40">
        <f t="shared" si="98"/>
        <v>2310</v>
      </c>
      <c r="AD65" s="41">
        <v>0.11</v>
      </c>
      <c r="AE65" s="36">
        <f t="shared" si="99"/>
        <v>16600</v>
      </c>
      <c r="AF65" s="28">
        <f t="shared" si="93"/>
        <v>0.19867521367521368</v>
      </c>
      <c r="AG65" s="39">
        <f t="shared" si="94"/>
        <v>37192.03</v>
      </c>
      <c r="AH65" s="39">
        <f t="shared" si="95"/>
        <v>4581.37881818182</v>
      </c>
      <c r="AI65" s="39">
        <f>SUMIF([1]헤몬팜마진!$B$7:$B$32,$C65,[1]헤몬팜마진!$V$7:$V$32)</f>
        <v>21632</v>
      </c>
      <c r="AJ65" s="39">
        <f t="shared" si="96"/>
        <v>58898.591181818178</v>
      </c>
      <c r="AK65" s="60">
        <f t="shared" si="97"/>
        <v>-60084.008818181828</v>
      </c>
      <c r="AL65" s="43">
        <f>SUMIF([1]헤몬팜마진!$B$7:$B$32,$C65,[1]헤몬팜마진!$T$7:$T$32)</f>
        <v>162</v>
      </c>
      <c r="AM65" s="44">
        <f>SUMIF([1]헤몬팜마진!$B$7:$B$32,$C65,[1]헤몬팜마진!$U$7:$U$32)</f>
        <v>827</v>
      </c>
      <c r="AN65" s="38"/>
      <c r="AO65" s="52">
        <v>49875</v>
      </c>
      <c r="AP65" s="52">
        <v>180</v>
      </c>
      <c r="AQ65" s="24"/>
      <c r="AR65" s="24"/>
      <c r="AS65" s="24"/>
      <c r="AT65" s="25"/>
      <c r="AU65" s="25"/>
      <c r="AV65" s="25"/>
      <c r="AW65" s="25"/>
      <c r="AX65" s="25"/>
      <c r="AY65" s="25"/>
      <c r="AZ65" s="25"/>
      <c r="BA65" s="25"/>
      <c r="BB65" s="25"/>
      <c r="BC65" s="25"/>
      <c r="BD65" s="25"/>
      <c r="BE65" s="25"/>
      <c r="BF65" s="25"/>
      <c r="BG65" s="25"/>
      <c r="BH65" s="25"/>
      <c r="BI65" s="25"/>
      <c r="BJ65" s="25"/>
      <c r="BK65" s="25"/>
    </row>
    <row r="66" spans="1:63" ht="28.5" customHeight="1">
      <c r="A66" s="47" t="s">
        <v>50</v>
      </c>
      <c r="B66" s="101"/>
      <c r="C66" s="27" t="s">
        <v>51</v>
      </c>
      <c r="D66" s="65">
        <f t="shared" si="80"/>
        <v>-0.42441936729100055</v>
      </c>
      <c r="E66" s="29">
        <f t="shared" si="81"/>
        <v>0.40132686386477839</v>
      </c>
      <c r="F66" s="30">
        <f t="shared" si="82"/>
        <v>0.82574623115577894</v>
      </c>
      <c r="G66" s="30">
        <f t="shared" si="83"/>
        <v>1.3986013986013986E-2</v>
      </c>
      <c r="H66" s="61">
        <v>0</v>
      </c>
      <c r="I66" s="31">
        <f t="shared" si="84"/>
        <v>140</v>
      </c>
      <c r="J66" s="31">
        <f t="shared" si="85"/>
        <v>280</v>
      </c>
      <c r="K66" s="99">
        <v>343</v>
      </c>
      <c r="L66" s="48">
        <f>97+42+48+31+19+10</f>
        <v>247</v>
      </c>
      <c r="M66" s="49"/>
      <c r="N66" s="34">
        <v>20</v>
      </c>
      <c r="O66" s="45">
        <v>3</v>
      </c>
      <c r="P66" s="36">
        <f t="shared" si="86"/>
        <v>3</v>
      </c>
      <c r="Q66" s="45"/>
      <c r="R66" s="37">
        <v>2</v>
      </c>
      <c r="S66" s="38"/>
      <c r="T66" s="39">
        <f t="shared" si="87"/>
        <v>119400</v>
      </c>
      <c r="U66" s="36">
        <f t="shared" si="88"/>
        <v>0</v>
      </c>
      <c r="V66" s="39">
        <f t="shared" si="89"/>
        <v>119400</v>
      </c>
      <c r="W66" s="51">
        <v>39800</v>
      </c>
      <c r="X66" s="39">
        <f>SUMIF([1]헤몬팜마진!$B$7:$B$32,$C66,[1]헤몬팜마진!$R$7:$R$32)</f>
        <v>7855</v>
      </c>
      <c r="Y66" s="39">
        <f t="shared" si="90"/>
        <v>45420</v>
      </c>
      <c r="Z66" s="39">
        <f t="shared" si="91"/>
        <v>98594.1</v>
      </c>
      <c r="AA66" s="98">
        <v>89631</v>
      </c>
      <c r="AB66" s="63"/>
      <c r="AC66" s="40">
        <f t="shared" si="98"/>
        <v>0</v>
      </c>
      <c r="AD66" s="41">
        <v>0.08</v>
      </c>
      <c r="AE66" s="36">
        <f t="shared" si="99"/>
        <v>12450</v>
      </c>
      <c r="AF66" s="28">
        <f t="shared" si="93"/>
        <v>0.18427135678391959</v>
      </c>
      <c r="AG66" s="39">
        <f t="shared" si="94"/>
        <v>22002.03</v>
      </c>
      <c r="AH66" s="39">
        <f t="shared" si="95"/>
        <v>4059.5424545454534</v>
      </c>
      <c r="AI66" s="39">
        <f>SUMIF([1]헤몬팜마진!$B$7:$B$32,$C66,[1]헤몬팜마진!$V$7:$V$32)</f>
        <v>15140</v>
      </c>
      <c r="AJ66" s="39">
        <f t="shared" si="96"/>
        <v>47918.427545454542</v>
      </c>
      <c r="AK66" s="42">
        <f t="shared" si="97"/>
        <v>-50675.672454545464</v>
      </c>
      <c r="AL66" s="43">
        <f>SUMIF([1]헤몬팜마진!$B$7:$B$32,$C66,[1]헤몬팜마진!$T$7:$T$32)</f>
        <v>176</v>
      </c>
      <c r="AM66" s="44">
        <f>SUMIF([1]헤몬팜마진!$B$7:$B$32,$C66,[1]헤몬팜마진!$U$7:$U$32)</f>
        <v>900</v>
      </c>
      <c r="AN66" s="38"/>
      <c r="AO66" s="52">
        <v>36067</v>
      </c>
      <c r="AP66" s="52">
        <v>143</v>
      </c>
      <c r="AQ66" s="24"/>
      <c r="AR66" s="24"/>
      <c r="AS66" s="24"/>
      <c r="AT66" s="25"/>
      <c r="AU66" s="25"/>
      <c r="AV66" s="25"/>
      <c r="AW66" s="25"/>
      <c r="AX66" s="25"/>
      <c r="AY66" s="25"/>
      <c r="AZ66" s="25"/>
      <c r="BA66" s="25"/>
      <c r="BB66" s="25"/>
      <c r="BC66" s="25"/>
      <c r="BD66" s="25"/>
      <c r="BE66" s="25"/>
      <c r="BF66" s="25"/>
      <c r="BG66" s="25"/>
      <c r="BH66" s="25"/>
      <c r="BI66" s="25"/>
      <c r="BJ66" s="25"/>
      <c r="BK66" s="25"/>
    </row>
    <row r="67" spans="1:63" ht="28.5" customHeight="1">
      <c r="A67" s="47"/>
      <c r="B67" s="102"/>
      <c r="C67" s="27" t="s">
        <v>52</v>
      </c>
      <c r="D67" s="28">
        <f t="shared" si="80"/>
        <v>-0.10666874125874132</v>
      </c>
      <c r="E67" s="29">
        <f t="shared" si="81"/>
        <v>0.391587668997669</v>
      </c>
      <c r="F67" s="30">
        <f t="shared" si="82"/>
        <v>0.49825641025641032</v>
      </c>
      <c r="G67" s="30">
        <f t="shared" si="83"/>
        <v>0</v>
      </c>
      <c r="H67" s="103"/>
      <c r="I67" s="31">
        <f t="shared" si="84"/>
        <v>105</v>
      </c>
      <c r="J67" s="31">
        <f t="shared" si="85"/>
        <v>210</v>
      </c>
      <c r="K67" s="100"/>
      <c r="L67" s="48">
        <f>74+42+48+18+8+2</f>
        <v>192</v>
      </c>
      <c r="M67" s="49"/>
      <c r="N67" s="34">
        <v>15</v>
      </c>
      <c r="O67" s="38">
        <v>3</v>
      </c>
      <c r="P67" s="36">
        <f t="shared" si="86"/>
        <v>3</v>
      </c>
      <c r="Q67" s="38"/>
      <c r="R67" s="37">
        <v>0</v>
      </c>
      <c r="S67" s="38"/>
      <c r="T67" s="39">
        <f t="shared" si="87"/>
        <v>128700</v>
      </c>
      <c r="U67" s="36">
        <f t="shared" si="88"/>
        <v>0</v>
      </c>
      <c r="V67" s="39">
        <f t="shared" si="89"/>
        <v>128700</v>
      </c>
      <c r="W67" s="51">
        <v>42900</v>
      </c>
      <c r="X67" s="39">
        <f>SUMIF([1]헤몬팜마진!$B$7:$B$32,$C67,[1]헤몬팜마진!$R$7:$R$32)</f>
        <v>7855</v>
      </c>
      <c r="Y67" s="39">
        <f t="shared" si="90"/>
        <v>58323</v>
      </c>
      <c r="Z67" s="39">
        <f t="shared" si="91"/>
        <v>64125.600000000006</v>
      </c>
      <c r="AA67" s="98">
        <v>58296</v>
      </c>
      <c r="AB67" s="38"/>
      <c r="AC67" s="40">
        <f t="shared" si="98"/>
        <v>0</v>
      </c>
      <c r="AD67" s="41">
        <v>7.8E-2</v>
      </c>
      <c r="AE67" s="36">
        <f>1900*(P67)</f>
        <v>5700</v>
      </c>
      <c r="AF67" s="28">
        <f t="shared" si="93"/>
        <v>0.12228904428904429</v>
      </c>
      <c r="AG67" s="39">
        <f t="shared" si="94"/>
        <v>15738.630000000001</v>
      </c>
      <c r="AH67" s="39">
        <f t="shared" si="95"/>
        <v>4241.0369999999994</v>
      </c>
      <c r="AI67" s="39">
        <f>SUMIF([1]헤몬팜마진!$B$7:$B$32,$C67,[1]헤몬팜마진!$V$7:$V$32)</f>
        <v>19441</v>
      </c>
      <c r="AJ67" s="39">
        <f t="shared" si="96"/>
        <v>50397.332999999999</v>
      </c>
      <c r="AK67" s="60">
        <f t="shared" si="97"/>
        <v>-13728.267000000007</v>
      </c>
      <c r="AL67" s="43">
        <f>SUMIF([1]헤몬팜마진!$B$7:$B$32,$C67,[1]헤몬팜마진!$T$7:$T$32)</f>
        <v>176</v>
      </c>
      <c r="AM67" s="44">
        <f>SUMIF([1]헤몬팜마진!$B$7:$B$32,$C67,[1]헤몬팜마진!$U$7:$U$32)</f>
        <v>900</v>
      </c>
      <c r="AN67" s="38"/>
      <c r="AO67" s="52">
        <v>51259</v>
      </c>
      <c r="AP67" s="52">
        <v>133</v>
      </c>
      <c r="AQ67" s="24"/>
      <c r="AR67" s="24"/>
      <c r="AS67" s="24"/>
      <c r="AT67" s="25"/>
      <c r="AU67" s="25"/>
      <c r="AV67" s="25"/>
      <c r="AW67" s="25"/>
      <c r="AX67" s="25"/>
      <c r="AY67" s="25"/>
      <c r="AZ67" s="25"/>
      <c r="BA67" s="25"/>
      <c r="BB67" s="25"/>
      <c r="BC67" s="25"/>
      <c r="BD67" s="25"/>
      <c r="BE67" s="25"/>
      <c r="BF67" s="25"/>
      <c r="BG67" s="25"/>
      <c r="BH67" s="25"/>
      <c r="BI67" s="25"/>
      <c r="BJ67" s="25"/>
      <c r="BK67" s="25"/>
    </row>
    <row r="68" spans="1:63" ht="28.5" customHeight="1">
      <c r="A68" s="1" t="s">
        <v>45</v>
      </c>
      <c r="B68" s="101"/>
      <c r="C68" s="27" t="s">
        <v>46</v>
      </c>
      <c r="D68" s="28" t="e">
        <f t="shared" si="80"/>
        <v>#DIV/0!</v>
      </c>
      <c r="E68" s="29" t="e">
        <f t="shared" si="81"/>
        <v>#DIV/0!</v>
      </c>
      <c r="F68" s="30" t="e">
        <f t="shared" si="82"/>
        <v>#DIV/0!</v>
      </c>
      <c r="G68" s="30" t="e">
        <f t="shared" si="83"/>
        <v>#DIV/0!</v>
      </c>
      <c r="H68" s="61">
        <v>3504</v>
      </c>
      <c r="I68" s="31">
        <f t="shared" si="84"/>
        <v>210</v>
      </c>
      <c r="J68" s="31">
        <f t="shared" si="85"/>
        <v>420</v>
      </c>
      <c r="K68" s="99">
        <v>626</v>
      </c>
      <c r="L68" s="48">
        <f>30+13+6</f>
        <v>49</v>
      </c>
      <c r="M68" s="49"/>
      <c r="N68" s="62">
        <v>30</v>
      </c>
      <c r="O68" s="45"/>
      <c r="P68" s="36">
        <f t="shared" si="86"/>
        <v>0</v>
      </c>
      <c r="Q68" s="38"/>
      <c r="R68" s="56"/>
      <c r="S68" s="38"/>
      <c r="T68" s="39">
        <f t="shared" si="87"/>
        <v>0</v>
      </c>
      <c r="U68" s="36">
        <f t="shared" si="88"/>
        <v>0</v>
      </c>
      <c r="V68" s="39">
        <f t="shared" si="89"/>
        <v>0</v>
      </c>
      <c r="W68" s="51">
        <v>59800</v>
      </c>
      <c r="X68" s="39">
        <f>SUMIF([1]헤몬팜마진!$B$7:$B$32,$C68,[1]헤몬팜마진!$R$7:$R$32)</f>
        <v>13276</v>
      </c>
      <c r="Y68" s="39">
        <f t="shared" si="90"/>
        <v>0</v>
      </c>
      <c r="Z68" s="39">
        <f t="shared" si="91"/>
        <v>0</v>
      </c>
      <c r="AA68" s="98"/>
      <c r="AB68" s="63"/>
      <c r="AC68" s="40">
        <f t="shared" si="98"/>
        <v>0</v>
      </c>
      <c r="AD68" s="41">
        <v>0.108</v>
      </c>
      <c r="AE68" s="36">
        <f t="shared" ref="AE68:AE69" si="100">4825*(P68)</f>
        <v>0</v>
      </c>
      <c r="AF68" s="28" t="e">
        <f t="shared" si="93"/>
        <v>#DIV/0!</v>
      </c>
      <c r="AG68" s="39">
        <f t="shared" si="94"/>
        <v>0</v>
      </c>
      <c r="AH68" s="39">
        <f t="shared" si="95"/>
        <v>0</v>
      </c>
      <c r="AI68" s="39">
        <f>SUMIF([1]헤몬팜마진!$B$7:$B$32,$C68,[1]헤몬팜마진!$V$7:$V$32)</f>
        <v>21956</v>
      </c>
      <c r="AJ68" s="39">
        <f t="shared" si="96"/>
        <v>0</v>
      </c>
      <c r="AK68" s="42">
        <f t="shared" si="97"/>
        <v>0</v>
      </c>
      <c r="AL68" s="43">
        <f>SUMIF([1]헤몬팜마진!$B$7:$B$32,$C68,[1]헤몬팜마진!$T$7:$T$32)</f>
        <v>372</v>
      </c>
      <c r="AM68" s="44">
        <f>SUMIF([1]헤몬팜마진!$B$7:$B$32,$C68,[1]헤몬팜마진!$U$7:$U$32)</f>
        <v>1896</v>
      </c>
      <c r="AN68" s="38"/>
      <c r="AO68" s="45"/>
      <c r="AP68" s="46"/>
      <c r="AQ68" s="24"/>
      <c r="AR68" s="24"/>
      <c r="AS68" s="24"/>
      <c r="AT68" s="25"/>
      <c r="AU68" s="25"/>
      <c r="AV68" s="25"/>
      <c r="AW68" s="25"/>
      <c r="AX68" s="25"/>
      <c r="AY68" s="25"/>
      <c r="AZ68" s="25"/>
      <c r="BA68" s="25"/>
      <c r="BB68" s="25"/>
      <c r="BC68" s="25"/>
      <c r="BD68" s="25"/>
      <c r="BE68" s="25"/>
      <c r="BF68" s="25"/>
      <c r="BG68" s="25"/>
      <c r="BH68" s="25"/>
      <c r="BI68" s="25"/>
      <c r="BJ68" s="25"/>
      <c r="BK68" s="25"/>
    </row>
    <row r="69" spans="1:63" ht="28.5" customHeight="1">
      <c r="A69" s="1" t="s">
        <v>45</v>
      </c>
      <c r="B69" s="102"/>
      <c r="C69" s="27" t="s">
        <v>47</v>
      </c>
      <c r="D69" s="28">
        <f t="shared" si="80"/>
        <v>0.80024325933453189</v>
      </c>
      <c r="E69" s="29">
        <f t="shared" si="81"/>
        <v>0.41153875947783941</v>
      </c>
      <c r="F69" s="30">
        <f t="shared" si="82"/>
        <v>-0.38870449985669253</v>
      </c>
      <c r="G69" s="30">
        <f t="shared" si="83"/>
        <v>0</v>
      </c>
      <c r="H69" s="31">
        <v>0</v>
      </c>
      <c r="I69" s="31">
        <f t="shared" si="84"/>
        <v>210</v>
      </c>
      <c r="J69" s="31">
        <f t="shared" si="85"/>
        <v>420</v>
      </c>
      <c r="K69" s="100"/>
      <c r="L69" s="48">
        <f>4+11+18+38+129</f>
        <v>200</v>
      </c>
      <c r="M69" s="49"/>
      <c r="N69" s="34">
        <v>30</v>
      </c>
      <c r="O69" s="45">
        <v>-1</v>
      </c>
      <c r="P69" s="36">
        <f t="shared" si="86"/>
        <v>-1</v>
      </c>
      <c r="Q69" s="38">
        <v>1</v>
      </c>
      <c r="R69" s="56"/>
      <c r="S69" s="38"/>
      <c r="T69" s="39">
        <f t="shared" si="87"/>
        <v>-69780</v>
      </c>
      <c r="U69" s="36">
        <f t="shared" si="88"/>
        <v>0</v>
      </c>
      <c r="V69" s="39">
        <f t="shared" si="89"/>
        <v>-69780</v>
      </c>
      <c r="W69" s="51">
        <v>69780</v>
      </c>
      <c r="X69" s="39">
        <f>SUMIF([1]헤몬팜마진!$B$7:$B$32,$C69,[1]헤몬팜마진!$R$7:$R$32)</f>
        <v>13276</v>
      </c>
      <c r="Y69" s="39">
        <f t="shared" si="90"/>
        <v>-26257</v>
      </c>
      <c r="Z69" s="39">
        <f t="shared" si="91"/>
        <v>27123.800000000003</v>
      </c>
      <c r="AA69" s="98">
        <v>24658</v>
      </c>
      <c r="AB69" s="38"/>
      <c r="AC69" s="40">
        <f t="shared" si="98"/>
        <v>2310</v>
      </c>
      <c r="AD69" s="41">
        <v>0.108</v>
      </c>
      <c r="AE69" s="36">
        <f t="shared" si="100"/>
        <v>-4825</v>
      </c>
      <c r="AF69" s="28">
        <f t="shared" si="93"/>
        <v>0.17714588707366008</v>
      </c>
      <c r="AG69" s="39">
        <f t="shared" si="94"/>
        <v>-12361.21</v>
      </c>
      <c r="AH69" s="39">
        <f t="shared" si="95"/>
        <v>-2444.6153636363638</v>
      </c>
      <c r="AI69" s="39">
        <f>SUMIF([1]헤몬팜마진!$B$7:$B$32,$C69,[1]헤몬팜마진!$V$7:$V$32)</f>
        <v>26257</v>
      </c>
      <c r="AJ69" s="39">
        <f t="shared" si="96"/>
        <v>-28717.174636363634</v>
      </c>
      <c r="AK69" s="42">
        <f t="shared" si="97"/>
        <v>-55840.974636363637</v>
      </c>
      <c r="AL69" s="43">
        <f>SUMIF([1]헤몬팜마진!$B$7:$B$32,$C69,[1]헤몬팜마진!$T$7:$T$32)</f>
        <v>372</v>
      </c>
      <c r="AM69" s="44">
        <f>SUMIF([1]헤몬팜마진!$B$7:$B$32,$C69,[1]헤몬팜마진!$U$7:$U$32)</f>
        <v>1896</v>
      </c>
      <c r="AN69" s="38"/>
      <c r="AO69" s="52">
        <v>13867</v>
      </c>
      <c r="AP69" s="52">
        <v>38</v>
      </c>
      <c r="AQ69" s="24"/>
      <c r="AR69" s="24"/>
      <c r="AS69" s="24"/>
      <c r="AT69" s="25"/>
      <c r="AU69" s="25"/>
      <c r="AV69" s="25"/>
      <c r="AW69" s="25"/>
      <c r="AX69" s="25"/>
      <c r="AY69" s="25"/>
      <c r="AZ69" s="25"/>
      <c r="BA69" s="25"/>
      <c r="BB69" s="25"/>
      <c r="BC69" s="25"/>
      <c r="BD69" s="25"/>
      <c r="BE69" s="25"/>
      <c r="BF69" s="25"/>
      <c r="BG69" s="25"/>
      <c r="BH69" s="25"/>
      <c r="BI69" s="25"/>
      <c r="BJ69" s="25"/>
      <c r="BK69" s="25"/>
    </row>
    <row r="70" spans="1:63" ht="28.5" customHeight="1">
      <c r="A70" s="47" t="s">
        <v>48</v>
      </c>
      <c r="B70" s="26"/>
      <c r="C70" s="27" t="s">
        <v>49</v>
      </c>
      <c r="D70" s="28">
        <f t="shared" si="80"/>
        <v>-1.1944161008346492</v>
      </c>
      <c r="E70" s="29">
        <f t="shared" si="81"/>
        <v>0.39082583464922177</v>
      </c>
      <c r="F70" s="30">
        <f t="shared" si="82"/>
        <v>1.5852419354838709</v>
      </c>
      <c r="G70" s="30">
        <f t="shared" si="83"/>
        <v>0</v>
      </c>
      <c r="H70" s="31">
        <v>500</v>
      </c>
      <c r="I70" s="31">
        <f t="shared" si="84"/>
        <v>105</v>
      </c>
      <c r="J70" s="31">
        <f t="shared" si="85"/>
        <v>210</v>
      </c>
      <c r="K70" s="48">
        <v>577</v>
      </c>
      <c r="L70" s="48">
        <v>211</v>
      </c>
      <c r="M70" s="49"/>
      <c r="N70" s="34">
        <v>15</v>
      </c>
      <c r="O70" s="45">
        <v>3</v>
      </c>
      <c r="P70" s="36">
        <f t="shared" si="86"/>
        <v>3</v>
      </c>
      <c r="Q70" s="45">
        <v>1</v>
      </c>
      <c r="R70" s="37"/>
      <c r="S70" s="45"/>
      <c r="T70" s="39">
        <f t="shared" si="87"/>
        <v>48360</v>
      </c>
      <c r="U70" s="36">
        <f t="shared" si="88"/>
        <v>0</v>
      </c>
      <c r="V70" s="39">
        <f t="shared" si="89"/>
        <v>48360</v>
      </c>
      <c r="W70" s="51">
        <v>16120</v>
      </c>
      <c r="X70" s="39">
        <f>SUMIF([1]헤몬팜마진!$B$7:$B$32,$C70,[1]헤몬팜마진!$R$7:$R$32)</f>
        <v>5089</v>
      </c>
      <c r="Y70" s="39">
        <f t="shared" si="90"/>
        <v>15378</v>
      </c>
      <c r="Z70" s="39">
        <f t="shared" si="91"/>
        <v>76662.3</v>
      </c>
      <c r="AA70" s="98">
        <v>69693</v>
      </c>
      <c r="AB70" s="64"/>
      <c r="AC70" s="40">
        <f t="shared" si="98"/>
        <v>2310</v>
      </c>
      <c r="AD70" s="41">
        <v>7.8E-2</v>
      </c>
      <c r="AE70" s="36">
        <f>2900*(P70)</f>
        <v>8700</v>
      </c>
      <c r="AF70" s="28">
        <f t="shared" si="93"/>
        <v>0.25790074441687344</v>
      </c>
      <c r="AG70" s="39">
        <f t="shared" si="94"/>
        <v>12472.11</v>
      </c>
      <c r="AH70" s="39">
        <f t="shared" si="95"/>
        <v>1609.5526363636359</v>
      </c>
      <c r="AI70" s="39">
        <f>SUMIF([1]헤몬팜마진!$B$7:$B$32,$C70,[1]헤몬팜마진!$V$7:$V$32)</f>
        <v>5126</v>
      </c>
      <c r="AJ70" s="39">
        <f t="shared" si="96"/>
        <v>18900.337363636365</v>
      </c>
      <c r="AK70" s="60">
        <f t="shared" si="97"/>
        <v>-57761.962636363634</v>
      </c>
      <c r="AL70" s="43">
        <f>SUMIF([1]헤몬팜마진!$B$7:$B$32,$C70,[1]헤몬팜마진!$T$7:$T$32)</f>
        <v>6</v>
      </c>
      <c r="AM70" s="44">
        <f>SUMIF([1]헤몬팜마진!$B$7:$B$32,$C70,[1]헤몬팜마진!$U$7:$U$32)</f>
        <v>31</v>
      </c>
      <c r="AN70" s="38"/>
      <c r="AO70" s="52">
        <v>55279</v>
      </c>
      <c r="AP70" s="52">
        <v>120</v>
      </c>
      <c r="AQ70" s="24"/>
      <c r="AR70" s="24"/>
      <c r="AS70" s="24"/>
      <c r="AT70" s="25"/>
      <c r="AU70" s="25"/>
      <c r="AV70" s="25"/>
      <c r="AW70" s="25"/>
      <c r="AX70" s="25"/>
      <c r="AY70" s="25"/>
      <c r="AZ70" s="25"/>
      <c r="BA70" s="25"/>
      <c r="BB70" s="25"/>
      <c r="BC70" s="25"/>
      <c r="BD70" s="25"/>
      <c r="BE70" s="25"/>
      <c r="BF70" s="25"/>
      <c r="BG70" s="25"/>
      <c r="BH70" s="25"/>
      <c r="BI70" s="25"/>
      <c r="BJ70" s="25"/>
      <c r="BK70" s="25"/>
    </row>
    <row r="71" spans="1:63" ht="28.5" customHeight="1">
      <c r="A71" s="47" t="s">
        <v>53</v>
      </c>
      <c r="B71" s="26"/>
      <c r="C71" s="27" t="s">
        <v>54</v>
      </c>
      <c r="D71" s="28">
        <f t="shared" si="80"/>
        <v>9.2015197285353581E-2</v>
      </c>
      <c r="E71" s="29">
        <f t="shared" si="81"/>
        <v>0.36300750879329008</v>
      </c>
      <c r="F71" s="30">
        <f t="shared" si="82"/>
        <v>0.27099231150793651</v>
      </c>
      <c r="G71" s="30">
        <f t="shared" si="83"/>
        <v>0.12</v>
      </c>
      <c r="H71" s="31">
        <v>1750</v>
      </c>
      <c r="I71" s="31">
        <f t="shared" si="84"/>
        <v>350</v>
      </c>
      <c r="J71" s="31">
        <f t="shared" si="85"/>
        <v>700</v>
      </c>
      <c r="K71" s="48">
        <v>1449</v>
      </c>
      <c r="L71" s="48">
        <v>1217</v>
      </c>
      <c r="M71" s="49"/>
      <c r="N71" s="34">
        <v>50</v>
      </c>
      <c r="O71" s="45">
        <v>21</v>
      </c>
      <c r="P71" s="36">
        <f t="shared" si="86"/>
        <v>21</v>
      </c>
      <c r="Q71" s="38">
        <v>4</v>
      </c>
      <c r="R71" s="37">
        <v>15</v>
      </c>
      <c r="S71" s="38"/>
      <c r="T71" s="39">
        <f t="shared" si="87"/>
        <v>403200</v>
      </c>
      <c r="U71" s="36">
        <f t="shared" si="88"/>
        <v>0</v>
      </c>
      <c r="V71" s="39">
        <f t="shared" si="89"/>
        <v>403200</v>
      </c>
      <c r="W71" s="51">
        <v>19200</v>
      </c>
      <c r="X71" s="39">
        <f>SUMIF([1]헤몬팜마진!$B$7:$B$32,$C71,[1]헤몬팜마진!$R$7:$R$32)</f>
        <v>6373</v>
      </c>
      <c r="Y71" s="39">
        <f t="shared" si="90"/>
        <v>142191</v>
      </c>
      <c r="Z71" s="39">
        <f t="shared" si="91"/>
        <v>109264.1</v>
      </c>
      <c r="AA71" s="98">
        <f>81864+17467</f>
        <v>99331</v>
      </c>
      <c r="AB71" s="38"/>
      <c r="AC71" s="40">
        <f t="shared" si="98"/>
        <v>9240</v>
      </c>
      <c r="AD71" s="41">
        <v>0.08</v>
      </c>
      <c r="AE71" s="36">
        <f>3350*(P71)</f>
        <v>70350</v>
      </c>
      <c r="AF71" s="28">
        <f t="shared" si="93"/>
        <v>0.25447916666666665</v>
      </c>
      <c r="AG71" s="39">
        <f t="shared" si="94"/>
        <v>102606.02999999998</v>
      </c>
      <c r="AH71" s="39">
        <f t="shared" si="95"/>
        <v>12038.342454545458</v>
      </c>
      <c r="AI71" s="39">
        <f>SUMIF([1]헤몬팜마진!$B$7:$B$32,$C71,[1]헤몬팜마진!$V$7:$V$32)</f>
        <v>6771</v>
      </c>
      <c r="AJ71" s="39">
        <f t="shared" si="96"/>
        <v>146364.62754545457</v>
      </c>
      <c r="AK71" s="42">
        <f t="shared" si="97"/>
        <v>37100.527545454563</v>
      </c>
      <c r="AL71" s="43">
        <f>SUMIF([1]헤몬팜마진!$B$7:$B$32,$C71,[1]헤몬팜마진!$T$7:$T$32)</f>
        <v>65</v>
      </c>
      <c r="AM71" s="44">
        <f>SUMIF([1]헤몬팜마진!$B$7:$B$32,$C71,[1]헤몬팜마진!$U$7:$U$32)</f>
        <v>333</v>
      </c>
      <c r="AN71" s="38"/>
      <c r="AO71" s="52">
        <v>47191</v>
      </c>
      <c r="AP71" s="52">
        <v>125</v>
      </c>
      <c r="AQ71" s="24"/>
      <c r="AR71" s="24"/>
      <c r="AS71" s="24"/>
      <c r="AT71" s="25"/>
      <c r="AU71" s="25"/>
      <c r="AV71" s="25"/>
      <c r="AW71" s="25"/>
      <c r="AX71" s="25"/>
      <c r="AY71" s="25"/>
      <c r="AZ71" s="25"/>
      <c r="BA71" s="25"/>
      <c r="BB71" s="25"/>
      <c r="BC71" s="25"/>
      <c r="BD71" s="25"/>
      <c r="BE71" s="25"/>
      <c r="BF71" s="25"/>
      <c r="BG71" s="25"/>
      <c r="BH71" s="25"/>
      <c r="BI71" s="25"/>
      <c r="BJ71" s="25"/>
      <c r="BK71" s="25"/>
    </row>
    <row r="72" spans="1:63" ht="28.5" customHeight="1">
      <c r="A72" s="53" t="s">
        <v>55</v>
      </c>
      <c r="B72" s="67"/>
      <c r="C72" s="27" t="s">
        <v>56</v>
      </c>
      <c r="D72" s="28">
        <f t="shared" si="80"/>
        <v>-1.7985649454983661</v>
      </c>
      <c r="E72" s="29">
        <f t="shared" si="81"/>
        <v>0.41625931640161401</v>
      </c>
      <c r="F72" s="30">
        <f t="shared" si="82"/>
        <v>2.2148242618999801</v>
      </c>
      <c r="G72" s="30">
        <f t="shared" si="83"/>
        <v>1.3986013986013986E-2</v>
      </c>
      <c r="H72" s="31">
        <v>0</v>
      </c>
      <c r="I72" s="31">
        <f t="shared" si="84"/>
        <v>70</v>
      </c>
      <c r="J72" s="31">
        <f t="shared" si="85"/>
        <v>140</v>
      </c>
      <c r="K72" s="68">
        <v>494</v>
      </c>
      <c r="L72" s="48">
        <v>0</v>
      </c>
      <c r="M72" s="49"/>
      <c r="N72" s="34">
        <v>10</v>
      </c>
      <c r="O72" s="38">
        <v>1</v>
      </c>
      <c r="P72" s="36">
        <f t="shared" si="86"/>
        <v>1</v>
      </c>
      <c r="Q72" s="38">
        <v>2</v>
      </c>
      <c r="R72" s="37">
        <v>2</v>
      </c>
      <c r="S72" s="38"/>
      <c r="T72" s="39">
        <f t="shared" si="87"/>
        <v>49790</v>
      </c>
      <c r="U72" s="36">
        <f t="shared" si="88"/>
        <v>0</v>
      </c>
      <c r="V72" s="39">
        <f t="shared" si="89"/>
        <v>49790</v>
      </c>
      <c r="W72" s="51">
        <v>49790</v>
      </c>
      <c r="X72" s="39">
        <f>SUMIF([1]헤몬팜마진!$B$7:$B$32,$C72,[1]헤몬팜마진!$R$7:$R$32)</f>
        <v>12170</v>
      </c>
      <c r="Y72" s="39">
        <f t="shared" si="90"/>
        <v>18576</v>
      </c>
      <c r="Z72" s="39">
        <f t="shared" si="91"/>
        <v>110276.1</v>
      </c>
      <c r="AA72" s="98">
        <v>100251</v>
      </c>
      <c r="AB72" s="38"/>
      <c r="AC72" s="40">
        <f t="shared" si="98"/>
        <v>4620</v>
      </c>
      <c r="AD72" s="41">
        <v>7.8E-2</v>
      </c>
      <c r="AE72" s="36">
        <f t="shared" ref="AE72:AE73" si="101">4825*(P72)</f>
        <v>4825</v>
      </c>
      <c r="AF72" s="28">
        <f t="shared" si="93"/>
        <v>0.17490700943964652</v>
      </c>
      <c r="AG72" s="39">
        <f t="shared" si="94"/>
        <v>8708.6500000000015</v>
      </c>
      <c r="AH72" s="39">
        <f t="shared" si="95"/>
        <v>1779.7986363636355</v>
      </c>
      <c r="AI72" s="39">
        <f>SUMIF([1]헤몬팜마진!$B$7:$B$32,$C72,[1]헤몬팜마진!$V$7:$V$32)</f>
        <v>18576</v>
      </c>
      <c r="AJ72" s="39">
        <f t="shared" si="96"/>
        <v>20725.551363636361</v>
      </c>
      <c r="AK72" s="60">
        <f t="shared" si="97"/>
        <v>-89550.548636363645</v>
      </c>
      <c r="AL72" s="43">
        <f>SUMIF([1]헤몬팜마진!$B$7:$B$32,$C72,[1]헤몬팜마진!$T$7:$T$32)</f>
        <v>181</v>
      </c>
      <c r="AM72" s="44">
        <f>SUMIF([1]헤몬팜마진!$B$7:$B$32,$C72,[1]헤몬팜마진!$U$7:$U$32)</f>
        <v>926</v>
      </c>
      <c r="AN72" s="38"/>
      <c r="AO72" s="52">
        <v>30959</v>
      </c>
      <c r="AP72" s="52">
        <v>143</v>
      </c>
      <c r="AQ72" s="24"/>
      <c r="AR72" s="24"/>
      <c r="AS72" s="24"/>
      <c r="AT72" s="25"/>
      <c r="AU72" s="25"/>
      <c r="AV72" s="25"/>
      <c r="AW72" s="25"/>
      <c r="AX72" s="25"/>
      <c r="AY72" s="25"/>
      <c r="AZ72" s="25"/>
      <c r="BA72" s="25"/>
      <c r="BB72" s="25"/>
      <c r="BC72" s="25"/>
      <c r="BD72" s="25"/>
      <c r="BE72" s="25"/>
      <c r="BF72" s="25"/>
      <c r="BG72" s="25"/>
      <c r="BH72" s="25"/>
      <c r="BI72" s="25"/>
      <c r="BJ72" s="25"/>
      <c r="BK72" s="25"/>
    </row>
    <row r="73" spans="1:63" ht="28.5" customHeight="1">
      <c r="A73" s="57"/>
      <c r="B73" s="58"/>
      <c r="C73" s="27" t="s">
        <v>57</v>
      </c>
      <c r="D73" s="28">
        <f t="shared" si="80"/>
        <v>0.24111691884288636</v>
      </c>
      <c r="E73" s="29">
        <f t="shared" si="81"/>
        <v>0.40846929540742605</v>
      </c>
      <c r="F73" s="30">
        <f t="shared" si="82"/>
        <v>0.16735237656453969</v>
      </c>
      <c r="G73" s="30">
        <f t="shared" si="83"/>
        <v>4.0816326530612242E-2</v>
      </c>
      <c r="H73" s="31">
        <v>0</v>
      </c>
      <c r="I73" s="31">
        <f t="shared" si="84"/>
        <v>70</v>
      </c>
      <c r="J73" s="31">
        <f t="shared" si="85"/>
        <v>140</v>
      </c>
      <c r="K73" s="59"/>
      <c r="L73" s="48">
        <v>1</v>
      </c>
      <c r="M73" s="49"/>
      <c r="N73" s="34">
        <v>10</v>
      </c>
      <c r="O73" s="45">
        <v>9</v>
      </c>
      <c r="P73" s="36">
        <f t="shared" si="86"/>
        <v>9</v>
      </c>
      <c r="Q73" s="45">
        <v>1</v>
      </c>
      <c r="R73" s="37">
        <v>8</v>
      </c>
      <c r="S73" s="38"/>
      <c r="T73" s="39">
        <f t="shared" si="87"/>
        <v>520920</v>
      </c>
      <c r="U73" s="36">
        <f t="shared" si="88"/>
        <v>0</v>
      </c>
      <c r="V73" s="39">
        <f t="shared" si="89"/>
        <v>520920</v>
      </c>
      <c r="W73" s="51">
        <v>57880</v>
      </c>
      <c r="X73" s="39">
        <f>SUMIF([1]헤몬팜마진!$B$7:$B$32,$C73,[1]헤몬팜마진!$R$7:$R$32)</f>
        <v>12170</v>
      </c>
      <c r="Y73" s="39">
        <f t="shared" si="90"/>
        <v>205884</v>
      </c>
      <c r="Z73" s="39">
        <f t="shared" si="91"/>
        <v>87177.200000000012</v>
      </c>
      <c r="AA73" s="98">
        <v>79252</v>
      </c>
      <c r="AB73" s="38"/>
      <c r="AC73" s="40">
        <f t="shared" si="98"/>
        <v>2310</v>
      </c>
      <c r="AD73" s="41">
        <v>7.8E-2</v>
      </c>
      <c r="AE73" s="36">
        <f t="shared" si="101"/>
        <v>43425</v>
      </c>
      <c r="AF73" s="28">
        <f t="shared" si="93"/>
        <v>0.16136212854181065</v>
      </c>
      <c r="AG73" s="39">
        <f t="shared" si="94"/>
        <v>84056.79</v>
      </c>
      <c r="AH73" s="39">
        <f t="shared" si="95"/>
        <v>18199.38463636364</v>
      </c>
      <c r="AI73" s="39">
        <f>SUMIF([1]헤몬팜마진!$B$7:$B$32,$C73,[1]헤몬팜마진!$V$7:$V$32)</f>
        <v>22876</v>
      </c>
      <c r="AJ73" s="39">
        <f t="shared" si="96"/>
        <v>212779.82536363637</v>
      </c>
      <c r="AK73" s="42">
        <f t="shared" si="97"/>
        <v>125602.62536363635</v>
      </c>
      <c r="AL73" s="43">
        <f>SUMIF([1]헤몬팜마진!$B$7:$B$32,$C73,[1]헤몬팜마진!$T$7:$T$32)</f>
        <v>181</v>
      </c>
      <c r="AM73" s="44">
        <f>SUMIF([1]헤몬팜마진!$B$7:$B$32,$C73,[1]헤몬팜마진!$U$7:$U$32)</f>
        <v>926</v>
      </c>
      <c r="AN73" s="38"/>
      <c r="AO73" s="52">
        <v>37878</v>
      </c>
      <c r="AP73" s="52">
        <v>196</v>
      </c>
      <c r="AQ73" s="24"/>
      <c r="AR73" s="24"/>
      <c r="AS73" s="24"/>
      <c r="AT73" s="25"/>
      <c r="AU73" s="25"/>
      <c r="AV73" s="25"/>
      <c r="AW73" s="25"/>
      <c r="AX73" s="25"/>
      <c r="AY73" s="25"/>
      <c r="AZ73" s="25"/>
      <c r="BA73" s="25"/>
      <c r="BB73" s="25"/>
      <c r="BC73" s="25"/>
      <c r="BD73" s="25"/>
      <c r="BE73" s="25"/>
      <c r="BF73" s="25"/>
      <c r="BG73" s="25"/>
      <c r="BH73" s="25"/>
      <c r="BI73" s="25"/>
      <c r="BJ73" s="25"/>
      <c r="BK73" s="25"/>
    </row>
    <row r="74" spans="1:63" ht="28.5" customHeight="1">
      <c r="A74" s="47" t="s">
        <v>58</v>
      </c>
      <c r="B74" s="26"/>
      <c r="C74" s="27" t="s">
        <v>59</v>
      </c>
      <c r="D74" s="28">
        <f t="shared" si="80"/>
        <v>0.29415479687575274</v>
      </c>
      <c r="E74" s="29">
        <f t="shared" si="81"/>
        <v>0.4982770809245074</v>
      </c>
      <c r="F74" s="30">
        <f t="shared" si="82"/>
        <v>0.20412228404875465</v>
      </c>
      <c r="G74" s="30">
        <f t="shared" si="83"/>
        <v>3.2028469750889681E-2</v>
      </c>
      <c r="H74" s="31">
        <v>2000</v>
      </c>
      <c r="I74" s="31">
        <f t="shared" si="84"/>
        <v>700</v>
      </c>
      <c r="J74" s="31">
        <f t="shared" si="85"/>
        <v>1400</v>
      </c>
      <c r="K74" s="48">
        <v>2373</v>
      </c>
      <c r="L74" s="48">
        <v>3</v>
      </c>
      <c r="M74" s="49"/>
      <c r="N74" s="34">
        <v>100</v>
      </c>
      <c r="O74" s="45">
        <v>17</v>
      </c>
      <c r="P74" s="36">
        <f t="shared" si="86"/>
        <v>17</v>
      </c>
      <c r="Q74" s="45"/>
      <c r="R74" s="37">
        <v>9</v>
      </c>
      <c r="S74" s="38"/>
      <c r="T74" s="39">
        <f t="shared" si="87"/>
        <v>301920</v>
      </c>
      <c r="U74" s="36">
        <f t="shared" si="88"/>
        <v>0</v>
      </c>
      <c r="V74" s="39">
        <f t="shared" si="89"/>
        <v>301920</v>
      </c>
      <c r="W74" s="51">
        <v>17760</v>
      </c>
      <c r="X74" s="39">
        <f>SUMIF([1]헤몬팜마진!$B$7:$B$32,$C74,[1]헤몬팜마진!$R$7:$R$32)</f>
        <v>3983</v>
      </c>
      <c r="Y74" s="39">
        <f t="shared" si="90"/>
        <v>82229</v>
      </c>
      <c r="Z74" s="39">
        <f t="shared" si="91"/>
        <v>61628.600000000006</v>
      </c>
      <c r="AA74" s="98">
        <f>30166+25860</f>
        <v>56026</v>
      </c>
      <c r="AB74" s="38"/>
      <c r="AC74" s="40">
        <f t="shared" si="98"/>
        <v>0</v>
      </c>
      <c r="AD74" s="41">
        <v>7.8E-2</v>
      </c>
      <c r="AE74" s="36">
        <f>1900*(P74)</f>
        <v>32300</v>
      </c>
      <c r="AF74" s="28">
        <f t="shared" si="93"/>
        <v>0.18498198198198199</v>
      </c>
      <c r="AG74" s="39">
        <f t="shared" si="94"/>
        <v>55849.79</v>
      </c>
      <c r="AH74" s="39">
        <f t="shared" si="95"/>
        <v>13401.393727272723</v>
      </c>
      <c r="AI74" s="39">
        <f>SUMIF([1]헤몬팜마진!$B$7:$B$32,$C74,[1]헤몬팜마진!$V$7:$V$32)</f>
        <v>4837</v>
      </c>
      <c r="AJ74" s="39">
        <f t="shared" si="96"/>
        <v>150439.81627272727</v>
      </c>
      <c r="AK74" s="42">
        <f t="shared" si="97"/>
        <v>88811.216272727266</v>
      </c>
      <c r="AL74" s="43">
        <f>SUMIF([1]헤몬팜마진!$B$7:$B$32,$C74,[1]헤몬팜마진!$T$7:$T$32)</f>
        <v>140</v>
      </c>
      <c r="AM74" s="44">
        <f>SUMIF([1]헤몬팜마진!$B$7:$B$32,$C74,[1]헤몬팜마진!$U$7:$U$32)</f>
        <v>714</v>
      </c>
      <c r="AN74" s="38"/>
      <c r="AO74" s="52">
        <v>63207</v>
      </c>
      <c r="AP74" s="52">
        <v>281</v>
      </c>
      <c r="AQ74" s="24"/>
      <c r="AR74" s="24"/>
      <c r="AS74" s="24"/>
      <c r="AT74" s="25"/>
      <c r="AU74" s="25"/>
      <c r="AV74" s="25"/>
      <c r="AW74" s="25"/>
      <c r="AX74" s="25"/>
      <c r="AY74" s="25"/>
      <c r="AZ74" s="25"/>
      <c r="BA74" s="25"/>
      <c r="BB74" s="25"/>
      <c r="BC74" s="25"/>
      <c r="BD74" s="25"/>
      <c r="BE74" s="25"/>
      <c r="BF74" s="25"/>
      <c r="BG74" s="25"/>
      <c r="BH74" s="25"/>
      <c r="BI74" s="25"/>
      <c r="BJ74" s="25"/>
      <c r="BK74" s="25"/>
    </row>
    <row r="75" spans="1:63" ht="28.5" customHeight="1">
      <c r="A75" s="47" t="s">
        <v>64</v>
      </c>
      <c r="B75" s="70" t="s">
        <v>65</v>
      </c>
      <c r="C75" s="27" t="s">
        <v>66</v>
      </c>
      <c r="D75" s="28">
        <f t="shared" si="80"/>
        <v>0.27597989047392024</v>
      </c>
      <c r="E75" s="29">
        <f t="shared" si="81"/>
        <v>0.43443625728849605</v>
      </c>
      <c r="F75" s="30">
        <f t="shared" si="82"/>
        <v>0.15845636681457578</v>
      </c>
      <c r="G75" s="30">
        <f t="shared" si="83"/>
        <v>0.1388888888888889</v>
      </c>
      <c r="H75" s="31">
        <v>2000</v>
      </c>
      <c r="I75" s="31">
        <f t="shared" si="84"/>
        <v>280</v>
      </c>
      <c r="J75" s="31">
        <f t="shared" si="85"/>
        <v>560</v>
      </c>
      <c r="K75" s="104">
        <v>1048</v>
      </c>
      <c r="L75" s="48">
        <f>311+240+1</f>
        <v>552</v>
      </c>
      <c r="M75" s="49"/>
      <c r="N75" s="34">
        <v>40</v>
      </c>
      <c r="O75" s="45">
        <v>33</v>
      </c>
      <c r="P75" s="36">
        <f t="shared" si="86"/>
        <v>33</v>
      </c>
      <c r="Q75" s="45">
        <v>3</v>
      </c>
      <c r="R75" s="37">
        <v>20</v>
      </c>
      <c r="S75" s="38"/>
      <c r="T75" s="39">
        <f t="shared" si="87"/>
        <v>818070</v>
      </c>
      <c r="U75" s="36">
        <f t="shared" si="88"/>
        <v>0</v>
      </c>
      <c r="V75" s="39">
        <f t="shared" si="89"/>
        <v>818070</v>
      </c>
      <c r="W75" s="51">
        <v>24790</v>
      </c>
      <c r="X75" s="39">
        <f>SUMIF([1]헤몬팜마진!$B$7:$B$32,$C75,[1]헤몬팜마진!$R$7:$R$32)</f>
        <v>6859</v>
      </c>
      <c r="Y75" s="39">
        <f t="shared" si="90"/>
        <v>239382</v>
      </c>
      <c r="Z75" s="39">
        <f t="shared" si="91"/>
        <v>129628.40000000001</v>
      </c>
      <c r="AA75" s="98">
        <v>117844</v>
      </c>
      <c r="AB75" s="63"/>
      <c r="AC75" s="40">
        <f t="shared" si="98"/>
        <v>6930</v>
      </c>
      <c r="AD75" s="41">
        <v>0.108</v>
      </c>
      <c r="AE75" s="36">
        <f>3150*(P75)</f>
        <v>103950</v>
      </c>
      <c r="AF75" s="28">
        <f t="shared" si="93"/>
        <v>0.23506736587333604</v>
      </c>
      <c r="AG75" s="39">
        <f t="shared" si="94"/>
        <v>192301.59000000003</v>
      </c>
      <c r="AH75" s="39">
        <f t="shared" si="95"/>
        <v>30987.140999999981</v>
      </c>
      <c r="AI75" s="39">
        <f>SUMIF([1]헤몬팜마진!$B$7:$B$32,$C75,[1]헤몬팜마진!$V$7:$V$32)</f>
        <v>7254</v>
      </c>
      <c r="AJ75" s="39">
        <f t="shared" si="96"/>
        <v>355399.26899999997</v>
      </c>
      <c r="AK75" s="60">
        <f t="shared" si="97"/>
        <v>225770.86899999995</v>
      </c>
      <c r="AL75" s="43">
        <f>SUMIF([1]헤몬팜마진!$B$7:$B$32,$C75,[1]헤몬팜마진!$T$7:$T$32)</f>
        <v>65</v>
      </c>
      <c r="AM75" s="44">
        <f>SUMIF([1]헤몬팜마진!$B$7:$B$32,$C75,[1]헤몬팜마진!$U$7:$U$32)</f>
        <v>330</v>
      </c>
      <c r="AN75" s="38"/>
      <c r="AO75" s="52">
        <v>37015</v>
      </c>
      <c r="AP75" s="52">
        <v>144</v>
      </c>
      <c r="AQ75" s="24"/>
      <c r="AR75" s="24"/>
      <c r="AS75" s="24"/>
      <c r="AT75" s="25"/>
      <c r="AU75" s="25"/>
      <c r="AV75" s="25"/>
      <c r="AW75" s="25"/>
      <c r="AX75" s="25"/>
      <c r="AY75" s="25"/>
      <c r="AZ75" s="25"/>
      <c r="BA75" s="25"/>
      <c r="BB75" s="25"/>
      <c r="BC75" s="25"/>
      <c r="BD75" s="25"/>
      <c r="BE75" s="25"/>
      <c r="BF75" s="25"/>
      <c r="BG75" s="25"/>
      <c r="BH75" s="25"/>
      <c r="BI75" s="25"/>
      <c r="BJ75" s="25"/>
      <c r="BK75" s="25"/>
    </row>
    <row r="76" spans="1:63" ht="28.5" customHeight="1">
      <c r="A76" s="47"/>
      <c r="B76" s="69" t="s">
        <v>67</v>
      </c>
      <c r="C76" s="27" t="s">
        <v>68</v>
      </c>
      <c r="D76" s="28">
        <f t="shared" si="80"/>
        <v>-0.10752525925079955</v>
      </c>
      <c r="E76" s="29">
        <f t="shared" si="81"/>
        <v>0.41263931361352213</v>
      </c>
      <c r="F76" s="30">
        <f t="shared" si="82"/>
        <v>0.52016457286432172</v>
      </c>
      <c r="G76" s="30">
        <f t="shared" si="83"/>
        <v>8.4745762711864406E-3</v>
      </c>
      <c r="H76" s="31">
        <v>0</v>
      </c>
      <c r="I76" s="31">
        <f t="shared" si="84"/>
        <v>105</v>
      </c>
      <c r="J76" s="31">
        <f t="shared" si="85"/>
        <v>210</v>
      </c>
      <c r="K76" s="105"/>
      <c r="L76" s="48">
        <f>22+3</f>
        <v>25</v>
      </c>
      <c r="M76" s="49"/>
      <c r="N76" s="34">
        <v>15</v>
      </c>
      <c r="O76" s="38">
        <v>2</v>
      </c>
      <c r="P76" s="36">
        <f t="shared" si="86"/>
        <v>2</v>
      </c>
      <c r="Q76" s="38"/>
      <c r="R76" s="50">
        <v>1</v>
      </c>
      <c r="S76" s="38"/>
      <c r="T76" s="39">
        <f t="shared" si="87"/>
        <v>79600</v>
      </c>
      <c r="U76" s="36">
        <f t="shared" si="88"/>
        <v>0</v>
      </c>
      <c r="V76" s="39">
        <f t="shared" si="89"/>
        <v>79600</v>
      </c>
      <c r="W76" s="51">
        <v>39800</v>
      </c>
      <c r="X76" s="39">
        <f>SUMIF([1]헤몬팜마진!$B$7:$B$32,$C76,[1]헤몬팜마진!$R$7:$R$32)</f>
        <v>13719</v>
      </c>
      <c r="Y76" s="39">
        <f t="shared" si="90"/>
        <v>28226</v>
      </c>
      <c r="Z76" s="39">
        <f t="shared" si="91"/>
        <v>41405.100000000006</v>
      </c>
      <c r="AA76" s="98">
        <v>37641</v>
      </c>
      <c r="AB76" s="63"/>
      <c r="AC76" s="40">
        <f t="shared" si="98"/>
        <v>0</v>
      </c>
      <c r="AD76" s="41">
        <v>0.108</v>
      </c>
      <c r="AE76" s="36">
        <f>3550*(P76)</f>
        <v>7100</v>
      </c>
      <c r="AF76" s="28">
        <f t="shared" si="93"/>
        <v>0.1971959798994975</v>
      </c>
      <c r="AG76" s="39">
        <f t="shared" si="94"/>
        <v>15696.830000000002</v>
      </c>
      <c r="AH76" s="39">
        <f t="shared" si="95"/>
        <v>2831.0806363636357</v>
      </c>
      <c r="AI76" s="39">
        <f>SUMIF([1]헤몬팜마진!$B$7:$B$32,$C76,[1]헤몬팜마진!$V$7:$V$32)</f>
        <v>14113</v>
      </c>
      <c r="AJ76" s="39">
        <f t="shared" si="96"/>
        <v>32846.089363636362</v>
      </c>
      <c r="AK76" s="60">
        <f t="shared" si="97"/>
        <v>-8559.0106363636442</v>
      </c>
      <c r="AL76" s="43">
        <f>SUMIF([1]헤몬팜마진!$B$7:$B$32,$C76,[1]헤몬팜마진!$T$7:$T$32)</f>
        <v>65</v>
      </c>
      <c r="AM76" s="44">
        <f>SUMIF([1]헤몬팜마진!$B$7:$B$32,$C76,[1]헤몬팜마진!$U$7:$U$32)</f>
        <v>330</v>
      </c>
      <c r="AN76" s="38"/>
      <c r="AO76" s="52">
        <v>39693</v>
      </c>
      <c r="AP76" s="52">
        <v>118</v>
      </c>
      <c r="AQ76" s="24"/>
      <c r="AR76" s="24"/>
      <c r="AS76" s="24"/>
      <c r="AT76" s="25"/>
      <c r="AU76" s="25"/>
      <c r="AV76" s="25"/>
      <c r="AW76" s="25"/>
      <c r="AX76" s="25"/>
      <c r="AY76" s="25"/>
      <c r="AZ76" s="25"/>
      <c r="BA76" s="25"/>
      <c r="BB76" s="25"/>
      <c r="BC76" s="25"/>
      <c r="BD76" s="25"/>
      <c r="BE76" s="25"/>
      <c r="BF76" s="25"/>
      <c r="BG76" s="25"/>
      <c r="BH76" s="25"/>
      <c r="BI76" s="25"/>
      <c r="BJ76" s="25"/>
      <c r="BK76" s="25"/>
    </row>
    <row r="77" spans="1:63" ht="28.5" customHeight="1">
      <c r="A77" s="1"/>
      <c r="B77" s="69" t="s">
        <v>62</v>
      </c>
      <c r="C77" s="27" t="s">
        <v>63</v>
      </c>
      <c r="D77" s="28">
        <f t="shared" si="80"/>
        <v>0.14250590025252524</v>
      </c>
      <c r="E77" s="29">
        <f t="shared" si="81"/>
        <v>0.37867673358585857</v>
      </c>
      <c r="F77" s="30">
        <f t="shared" si="82"/>
        <v>0.23617083333333336</v>
      </c>
      <c r="G77" s="30">
        <f t="shared" si="83"/>
        <v>4.1139240506329111E-2</v>
      </c>
      <c r="H77" s="31">
        <v>700</v>
      </c>
      <c r="I77" s="31">
        <f t="shared" si="84"/>
        <v>210</v>
      </c>
      <c r="J77" s="31">
        <f t="shared" si="85"/>
        <v>420</v>
      </c>
      <c r="K77" s="48">
        <v>954</v>
      </c>
      <c r="L77" s="48">
        <v>2</v>
      </c>
      <c r="M77" s="49"/>
      <c r="N77" s="34">
        <v>30</v>
      </c>
      <c r="O77" s="38">
        <v>40</v>
      </c>
      <c r="P77" s="36">
        <f t="shared" si="86"/>
        <v>40</v>
      </c>
      <c r="Q77" s="38">
        <v>1</v>
      </c>
      <c r="R77" s="37">
        <v>26</v>
      </c>
      <c r="S77" s="38"/>
      <c r="T77" s="39">
        <f t="shared" si="87"/>
        <v>792000</v>
      </c>
      <c r="U77" s="36">
        <f t="shared" si="88"/>
        <v>0</v>
      </c>
      <c r="V77" s="39">
        <f t="shared" si="89"/>
        <v>792000</v>
      </c>
      <c r="W77" s="51">
        <v>19800</v>
      </c>
      <c r="X77" s="39">
        <f>SUMIF([1]헤몬팜마진!$B$7:$B$32,$C77,[1]헤몬팜마진!$R$7:$R$32)</f>
        <v>6638</v>
      </c>
      <c r="Y77" s="39">
        <f t="shared" si="90"/>
        <v>267440</v>
      </c>
      <c r="Z77" s="39">
        <f t="shared" si="91"/>
        <v>187047.30000000002</v>
      </c>
      <c r="AA77" s="98">
        <v>170043</v>
      </c>
      <c r="AB77" s="64"/>
      <c r="AC77" s="40">
        <f t="shared" si="98"/>
        <v>2310</v>
      </c>
      <c r="AD77" s="41">
        <v>0.08</v>
      </c>
      <c r="AE77" s="36">
        <f>3400*(P77)</f>
        <v>136000</v>
      </c>
      <c r="AF77" s="28">
        <f t="shared" si="93"/>
        <v>0.25171717171717173</v>
      </c>
      <c r="AG77" s="39">
        <f t="shared" si="94"/>
        <v>199360.03</v>
      </c>
      <c r="AH77" s="39">
        <f t="shared" si="95"/>
        <v>25287.996999999996</v>
      </c>
      <c r="AI77" s="39">
        <f>SUMIF([1]헤몬팜마진!$B$7:$B$32,$C77,[1]헤몬팜마진!$V$7:$V$32)</f>
        <v>6686</v>
      </c>
      <c r="AJ77" s="39">
        <f t="shared" si="96"/>
        <v>299911.973</v>
      </c>
      <c r="AK77" s="60">
        <f t="shared" si="97"/>
        <v>112864.67299999998</v>
      </c>
      <c r="AL77" s="43">
        <f>SUMIF([1]헤몬팜마진!$B$7:$B$32,$C77,[1]헤몬팜마진!$T$7:$T$32)</f>
        <v>8</v>
      </c>
      <c r="AM77" s="44">
        <f>SUMIF([1]헤몬팜마진!$B$7:$B$32,$C77,[1]헤몬팜마진!$U$7:$U$32)</f>
        <v>40</v>
      </c>
      <c r="AN77" s="38"/>
      <c r="AO77" s="52">
        <v>273425</v>
      </c>
      <c r="AP77" s="52">
        <v>632</v>
      </c>
      <c r="AQ77" s="24"/>
      <c r="AR77" s="24"/>
      <c r="AS77" s="24"/>
      <c r="AT77" s="25"/>
      <c r="AU77" s="25"/>
      <c r="AV77" s="25"/>
      <c r="AW77" s="25"/>
      <c r="AX77" s="25"/>
      <c r="AY77" s="25"/>
      <c r="AZ77" s="25"/>
      <c r="BA77" s="25"/>
      <c r="BB77" s="25"/>
      <c r="BC77" s="25"/>
      <c r="BD77" s="25"/>
      <c r="BE77" s="25"/>
      <c r="BF77" s="25"/>
      <c r="BG77" s="25"/>
      <c r="BH77" s="25"/>
      <c r="BI77" s="25"/>
      <c r="BJ77" s="25"/>
      <c r="BK77" s="25"/>
    </row>
    <row r="78" spans="1:63" ht="28.5" customHeight="1">
      <c r="A78" s="47" t="s">
        <v>60</v>
      </c>
      <c r="B78" s="26"/>
      <c r="C78" s="27" t="s">
        <v>61</v>
      </c>
      <c r="D78" s="28">
        <f t="shared" si="80"/>
        <v>0.43888232038123165</v>
      </c>
      <c r="E78" s="29">
        <f t="shared" si="81"/>
        <v>0.43888232038123165</v>
      </c>
      <c r="F78" s="30">
        <f t="shared" si="82"/>
        <v>0</v>
      </c>
      <c r="G78" s="30" t="e">
        <f t="shared" si="83"/>
        <v>#DIV/0!</v>
      </c>
      <c r="H78" s="31">
        <v>0</v>
      </c>
      <c r="I78" s="31">
        <f t="shared" si="84"/>
        <v>350</v>
      </c>
      <c r="J78" s="31">
        <f t="shared" si="85"/>
        <v>700</v>
      </c>
      <c r="K78" s="48">
        <v>87</v>
      </c>
      <c r="L78" s="48">
        <v>0</v>
      </c>
      <c r="M78" s="49"/>
      <c r="N78" s="34">
        <v>50</v>
      </c>
      <c r="O78" s="45">
        <v>-1</v>
      </c>
      <c r="P78" s="36">
        <f t="shared" si="86"/>
        <v>-1</v>
      </c>
      <c r="Q78" s="38">
        <v>1</v>
      </c>
      <c r="R78" s="56"/>
      <c r="S78" s="38"/>
      <c r="T78" s="39">
        <f t="shared" si="87"/>
        <v>-24800</v>
      </c>
      <c r="U78" s="36">
        <f t="shared" si="88"/>
        <v>0</v>
      </c>
      <c r="V78" s="39">
        <f t="shared" si="89"/>
        <v>-24800</v>
      </c>
      <c r="W78" s="51">
        <v>24800</v>
      </c>
      <c r="X78" s="39">
        <f>SUMIF([1]헤몬팜마진!$B$7:$B$32,$C78,[1]헤몬팜마진!$R$7:$R$32)</f>
        <v>8408</v>
      </c>
      <c r="Y78" s="39">
        <f t="shared" si="90"/>
        <v>-8580</v>
      </c>
      <c r="Z78" s="39">
        <f t="shared" si="91"/>
        <v>0</v>
      </c>
      <c r="AA78" s="32"/>
      <c r="AB78" s="63"/>
      <c r="AC78" s="40">
        <f t="shared" si="98"/>
        <v>2310</v>
      </c>
      <c r="AD78" s="41">
        <v>0.1</v>
      </c>
      <c r="AE78" s="36">
        <f>1900*(P78)</f>
        <v>-1900</v>
      </c>
      <c r="AF78" s="28">
        <f t="shared" si="93"/>
        <v>0.17661290322580647</v>
      </c>
      <c r="AG78" s="39">
        <f t="shared" si="94"/>
        <v>-4379.9700000000012</v>
      </c>
      <c r="AH78" s="39">
        <f t="shared" si="95"/>
        <v>-955.74845454545425</v>
      </c>
      <c r="AI78" s="39">
        <f>SUMIF([1]헤몬팜마진!$B$7:$B$32,$C78,[1]헤몬팜마진!$V$7:$V$32)</f>
        <v>8580</v>
      </c>
      <c r="AJ78" s="39">
        <f t="shared" si="96"/>
        <v>-10884.281545454545</v>
      </c>
      <c r="AK78" s="60">
        <f t="shared" si="97"/>
        <v>-10884.281545454545</v>
      </c>
      <c r="AL78" s="43">
        <f>SUMIF([1]헤몬팜마진!$B$7:$B$32,$C78,[1]헤몬팜마진!$T$7:$T$32)</f>
        <v>28</v>
      </c>
      <c r="AM78" s="44">
        <f>SUMIF([1]헤몬팜마진!$B$7:$B$32,$C78,[1]헤몬팜마진!$U$7:$U$32)</f>
        <v>143</v>
      </c>
      <c r="AN78" s="38"/>
      <c r="AO78" s="45"/>
      <c r="AP78" s="46"/>
      <c r="AQ78" s="24"/>
      <c r="AR78" s="24"/>
      <c r="AS78" s="24"/>
      <c r="AT78" s="25"/>
      <c r="AU78" s="25"/>
      <c r="AV78" s="25"/>
      <c r="AW78" s="25"/>
      <c r="AX78" s="25"/>
      <c r="AY78" s="25"/>
      <c r="AZ78" s="25"/>
      <c r="BA78" s="25"/>
      <c r="BB78" s="25"/>
      <c r="BC78" s="25"/>
      <c r="BD78" s="25"/>
      <c r="BE78" s="25"/>
      <c r="BF78" s="25"/>
      <c r="BG78" s="25"/>
      <c r="BH78" s="25"/>
      <c r="BI78" s="25"/>
      <c r="BJ78" s="25"/>
      <c r="BK78" s="25"/>
    </row>
    <row r="79" spans="1:63" ht="28.5" customHeight="1" thickBot="1">
      <c r="A79" s="1"/>
      <c r="B79" s="71"/>
      <c r="C79" s="72"/>
      <c r="D79" s="73">
        <f t="shared" si="80"/>
        <v>0.14642328715770561</v>
      </c>
      <c r="E79" s="74">
        <f t="shared" si="81"/>
        <v>0.41595153866392043</v>
      </c>
      <c r="F79" s="75">
        <f t="shared" si="82"/>
        <v>0.26952825150621484</v>
      </c>
      <c r="G79" s="76"/>
      <c r="H79" s="77"/>
      <c r="I79" s="77"/>
      <c r="J79" s="77"/>
      <c r="K79" s="77"/>
      <c r="L79" s="77"/>
      <c r="M79" s="77"/>
      <c r="N79" s="77"/>
      <c r="O79" s="78">
        <f>SUM(O62:O78)</f>
        <v>399</v>
      </c>
      <c r="P79" s="79">
        <f>SUM(P62:P77)</f>
        <v>400</v>
      </c>
      <c r="Q79" s="78">
        <f>SUM(Q62:Q78)</f>
        <v>26</v>
      </c>
      <c r="R79" s="78">
        <f t="shared" ref="R79:V79" si="102">SUM(R62:R77)</f>
        <v>320</v>
      </c>
      <c r="S79" s="78">
        <f t="shared" si="102"/>
        <v>0</v>
      </c>
      <c r="T79" s="78">
        <f t="shared" si="102"/>
        <v>10898180</v>
      </c>
      <c r="U79" s="78">
        <f t="shared" si="102"/>
        <v>0</v>
      </c>
      <c r="V79" s="79">
        <f t="shared" si="102"/>
        <v>10898180</v>
      </c>
      <c r="W79" s="77"/>
      <c r="X79" s="78">
        <f t="shared" ref="X79:AC79" si="103">SUM(X62:X77)</f>
        <v>145175</v>
      </c>
      <c r="Y79" s="79">
        <f t="shared" si="103"/>
        <v>3669854</v>
      </c>
      <c r="Z79" s="78">
        <f t="shared" si="103"/>
        <v>2937367.4000000004</v>
      </c>
      <c r="AA79" s="78">
        <f t="shared" si="103"/>
        <v>2670334</v>
      </c>
      <c r="AB79" s="78">
        <f t="shared" si="103"/>
        <v>0</v>
      </c>
      <c r="AC79" s="78">
        <f t="shared" si="103"/>
        <v>56232</v>
      </c>
      <c r="AD79" s="80">
        <v>0.09</v>
      </c>
      <c r="AE79" s="79">
        <f>SUM(AE62:AE77)</f>
        <v>1252525</v>
      </c>
      <c r="AF79" s="75">
        <f t="shared" si="93"/>
        <v>0.2049297405621856</v>
      </c>
      <c r="AG79" s="81">
        <f t="shared" ref="AG79:AI79" si="104">SUM(AG62:AG77)</f>
        <v>2304659.36</v>
      </c>
      <c r="AH79" s="81">
        <f t="shared" si="104"/>
        <v>390551.90036363644</v>
      </c>
      <c r="AI79" s="81">
        <f t="shared" si="104"/>
        <v>224619</v>
      </c>
      <c r="AJ79" s="81">
        <f t="shared" si="96"/>
        <v>4533114.7396363644</v>
      </c>
      <c r="AK79" s="82">
        <f t="shared" si="97"/>
        <v>1595747.339636364</v>
      </c>
      <c r="AL79" s="83"/>
      <c r="AM79" s="84"/>
      <c r="AN79" s="85"/>
      <c r="AO79" s="86">
        <f t="shared" ref="AO79:AP79" si="105">SUM(AO62:AO63)</f>
        <v>513963</v>
      </c>
      <c r="AP79" s="87">
        <f t="shared" si="105"/>
        <v>2730</v>
      </c>
      <c r="AQ79" s="24"/>
      <c r="AR79" s="24"/>
      <c r="AS79" s="24"/>
      <c r="AT79" s="25"/>
      <c r="AU79" s="25"/>
      <c r="AV79" s="25"/>
      <c r="AW79" s="25"/>
      <c r="AX79" s="25"/>
      <c r="AY79" s="25"/>
      <c r="AZ79" s="25"/>
      <c r="BA79" s="25"/>
      <c r="BB79" s="25"/>
      <c r="BC79" s="25"/>
      <c r="BD79" s="25"/>
      <c r="BE79" s="25"/>
      <c r="BF79" s="25"/>
      <c r="BG79" s="25"/>
      <c r="BH79" s="25"/>
      <c r="BI79" s="25"/>
      <c r="BJ79" s="25"/>
      <c r="BK79" s="25"/>
    </row>
    <row r="80" spans="1:63" ht="28.5" customHeight="1" thickBot="1">
      <c r="A80" s="88"/>
      <c r="B80" s="89"/>
      <c r="C80" s="90"/>
      <c r="D80" s="91"/>
      <c r="E80" s="91"/>
      <c r="F80" s="91"/>
      <c r="G80" s="91"/>
      <c r="H80" s="92"/>
      <c r="I80" s="92"/>
      <c r="J80" s="92"/>
      <c r="K80" s="92"/>
      <c r="L80" s="92"/>
      <c r="M80" s="92"/>
      <c r="N80" s="92"/>
      <c r="O80" s="92"/>
      <c r="P80" s="93"/>
      <c r="Q80" s="92"/>
      <c r="R80" s="92"/>
      <c r="S80" s="92"/>
      <c r="T80" s="92"/>
      <c r="U80" s="92"/>
      <c r="V80" s="92"/>
      <c r="W80" s="92"/>
      <c r="X80" s="92"/>
      <c r="Y80" s="92"/>
      <c r="Z80" s="92"/>
      <c r="AA80" s="94"/>
      <c r="AB80" s="95"/>
      <c r="AC80" s="96"/>
      <c r="AD80" s="96"/>
      <c r="AE80" s="96"/>
      <c r="AF80" s="96"/>
      <c r="AG80" s="95"/>
      <c r="AH80" s="95"/>
      <c r="AI80" s="97"/>
      <c r="AJ80" s="25"/>
      <c r="AK80" s="24"/>
      <c r="AL80" s="24"/>
      <c r="AM80" s="24"/>
      <c r="AN80" s="25"/>
      <c r="AO80" s="25"/>
      <c r="AP80" s="25"/>
      <c r="AQ80" s="24"/>
      <c r="AR80" s="24"/>
      <c r="AS80" s="24"/>
      <c r="AT80" s="25"/>
      <c r="AU80" s="25"/>
      <c r="AV80" s="25"/>
      <c r="AW80" s="25"/>
      <c r="AX80" s="25"/>
      <c r="AY80" s="25"/>
      <c r="AZ80" s="25"/>
      <c r="BA80" s="25"/>
      <c r="BB80" s="25"/>
      <c r="BC80" s="25"/>
      <c r="BD80" s="25"/>
      <c r="BE80" s="25"/>
      <c r="BF80" s="25"/>
      <c r="BG80" s="25"/>
      <c r="BH80" s="25"/>
      <c r="BI80" s="25"/>
      <c r="BJ80" s="25"/>
      <c r="BK80" s="25"/>
    </row>
    <row r="81" spans="1:63" ht="28.5" customHeight="1">
      <c r="A81" s="1"/>
      <c r="B81" s="2"/>
      <c r="C81" s="3">
        <v>45949</v>
      </c>
      <c r="D81" s="4" t="s">
        <v>0</v>
      </c>
      <c r="E81" s="4" t="s">
        <v>1</v>
      </c>
      <c r="F81" s="4" t="s">
        <v>2</v>
      </c>
      <c r="G81" s="5" t="s">
        <v>3</v>
      </c>
      <c r="H81" s="6" t="s">
        <v>4</v>
      </c>
      <c r="I81" s="7" t="s">
        <v>5</v>
      </c>
      <c r="J81" s="7" t="s">
        <v>6</v>
      </c>
      <c r="K81" s="8" t="s">
        <v>7</v>
      </c>
      <c r="L81" s="9" t="s">
        <v>8</v>
      </c>
      <c r="M81" s="10" t="s">
        <v>9</v>
      </c>
      <c r="N81" s="11" t="s">
        <v>10</v>
      </c>
      <c r="O81" s="11" t="s">
        <v>11</v>
      </c>
      <c r="P81" s="11" t="s">
        <v>12</v>
      </c>
      <c r="Q81" s="12" t="s">
        <v>13</v>
      </c>
      <c r="R81" s="11" t="s">
        <v>14</v>
      </c>
      <c r="S81" s="13" t="s">
        <v>15</v>
      </c>
      <c r="T81" s="14" t="s">
        <v>16</v>
      </c>
      <c r="U81" s="14" t="s">
        <v>17</v>
      </c>
      <c r="V81" s="14" t="s">
        <v>18</v>
      </c>
      <c r="W81" s="14" t="s">
        <v>19</v>
      </c>
      <c r="X81" s="10" t="s">
        <v>20</v>
      </c>
      <c r="Y81" s="10" t="s">
        <v>21</v>
      </c>
      <c r="Z81" s="15" t="s">
        <v>22</v>
      </c>
      <c r="AA81" s="15" t="s">
        <v>23</v>
      </c>
      <c r="AB81" s="16" t="s">
        <v>24</v>
      </c>
      <c r="AC81" s="17" t="s">
        <v>25</v>
      </c>
      <c r="AD81" s="18" t="s">
        <v>26</v>
      </c>
      <c r="AE81" s="4" t="s">
        <v>27</v>
      </c>
      <c r="AF81" s="19" t="s">
        <v>28</v>
      </c>
      <c r="AG81" s="19" t="s">
        <v>26</v>
      </c>
      <c r="AH81" s="4" t="s">
        <v>29</v>
      </c>
      <c r="AI81" s="10" t="s">
        <v>30</v>
      </c>
      <c r="AJ81" s="10" t="s">
        <v>31</v>
      </c>
      <c r="AK81" s="4" t="s">
        <v>32</v>
      </c>
      <c r="AL81" s="20" t="s">
        <v>33</v>
      </c>
      <c r="AM81" s="21" t="s">
        <v>34</v>
      </c>
      <c r="AN81" s="22" t="s">
        <v>35</v>
      </c>
      <c r="AO81" s="22" t="s">
        <v>36</v>
      </c>
      <c r="AP81" s="23" t="s">
        <v>37</v>
      </c>
      <c r="AQ81" s="24"/>
      <c r="AR81" s="24"/>
      <c r="AS81" s="24"/>
      <c r="AT81" s="25"/>
      <c r="AU81" s="25"/>
      <c r="AV81" s="25"/>
      <c r="AW81" s="25"/>
      <c r="AX81" s="25"/>
      <c r="AY81" s="25"/>
      <c r="AZ81" s="25"/>
      <c r="BA81" s="25"/>
      <c r="BB81" s="25"/>
      <c r="BC81" s="25"/>
      <c r="BD81" s="25"/>
      <c r="BE81" s="25"/>
      <c r="BF81" s="25"/>
      <c r="BG81" s="25"/>
      <c r="BH81" s="25"/>
      <c r="BI81" s="25"/>
      <c r="BJ81" s="25"/>
      <c r="BK81" s="25"/>
    </row>
    <row r="82" spans="1:63" ht="28.5" customHeight="1">
      <c r="A82" s="1" t="s">
        <v>38</v>
      </c>
      <c r="B82" s="26"/>
      <c r="C82" s="27" t="s">
        <v>39</v>
      </c>
      <c r="D82" s="28">
        <f t="shared" ref="D82:D99" si="106">AK82/V82</f>
        <v>0.15552344540102403</v>
      </c>
      <c r="E82" s="29">
        <f t="shared" ref="E82:E99" si="107">AJ82/V82</f>
        <v>0.42271097688898307</v>
      </c>
      <c r="F82" s="30">
        <f t="shared" ref="F82:F99" si="108">(Z82+AB82)/V82</f>
        <v>0.26718753148795904</v>
      </c>
      <c r="G82" s="30">
        <f t="shared" ref="G82:G98" si="109">R82/AP82</f>
        <v>6.3772954924874795E-2</v>
      </c>
      <c r="H82" s="31">
        <v>7410</v>
      </c>
      <c r="I82" s="31">
        <f t="shared" ref="I82:I98" si="110">N82*7</f>
        <v>1400</v>
      </c>
      <c r="J82" s="31">
        <f t="shared" ref="J82:J98" si="111">N82*14</f>
        <v>2800</v>
      </c>
      <c r="K82" s="32">
        <v>76</v>
      </c>
      <c r="L82" s="32">
        <f>1906+1320</f>
        <v>3226</v>
      </c>
      <c r="M82" s="33"/>
      <c r="N82" s="34">
        <v>200</v>
      </c>
      <c r="O82" s="35">
        <v>249</v>
      </c>
      <c r="P82" s="36">
        <f t="shared" ref="P82:P98" si="112">O82-S82</f>
        <v>249</v>
      </c>
      <c r="Q82" s="35">
        <v>16</v>
      </c>
      <c r="R82" s="37">
        <v>191</v>
      </c>
      <c r="S82" s="38"/>
      <c r="T82" s="39">
        <f t="shared" ref="T82:T98" si="113">W82*O82</f>
        <v>6947100</v>
      </c>
      <c r="U82" s="36">
        <f t="shared" ref="U82:U98" si="114">W82*S82</f>
        <v>0</v>
      </c>
      <c r="V82" s="39">
        <f t="shared" ref="V82:V98" si="115">T82-U82</f>
        <v>6947100</v>
      </c>
      <c r="W82" s="39">
        <v>27900</v>
      </c>
      <c r="X82" s="39">
        <f>SUMIF([1]헤몬팜마진!$B$7:$B$32,$C82,[1]헤몬팜마진!$R$7:$R$32)</f>
        <v>8851</v>
      </c>
      <c r="Y82" s="39">
        <f t="shared" ref="Y82:Y98" si="116">AI82*P82</f>
        <v>2302005</v>
      </c>
      <c r="Z82" s="39">
        <f t="shared" ref="Z82:Z98" si="117">AA82*1.1</f>
        <v>1856178.5000000002</v>
      </c>
      <c r="AA82" s="98">
        <v>1687435</v>
      </c>
      <c r="AB82" s="38"/>
      <c r="AC82" s="40">
        <f t="shared" ref="AC82:AC83" si="118">(1072+1100)*Q82</f>
        <v>34752</v>
      </c>
      <c r="AD82" s="41">
        <v>0.1</v>
      </c>
      <c r="AE82" s="36">
        <f>3050*(P82)</f>
        <v>759450</v>
      </c>
      <c r="AF82" s="28">
        <f t="shared" ref="AF82:AF99" si="119">AD82+(AE82/V82)</f>
        <v>0.20931899641577062</v>
      </c>
      <c r="AG82" s="39">
        <f t="shared" ref="AG82:AG98" si="120">IFERROR(V82*AF82+3%,0)</f>
        <v>1454160.03</v>
      </c>
      <c r="AH82" s="39">
        <f t="shared" ref="AH82:AH98" si="121">V82/1.1*10%-((AI82*P82)+AG82+(AN82*P82)+(AL82*P82))*10%</f>
        <v>254319.54245454539</v>
      </c>
      <c r="AI82" s="39">
        <f>SUMIF([1]헤몬팜마진!$B$7:$B$32,$C82,[1]헤몬팜마진!$V$7:$V$32)</f>
        <v>9245</v>
      </c>
      <c r="AJ82" s="39">
        <f t="shared" ref="AJ82:AJ99" si="122">V82-(Y82+AG82+AH82+(AN82*P82))</f>
        <v>2936615.4275454544</v>
      </c>
      <c r="AK82" s="42">
        <f t="shared" ref="AK82:AK99" si="123">AJ82-Z82-AB82</f>
        <v>1080436.9275454541</v>
      </c>
      <c r="AL82" s="43">
        <f>SUMIF([1]헤몬팜마진!$B$7:$B$32,$C82,[1]헤몬팜마진!$T$7:$T$32)</f>
        <v>65</v>
      </c>
      <c r="AM82" s="44">
        <f>SUMIF([1]헤몬팜마진!$B$7:$B$32,$C82,[1]헤몬팜마진!$U$7:$U$32)</f>
        <v>330</v>
      </c>
      <c r="AN82" s="38"/>
      <c r="AO82" s="52">
        <v>538830</v>
      </c>
      <c r="AP82" s="52">
        <v>2995</v>
      </c>
      <c r="AQ82" s="24"/>
      <c r="AR82" s="24"/>
      <c r="AS82" s="24"/>
      <c r="AT82" s="25"/>
      <c r="AU82" s="25"/>
      <c r="AV82" s="25"/>
      <c r="AW82" s="25"/>
      <c r="AX82" s="25"/>
      <c r="AY82" s="25"/>
      <c r="AZ82" s="25"/>
      <c r="BA82" s="25"/>
      <c r="BB82" s="25"/>
      <c r="BC82" s="25"/>
      <c r="BD82" s="25"/>
      <c r="BE82" s="25"/>
      <c r="BF82" s="25"/>
      <c r="BG82" s="25"/>
      <c r="BH82" s="25"/>
      <c r="BI82" s="25"/>
      <c r="BJ82" s="25"/>
      <c r="BK82" s="25"/>
    </row>
    <row r="83" spans="1:63" ht="28.5" customHeight="1">
      <c r="A83" s="47" t="s">
        <v>40</v>
      </c>
      <c r="B83" s="26"/>
      <c r="C83" s="27" t="s">
        <v>41</v>
      </c>
      <c r="D83" s="28" t="e">
        <f t="shared" si="106"/>
        <v>#DIV/0!</v>
      </c>
      <c r="E83" s="29" t="e">
        <f t="shared" si="107"/>
        <v>#DIV/0!</v>
      </c>
      <c r="F83" s="30" t="e">
        <f t="shared" si="108"/>
        <v>#DIV/0!</v>
      </c>
      <c r="G83" s="30" t="e">
        <f t="shared" si="109"/>
        <v>#DIV/0!</v>
      </c>
      <c r="H83" s="31">
        <v>1460</v>
      </c>
      <c r="I83" s="31">
        <f t="shared" si="110"/>
        <v>140</v>
      </c>
      <c r="J83" s="31">
        <f t="shared" si="111"/>
        <v>280</v>
      </c>
      <c r="K83" s="48">
        <v>325</v>
      </c>
      <c r="L83" s="48">
        <v>0</v>
      </c>
      <c r="M83" s="49"/>
      <c r="N83" s="34">
        <v>20</v>
      </c>
      <c r="O83" s="45"/>
      <c r="P83" s="36">
        <f t="shared" si="112"/>
        <v>0</v>
      </c>
      <c r="Q83" s="38"/>
      <c r="R83" s="50"/>
      <c r="S83" s="38"/>
      <c r="T83" s="39">
        <f t="shared" si="113"/>
        <v>0</v>
      </c>
      <c r="U83" s="36">
        <f t="shared" si="114"/>
        <v>0</v>
      </c>
      <c r="V83" s="39">
        <f t="shared" si="115"/>
        <v>0</v>
      </c>
      <c r="W83" s="51">
        <v>22700</v>
      </c>
      <c r="X83" s="39">
        <f>SUMIF([1]헤몬팜마진!$B$7:$B$32,$C83,[1]헤몬팜마진!$R$7:$R$32)</f>
        <v>7081</v>
      </c>
      <c r="Y83" s="39">
        <f t="shared" si="116"/>
        <v>0</v>
      </c>
      <c r="Z83" s="39">
        <f t="shared" si="117"/>
        <v>0</v>
      </c>
      <c r="AA83" s="98"/>
      <c r="AB83" s="38"/>
      <c r="AC83" s="40">
        <f t="shared" si="118"/>
        <v>0</v>
      </c>
      <c r="AD83" s="41">
        <v>0.1</v>
      </c>
      <c r="AE83" s="36">
        <f>2950*(P83)</f>
        <v>0</v>
      </c>
      <c r="AF83" s="28" t="e">
        <f t="shared" si="119"/>
        <v>#DIV/0!</v>
      </c>
      <c r="AG83" s="39">
        <f t="shared" si="120"/>
        <v>0</v>
      </c>
      <c r="AH83" s="39">
        <f t="shared" si="121"/>
        <v>0</v>
      </c>
      <c r="AI83" s="39">
        <f>SUMIF([1]헤몬팜마진!$B$7:$B$32,$C83,[1]헤몬팜마진!$V$7:$V$32)</f>
        <v>7377</v>
      </c>
      <c r="AJ83" s="39">
        <f t="shared" si="122"/>
        <v>0</v>
      </c>
      <c r="AK83" s="42">
        <f t="shared" si="123"/>
        <v>0</v>
      </c>
      <c r="AL83" s="43">
        <f>SUMIF([1]헤몬팜마진!$B$7:$B$32,$C83,[1]헤몬팜마진!$T$7:$T$32)</f>
        <v>49</v>
      </c>
      <c r="AM83" s="44">
        <f>SUMIF([1]헤몬팜마진!$B$7:$B$32,$C83,[1]헤몬팜마진!$U$7:$U$32)</f>
        <v>248</v>
      </c>
      <c r="AN83" s="38"/>
      <c r="AO83" s="52"/>
      <c r="AP83" s="52"/>
      <c r="AQ83" s="24"/>
      <c r="AR83" s="24"/>
      <c r="AS83" s="24"/>
      <c r="AT83" s="25"/>
      <c r="AU83" s="25"/>
      <c r="AV83" s="25"/>
      <c r="AW83" s="25"/>
      <c r="AX83" s="25"/>
      <c r="AY83" s="25"/>
      <c r="AZ83" s="25"/>
      <c r="BA83" s="25"/>
      <c r="BB83" s="25"/>
      <c r="BC83" s="25"/>
      <c r="BD83" s="25"/>
      <c r="BE83" s="25"/>
      <c r="BF83" s="25"/>
      <c r="BG83" s="25"/>
      <c r="BH83" s="25"/>
      <c r="BI83" s="25"/>
      <c r="BJ83" s="25"/>
      <c r="BK83" s="25"/>
    </row>
    <row r="84" spans="1:63" ht="28.5" customHeight="1">
      <c r="A84" s="47" t="s">
        <v>42</v>
      </c>
      <c r="B84" s="54"/>
      <c r="C84" s="27" t="s">
        <v>43</v>
      </c>
      <c r="D84" s="28">
        <f t="shared" si="106"/>
        <v>0.21973045057562529</v>
      </c>
      <c r="E84" s="29">
        <f t="shared" si="107"/>
        <v>0.38830905319571263</v>
      </c>
      <c r="F84" s="30">
        <f t="shared" si="108"/>
        <v>0.16857860262008734</v>
      </c>
      <c r="G84" s="30">
        <f t="shared" si="109"/>
        <v>9.5238095238095247E-3</v>
      </c>
      <c r="H84" s="31">
        <v>0</v>
      </c>
      <c r="I84" s="31">
        <f t="shared" si="110"/>
        <v>105</v>
      </c>
      <c r="J84" s="31">
        <f t="shared" si="111"/>
        <v>210</v>
      </c>
      <c r="K84" s="99">
        <v>430</v>
      </c>
      <c r="L84" s="32">
        <f>40+3+3</f>
        <v>46</v>
      </c>
      <c r="M84" s="33"/>
      <c r="N84" s="34">
        <v>15</v>
      </c>
      <c r="O84" s="45">
        <v>3</v>
      </c>
      <c r="P84" s="36">
        <f t="shared" si="112"/>
        <v>3</v>
      </c>
      <c r="Q84" s="38">
        <v>1</v>
      </c>
      <c r="R84" s="56">
        <v>1</v>
      </c>
      <c r="S84" s="38"/>
      <c r="T84" s="39">
        <f t="shared" si="113"/>
        <v>137400</v>
      </c>
      <c r="U84" s="36">
        <f t="shared" si="114"/>
        <v>0</v>
      </c>
      <c r="V84" s="39">
        <f t="shared" si="115"/>
        <v>137400</v>
      </c>
      <c r="W84" s="51">
        <v>45800</v>
      </c>
      <c r="X84" s="39">
        <f>SUMIF([1]헤몬팜마진!$B$7:$B$32,$C84,[1]헤몬팜마진!$R$7:$R$32)</f>
        <v>9990</v>
      </c>
      <c r="Y84" s="39">
        <f t="shared" si="116"/>
        <v>51996</v>
      </c>
      <c r="Z84" s="39">
        <f t="shared" si="117"/>
        <v>23162.7</v>
      </c>
      <c r="AA84" s="98">
        <v>21057</v>
      </c>
      <c r="AB84" s="38"/>
      <c r="AC84" s="40">
        <f t="shared" ref="AC84:AC98" si="124">(1210+1100)*Q84</f>
        <v>2310</v>
      </c>
      <c r="AD84" s="41">
        <v>0.11</v>
      </c>
      <c r="AE84" s="36">
        <f t="shared" ref="AE84:AE86" si="125">4150*(P84)</f>
        <v>12450</v>
      </c>
      <c r="AF84" s="28">
        <f t="shared" si="119"/>
        <v>0.2006113537117904</v>
      </c>
      <c r="AG84" s="39">
        <f t="shared" si="120"/>
        <v>27564.03</v>
      </c>
      <c r="AH84" s="39">
        <f t="shared" si="121"/>
        <v>4486.30609090909</v>
      </c>
      <c r="AI84" s="39">
        <f>SUMIF([1]헤몬팜마진!$B$7:$B$32,$C84,[1]헤몬팜마진!$V$7:$V$32)</f>
        <v>17332</v>
      </c>
      <c r="AJ84" s="39">
        <f t="shared" si="122"/>
        <v>53353.663909090916</v>
      </c>
      <c r="AK84" s="42">
        <f t="shared" si="123"/>
        <v>30190.963909090915</v>
      </c>
      <c r="AL84" s="43">
        <f>SUMIF([1]헤몬팜마진!$B$7:$B$32,$C84,[1]헤몬팜마진!$T$7:$T$32)</f>
        <v>162</v>
      </c>
      <c r="AM84" s="44">
        <f>SUMIF([1]헤몬팜마진!$B$7:$B$32,$C84,[1]헤몬팜마진!$U$7:$U$32)</f>
        <v>827</v>
      </c>
      <c r="AN84" s="38"/>
      <c r="AO84" s="52">
        <v>14257</v>
      </c>
      <c r="AP84" s="52">
        <v>105</v>
      </c>
      <c r="AQ84" s="24"/>
      <c r="AR84" s="24"/>
      <c r="AS84" s="24"/>
      <c r="AT84" s="25"/>
      <c r="AU84" s="25"/>
      <c r="AV84" s="25"/>
      <c r="AW84" s="25"/>
      <c r="AX84" s="25"/>
      <c r="AY84" s="25"/>
      <c r="AZ84" s="25"/>
      <c r="BA84" s="25"/>
      <c r="BB84" s="25"/>
      <c r="BC84" s="25"/>
      <c r="BD84" s="25"/>
      <c r="BE84" s="25"/>
      <c r="BF84" s="25"/>
      <c r="BG84" s="25"/>
      <c r="BH84" s="25"/>
      <c r="BI84" s="25"/>
      <c r="BJ84" s="25"/>
      <c r="BK84" s="25"/>
    </row>
    <row r="85" spans="1:63" ht="28.5" customHeight="1">
      <c r="A85" s="47"/>
      <c r="B85" s="58"/>
      <c r="C85" s="27" t="s">
        <v>44</v>
      </c>
      <c r="D85" s="28">
        <f t="shared" si="106"/>
        <v>-2.477635230510232E-2</v>
      </c>
      <c r="E85" s="29">
        <f t="shared" si="107"/>
        <v>0.31462927447552447</v>
      </c>
      <c r="F85" s="30">
        <f t="shared" si="108"/>
        <v>0.3394056267806268</v>
      </c>
      <c r="G85" s="30">
        <f t="shared" si="109"/>
        <v>0.02</v>
      </c>
      <c r="H85" s="31">
        <v>0</v>
      </c>
      <c r="I85" s="31">
        <f t="shared" si="110"/>
        <v>105</v>
      </c>
      <c r="J85" s="31">
        <f t="shared" si="111"/>
        <v>210</v>
      </c>
      <c r="K85" s="100"/>
      <c r="L85" s="32">
        <f>13+2</f>
        <v>15</v>
      </c>
      <c r="M85" s="33"/>
      <c r="N85" s="34">
        <v>15</v>
      </c>
      <c r="O85" s="45">
        <v>6</v>
      </c>
      <c r="P85" s="36">
        <f t="shared" si="112"/>
        <v>6</v>
      </c>
      <c r="Q85" s="45">
        <v>2</v>
      </c>
      <c r="R85" s="37">
        <v>6</v>
      </c>
      <c r="S85" s="38"/>
      <c r="T85" s="39">
        <f t="shared" si="113"/>
        <v>280800</v>
      </c>
      <c r="U85" s="36">
        <f t="shared" si="114"/>
        <v>0</v>
      </c>
      <c r="V85" s="39">
        <f t="shared" si="115"/>
        <v>280800</v>
      </c>
      <c r="W85" s="51">
        <v>46800</v>
      </c>
      <c r="X85" s="39">
        <f>SUMIF([1]헤몬팜마진!$B$7:$B$32,$C85,[1]헤몬팜마진!$R$7:$R$32)</f>
        <v>9990</v>
      </c>
      <c r="Y85" s="39">
        <f t="shared" si="116"/>
        <v>129792</v>
      </c>
      <c r="Z85" s="39">
        <f t="shared" si="117"/>
        <v>95305.1</v>
      </c>
      <c r="AA85" s="98">
        <v>86641</v>
      </c>
      <c r="AB85" s="38"/>
      <c r="AC85" s="40">
        <f t="shared" si="124"/>
        <v>4620</v>
      </c>
      <c r="AD85" s="41">
        <v>0.11</v>
      </c>
      <c r="AE85" s="36">
        <f t="shared" si="125"/>
        <v>24900</v>
      </c>
      <c r="AF85" s="28">
        <f t="shared" si="119"/>
        <v>0.19867521367521368</v>
      </c>
      <c r="AG85" s="39">
        <f t="shared" si="120"/>
        <v>55788.03</v>
      </c>
      <c r="AH85" s="39">
        <f t="shared" si="121"/>
        <v>6872.0697272727266</v>
      </c>
      <c r="AI85" s="39">
        <f>SUMIF([1]헤몬팜마진!$B$7:$B$32,$C85,[1]헤몬팜마진!$V$7:$V$32)</f>
        <v>21632</v>
      </c>
      <c r="AJ85" s="39">
        <f t="shared" si="122"/>
        <v>88347.900272727275</v>
      </c>
      <c r="AK85" s="60">
        <f t="shared" si="123"/>
        <v>-6957.1997272727313</v>
      </c>
      <c r="AL85" s="43">
        <f>SUMIF([1]헤몬팜마진!$B$7:$B$32,$C85,[1]헤몬팜마진!$T$7:$T$32)</f>
        <v>162</v>
      </c>
      <c r="AM85" s="44">
        <f>SUMIF([1]헤몬팜마진!$B$7:$B$32,$C85,[1]헤몬팜마진!$U$7:$U$32)</f>
        <v>827</v>
      </c>
      <c r="AN85" s="38"/>
      <c r="AO85" s="52">
        <v>96645</v>
      </c>
      <c r="AP85" s="52">
        <v>300</v>
      </c>
      <c r="AQ85" s="24"/>
      <c r="AR85" s="24"/>
      <c r="AS85" s="24"/>
      <c r="AT85" s="25"/>
      <c r="AU85" s="25"/>
      <c r="AV85" s="25"/>
      <c r="AW85" s="25"/>
      <c r="AX85" s="25"/>
      <c r="AY85" s="25"/>
      <c r="AZ85" s="25"/>
      <c r="BA85" s="25"/>
      <c r="BB85" s="25"/>
      <c r="BC85" s="25"/>
      <c r="BD85" s="25"/>
      <c r="BE85" s="25"/>
      <c r="BF85" s="25"/>
      <c r="BG85" s="25"/>
      <c r="BH85" s="25"/>
      <c r="BI85" s="25"/>
      <c r="BJ85" s="25"/>
      <c r="BK85" s="25"/>
    </row>
    <row r="86" spans="1:63" ht="28.5" customHeight="1">
      <c r="A86" s="47" t="s">
        <v>50</v>
      </c>
      <c r="B86" s="101"/>
      <c r="C86" s="27" t="s">
        <v>51</v>
      </c>
      <c r="D86" s="65">
        <f t="shared" si="106"/>
        <v>6.7623436729100053E-2</v>
      </c>
      <c r="E86" s="29">
        <f t="shared" si="107"/>
        <v>0.40132695431703974</v>
      </c>
      <c r="F86" s="30">
        <f t="shared" si="108"/>
        <v>0.3337035175879397</v>
      </c>
      <c r="G86" s="30">
        <f t="shared" si="109"/>
        <v>1.8691588785046728E-2</v>
      </c>
      <c r="H86" s="61">
        <v>0</v>
      </c>
      <c r="I86" s="31">
        <f t="shared" si="110"/>
        <v>140</v>
      </c>
      <c r="J86" s="31">
        <f t="shared" si="111"/>
        <v>280</v>
      </c>
      <c r="K86" s="99">
        <v>343</v>
      </c>
      <c r="L86" s="48">
        <f>97+42+48+31+19+10</f>
        <v>247</v>
      </c>
      <c r="M86" s="49"/>
      <c r="N86" s="34">
        <v>20</v>
      </c>
      <c r="O86" s="45">
        <v>5</v>
      </c>
      <c r="P86" s="36">
        <f t="shared" si="112"/>
        <v>5</v>
      </c>
      <c r="Q86" s="45">
        <v>1</v>
      </c>
      <c r="R86" s="37">
        <v>2</v>
      </c>
      <c r="S86" s="38"/>
      <c r="T86" s="39">
        <f t="shared" si="113"/>
        <v>199000</v>
      </c>
      <c r="U86" s="36">
        <f t="shared" si="114"/>
        <v>0</v>
      </c>
      <c r="V86" s="39">
        <f t="shared" si="115"/>
        <v>199000</v>
      </c>
      <c r="W86" s="51">
        <v>39800</v>
      </c>
      <c r="X86" s="39">
        <f>SUMIF([1]헤몬팜마진!$B$7:$B$32,$C86,[1]헤몬팜마진!$R$7:$R$32)</f>
        <v>7855</v>
      </c>
      <c r="Y86" s="39">
        <f t="shared" si="116"/>
        <v>75700</v>
      </c>
      <c r="Z86" s="39">
        <f t="shared" si="117"/>
        <v>66407</v>
      </c>
      <c r="AA86" s="98">
        <v>60370</v>
      </c>
      <c r="AB86" s="63"/>
      <c r="AC86" s="40">
        <f t="shared" si="124"/>
        <v>2310</v>
      </c>
      <c r="AD86" s="41">
        <v>0.08</v>
      </c>
      <c r="AE86" s="36">
        <f t="shared" si="125"/>
        <v>20750</v>
      </c>
      <c r="AF86" s="28">
        <f t="shared" si="119"/>
        <v>0.18427135678391959</v>
      </c>
      <c r="AG86" s="39">
        <f t="shared" si="120"/>
        <v>36670.03</v>
      </c>
      <c r="AH86" s="39">
        <f t="shared" si="121"/>
        <v>6765.9060909090877</v>
      </c>
      <c r="AI86" s="39">
        <f>SUMIF([1]헤몬팜마진!$B$7:$B$32,$C86,[1]헤몬팜마진!$V$7:$V$32)</f>
        <v>15140</v>
      </c>
      <c r="AJ86" s="39">
        <f t="shared" si="122"/>
        <v>79864.06390909091</v>
      </c>
      <c r="AK86" s="42">
        <f t="shared" si="123"/>
        <v>13457.06390909091</v>
      </c>
      <c r="AL86" s="43">
        <f>SUMIF([1]헤몬팜마진!$B$7:$B$32,$C86,[1]헤몬팜마진!$T$7:$T$32)</f>
        <v>176</v>
      </c>
      <c r="AM86" s="44">
        <f>SUMIF([1]헤몬팜마진!$B$7:$B$32,$C86,[1]헤몬팜마진!$U$7:$U$32)</f>
        <v>900</v>
      </c>
      <c r="AN86" s="38"/>
      <c r="AO86" s="52">
        <v>32973</v>
      </c>
      <c r="AP86" s="52">
        <v>107</v>
      </c>
      <c r="AQ86" s="24"/>
      <c r="AR86" s="24"/>
      <c r="AS86" s="24"/>
      <c r="AT86" s="25"/>
      <c r="AU86" s="25"/>
      <c r="AV86" s="25"/>
      <c r="AW86" s="25"/>
      <c r="AX86" s="25"/>
      <c r="AY86" s="25"/>
      <c r="AZ86" s="25"/>
      <c r="BA86" s="25"/>
      <c r="BB86" s="25"/>
      <c r="BC86" s="25"/>
      <c r="BD86" s="25"/>
      <c r="BE86" s="25"/>
      <c r="BF86" s="25"/>
      <c r="BG86" s="25"/>
      <c r="BH86" s="25"/>
      <c r="BI86" s="25"/>
      <c r="BJ86" s="25"/>
      <c r="BK86" s="25"/>
    </row>
    <row r="87" spans="1:63" ht="28.5" customHeight="1">
      <c r="A87" s="47"/>
      <c r="B87" s="102"/>
      <c r="C87" s="27" t="s">
        <v>52</v>
      </c>
      <c r="D87" s="28">
        <f t="shared" si="106"/>
        <v>3.208339549339545E-2</v>
      </c>
      <c r="E87" s="29">
        <f t="shared" si="107"/>
        <v>0.391587668997669</v>
      </c>
      <c r="F87" s="30">
        <f t="shared" si="108"/>
        <v>0.35950427350427355</v>
      </c>
      <c r="G87" s="30">
        <f t="shared" si="109"/>
        <v>3.3707865168539325E-2</v>
      </c>
      <c r="H87" s="103"/>
      <c r="I87" s="31">
        <f t="shared" si="110"/>
        <v>105</v>
      </c>
      <c r="J87" s="31">
        <f t="shared" si="111"/>
        <v>210</v>
      </c>
      <c r="K87" s="100"/>
      <c r="L87" s="48">
        <f>74+42+48+18+8+2</f>
        <v>192</v>
      </c>
      <c r="M87" s="49"/>
      <c r="N87" s="34">
        <v>15</v>
      </c>
      <c r="O87" s="38">
        <v>3</v>
      </c>
      <c r="P87" s="36">
        <f t="shared" si="112"/>
        <v>3</v>
      </c>
      <c r="Q87" s="38">
        <v>1</v>
      </c>
      <c r="R87" s="37">
        <v>3</v>
      </c>
      <c r="S87" s="38"/>
      <c r="T87" s="39">
        <f t="shared" si="113"/>
        <v>128700</v>
      </c>
      <c r="U87" s="36">
        <f t="shared" si="114"/>
        <v>0</v>
      </c>
      <c r="V87" s="39">
        <f t="shared" si="115"/>
        <v>128700</v>
      </c>
      <c r="W87" s="51">
        <v>42900</v>
      </c>
      <c r="X87" s="39">
        <f>SUMIF([1]헤몬팜마진!$B$7:$B$32,$C87,[1]헤몬팜마진!$R$7:$R$32)</f>
        <v>7855</v>
      </c>
      <c r="Y87" s="39">
        <f t="shared" si="116"/>
        <v>58323</v>
      </c>
      <c r="Z87" s="39">
        <f t="shared" si="117"/>
        <v>46268.200000000004</v>
      </c>
      <c r="AA87" s="98">
        <v>42062</v>
      </c>
      <c r="AB87" s="38"/>
      <c r="AC87" s="40">
        <f t="shared" si="124"/>
        <v>2310</v>
      </c>
      <c r="AD87" s="41">
        <v>7.8E-2</v>
      </c>
      <c r="AE87" s="36">
        <f>1900*(P87)</f>
        <v>5700</v>
      </c>
      <c r="AF87" s="28">
        <f t="shared" si="119"/>
        <v>0.12228904428904429</v>
      </c>
      <c r="AG87" s="39">
        <f t="shared" si="120"/>
        <v>15738.630000000001</v>
      </c>
      <c r="AH87" s="39">
        <f t="shared" si="121"/>
        <v>4241.0369999999994</v>
      </c>
      <c r="AI87" s="39">
        <f>SUMIF([1]헤몬팜마진!$B$7:$B$32,$C87,[1]헤몬팜마진!$V$7:$V$32)</f>
        <v>19441</v>
      </c>
      <c r="AJ87" s="39">
        <f t="shared" si="122"/>
        <v>50397.332999999999</v>
      </c>
      <c r="AK87" s="60">
        <f t="shared" si="123"/>
        <v>4129.1329999999944</v>
      </c>
      <c r="AL87" s="43">
        <f>SUMIF([1]헤몬팜마진!$B$7:$B$32,$C87,[1]헤몬팜마진!$T$7:$T$32)</f>
        <v>176</v>
      </c>
      <c r="AM87" s="44">
        <f>SUMIF([1]헤몬팜마진!$B$7:$B$32,$C87,[1]헤몬팜마진!$U$7:$U$32)</f>
        <v>900</v>
      </c>
      <c r="AN87" s="38"/>
      <c r="AO87" s="52">
        <v>49373</v>
      </c>
      <c r="AP87" s="52">
        <v>89</v>
      </c>
      <c r="AQ87" s="24"/>
      <c r="AR87" s="24"/>
      <c r="AS87" s="24"/>
      <c r="AT87" s="25"/>
      <c r="AU87" s="25"/>
      <c r="AV87" s="25"/>
      <c r="AW87" s="25"/>
      <c r="AX87" s="25"/>
      <c r="AY87" s="25"/>
      <c r="AZ87" s="25"/>
      <c r="BA87" s="25"/>
      <c r="BB87" s="25"/>
      <c r="BC87" s="25"/>
      <c r="BD87" s="25"/>
      <c r="BE87" s="25"/>
      <c r="BF87" s="25"/>
      <c r="BG87" s="25"/>
      <c r="BH87" s="25"/>
      <c r="BI87" s="25"/>
      <c r="BJ87" s="25"/>
      <c r="BK87" s="25"/>
    </row>
    <row r="88" spans="1:63" ht="28.5" customHeight="1">
      <c r="A88" s="1" t="s">
        <v>45</v>
      </c>
      <c r="B88" s="101"/>
      <c r="C88" s="27" t="s">
        <v>46</v>
      </c>
      <c r="D88" s="28" t="e">
        <f t="shared" si="106"/>
        <v>#DIV/0!</v>
      </c>
      <c r="E88" s="29" t="e">
        <f t="shared" si="107"/>
        <v>#DIV/0!</v>
      </c>
      <c r="F88" s="30" t="e">
        <f t="shared" si="108"/>
        <v>#DIV/0!</v>
      </c>
      <c r="G88" s="30" t="e">
        <f t="shared" si="109"/>
        <v>#DIV/0!</v>
      </c>
      <c r="H88" s="61">
        <v>3504</v>
      </c>
      <c r="I88" s="31">
        <f t="shared" si="110"/>
        <v>210</v>
      </c>
      <c r="J88" s="31">
        <f t="shared" si="111"/>
        <v>420</v>
      </c>
      <c r="K88" s="99">
        <v>626</v>
      </c>
      <c r="L88" s="48">
        <f>30+13+6</f>
        <v>49</v>
      </c>
      <c r="M88" s="49"/>
      <c r="N88" s="62">
        <v>30</v>
      </c>
      <c r="O88" s="45">
        <v>0</v>
      </c>
      <c r="P88" s="36">
        <f t="shared" si="112"/>
        <v>0</v>
      </c>
      <c r="Q88" s="38"/>
      <c r="R88" s="56"/>
      <c r="S88" s="38"/>
      <c r="T88" s="39">
        <f t="shared" si="113"/>
        <v>0</v>
      </c>
      <c r="U88" s="36">
        <f t="shared" si="114"/>
        <v>0</v>
      </c>
      <c r="V88" s="39">
        <f t="shared" si="115"/>
        <v>0</v>
      </c>
      <c r="W88" s="51">
        <v>59800</v>
      </c>
      <c r="X88" s="39">
        <f>SUMIF([1]헤몬팜마진!$B$7:$B$32,$C88,[1]헤몬팜마진!$R$7:$R$32)</f>
        <v>13276</v>
      </c>
      <c r="Y88" s="39">
        <f t="shared" si="116"/>
        <v>0</v>
      </c>
      <c r="Z88" s="39">
        <f t="shared" si="117"/>
        <v>0</v>
      </c>
      <c r="AA88" s="98"/>
      <c r="AB88" s="63"/>
      <c r="AC88" s="40">
        <f t="shared" si="124"/>
        <v>0</v>
      </c>
      <c r="AD88" s="41">
        <v>0.108</v>
      </c>
      <c r="AE88" s="36">
        <f t="shared" ref="AE88:AE89" si="126">4825*(P88)</f>
        <v>0</v>
      </c>
      <c r="AF88" s="28" t="e">
        <f t="shared" si="119"/>
        <v>#DIV/0!</v>
      </c>
      <c r="AG88" s="39">
        <f t="shared" si="120"/>
        <v>0</v>
      </c>
      <c r="AH88" s="39">
        <f t="shared" si="121"/>
        <v>0</v>
      </c>
      <c r="AI88" s="39">
        <f>SUMIF([1]헤몬팜마진!$B$7:$B$32,$C88,[1]헤몬팜마진!$V$7:$V$32)</f>
        <v>21956</v>
      </c>
      <c r="AJ88" s="39">
        <f t="shared" si="122"/>
        <v>0</v>
      </c>
      <c r="AK88" s="42">
        <f t="shared" si="123"/>
        <v>0</v>
      </c>
      <c r="AL88" s="43">
        <f>SUMIF([1]헤몬팜마진!$B$7:$B$32,$C88,[1]헤몬팜마진!$T$7:$T$32)</f>
        <v>372</v>
      </c>
      <c r="AM88" s="44">
        <f>SUMIF([1]헤몬팜마진!$B$7:$B$32,$C88,[1]헤몬팜마진!$U$7:$U$32)</f>
        <v>1896</v>
      </c>
      <c r="AN88" s="38"/>
      <c r="AO88" s="45"/>
      <c r="AP88" s="46"/>
      <c r="AQ88" s="24"/>
      <c r="AR88" s="24"/>
      <c r="AS88" s="24"/>
      <c r="AT88" s="25"/>
      <c r="AU88" s="25"/>
      <c r="AV88" s="25"/>
      <c r="AW88" s="25"/>
      <c r="AX88" s="25"/>
      <c r="AY88" s="25"/>
      <c r="AZ88" s="25"/>
      <c r="BA88" s="25"/>
      <c r="BB88" s="25"/>
      <c r="BC88" s="25"/>
      <c r="BD88" s="25"/>
      <c r="BE88" s="25"/>
      <c r="BF88" s="25"/>
      <c r="BG88" s="25"/>
      <c r="BH88" s="25"/>
      <c r="BI88" s="25"/>
      <c r="BJ88" s="25"/>
      <c r="BK88" s="25"/>
    </row>
    <row r="89" spans="1:63" ht="28.5" customHeight="1">
      <c r="A89" s="1" t="s">
        <v>45</v>
      </c>
      <c r="B89" s="102"/>
      <c r="C89" s="27" t="s">
        <v>47</v>
      </c>
      <c r="D89" s="28">
        <f t="shared" si="106"/>
        <v>-0.23208339586753182</v>
      </c>
      <c r="E89" s="29">
        <f t="shared" si="107"/>
        <v>0.41153798561713428</v>
      </c>
      <c r="F89" s="30">
        <f t="shared" si="108"/>
        <v>0.64362138148466608</v>
      </c>
      <c r="G89" s="30">
        <f t="shared" si="109"/>
        <v>2.1276595744680851E-2</v>
      </c>
      <c r="H89" s="31">
        <v>0</v>
      </c>
      <c r="I89" s="31">
        <f t="shared" si="110"/>
        <v>210</v>
      </c>
      <c r="J89" s="31">
        <f t="shared" si="111"/>
        <v>420</v>
      </c>
      <c r="K89" s="100"/>
      <c r="L89" s="48">
        <f>4+11+18+38+129</f>
        <v>200</v>
      </c>
      <c r="M89" s="49"/>
      <c r="N89" s="34">
        <v>30</v>
      </c>
      <c r="O89" s="45">
        <v>1</v>
      </c>
      <c r="P89" s="36">
        <f t="shared" si="112"/>
        <v>1</v>
      </c>
      <c r="Q89" s="38"/>
      <c r="R89" s="56">
        <v>1</v>
      </c>
      <c r="S89" s="38"/>
      <c r="T89" s="39">
        <f t="shared" si="113"/>
        <v>69780</v>
      </c>
      <c r="U89" s="36">
        <f t="shared" si="114"/>
        <v>0</v>
      </c>
      <c r="V89" s="39">
        <f t="shared" si="115"/>
        <v>69780</v>
      </c>
      <c r="W89" s="51">
        <v>69780</v>
      </c>
      <c r="X89" s="39">
        <f>SUMIF([1]헤몬팜마진!$B$7:$B$32,$C89,[1]헤몬팜마진!$R$7:$R$32)</f>
        <v>13276</v>
      </c>
      <c r="Y89" s="39">
        <f t="shared" si="116"/>
        <v>26257</v>
      </c>
      <c r="Z89" s="39">
        <f t="shared" si="117"/>
        <v>44911.9</v>
      </c>
      <c r="AA89" s="98">
        <v>40829</v>
      </c>
      <c r="AB89" s="38"/>
      <c r="AC89" s="40">
        <f t="shared" si="124"/>
        <v>0</v>
      </c>
      <c r="AD89" s="41">
        <v>0.108</v>
      </c>
      <c r="AE89" s="36">
        <f t="shared" si="126"/>
        <v>4825</v>
      </c>
      <c r="AF89" s="28">
        <f t="shared" si="119"/>
        <v>0.17714588707366008</v>
      </c>
      <c r="AG89" s="39">
        <f t="shared" si="120"/>
        <v>12361.27</v>
      </c>
      <c r="AH89" s="39">
        <f t="shared" si="121"/>
        <v>2444.6093636363635</v>
      </c>
      <c r="AI89" s="39">
        <f>SUMIF([1]헤몬팜마진!$B$7:$B$32,$C89,[1]헤몬팜마진!$V$7:$V$32)</f>
        <v>26257</v>
      </c>
      <c r="AJ89" s="39">
        <f t="shared" si="122"/>
        <v>28717.12063636363</v>
      </c>
      <c r="AK89" s="42">
        <f t="shared" si="123"/>
        <v>-16194.779363636371</v>
      </c>
      <c r="AL89" s="43">
        <f>SUMIF([1]헤몬팜마진!$B$7:$B$32,$C89,[1]헤몬팜마진!$T$7:$T$32)</f>
        <v>372</v>
      </c>
      <c r="AM89" s="44">
        <f>SUMIF([1]헤몬팜마진!$B$7:$B$32,$C89,[1]헤몬팜마진!$U$7:$U$32)</f>
        <v>1896</v>
      </c>
      <c r="AN89" s="38"/>
      <c r="AO89" s="52">
        <v>17242</v>
      </c>
      <c r="AP89" s="52">
        <v>47</v>
      </c>
      <c r="AQ89" s="24"/>
      <c r="AR89" s="24"/>
      <c r="AS89" s="24"/>
      <c r="AT89" s="25"/>
      <c r="AU89" s="25"/>
      <c r="AV89" s="25"/>
      <c r="AW89" s="25"/>
      <c r="AX89" s="25"/>
      <c r="AY89" s="25"/>
      <c r="AZ89" s="25"/>
      <c r="BA89" s="25"/>
      <c r="BB89" s="25"/>
      <c r="BC89" s="25"/>
      <c r="BD89" s="25"/>
      <c r="BE89" s="25"/>
      <c r="BF89" s="25"/>
      <c r="BG89" s="25"/>
      <c r="BH89" s="25"/>
      <c r="BI89" s="25"/>
      <c r="BJ89" s="25"/>
      <c r="BK89" s="25"/>
    </row>
    <row r="90" spans="1:63" ht="28.5" customHeight="1">
      <c r="A90" s="47" t="s">
        <v>48</v>
      </c>
      <c r="B90" s="26"/>
      <c r="C90" s="27" t="s">
        <v>49</v>
      </c>
      <c r="D90" s="28">
        <f t="shared" si="106"/>
        <v>-0.20368027232624003</v>
      </c>
      <c r="E90" s="29">
        <f t="shared" si="107"/>
        <v>0.39082620685765851</v>
      </c>
      <c r="F90" s="30">
        <f t="shared" si="108"/>
        <v>0.59450647918389854</v>
      </c>
      <c r="G90" s="30">
        <f t="shared" si="109"/>
        <v>5.1948051948051951E-2</v>
      </c>
      <c r="H90" s="31">
        <v>500</v>
      </c>
      <c r="I90" s="31">
        <f t="shared" si="110"/>
        <v>105</v>
      </c>
      <c r="J90" s="31">
        <f t="shared" si="111"/>
        <v>210</v>
      </c>
      <c r="K90" s="48">
        <v>577</v>
      </c>
      <c r="L90" s="48">
        <v>211</v>
      </c>
      <c r="M90" s="49"/>
      <c r="N90" s="34">
        <v>15</v>
      </c>
      <c r="O90" s="45">
        <v>9</v>
      </c>
      <c r="P90" s="36">
        <f t="shared" si="112"/>
        <v>9</v>
      </c>
      <c r="Q90" s="45"/>
      <c r="R90" s="37">
        <v>8</v>
      </c>
      <c r="S90" s="45"/>
      <c r="T90" s="39">
        <f t="shared" si="113"/>
        <v>145080</v>
      </c>
      <c r="U90" s="36">
        <f t="shared" si="114"/>
        <v>0</v>
      </c>
      <c r="V90" s="39">
        <f t="shared" si="115"/>
        <v>145080</v>
      </c>
      <c r="W90" s="51">
        <v>16120</v>
      </c>
      <c r="X90" s="39">
        <f>SUMIF([1]헤몬팜마진!$B$7:$B$32,$C90,[1]헤몬팜마진!$R$7:$R$32)</f>
        <v>5089</v>
      </c>
      <c r="Y90" s="39">
        <f t="shared" si="116"/>
        <v>46134</v>
      </c>
      <c r="Z90" s="39">
        <f t="shared" si="117"/>
        <v>86251</v>
      </c>
      <c r="AA90" s="98">
        <v>78410</v>
      </c>
      <c r="AB90" s="64"/>
      <c r="AC90" s="40">
        <f t="shared" si="124"/>
        <v>0</v>
      </c>
      <c r="AD90" s="41">
        <v>7.8E-2</v>
      </c>
      <c r="AE90" s="36">
        <f>2900*(P90)</f>
        <v>26100</v>
      </c>
      <c r="AF90" s="28">
        <f t="shared" si="119"/>
        <v>0.25790074441687344</v>
      </c>
      <c r="AG90" s="39">
        <f t="shared" si="120"/>
        <v>37416.269999999997</v>
      </c>
      <c r="AH90" s="39">
        <f t="shared" si="121"/>
        <v>4828.6639090909102</v>
      </c>
      <c r="AI90" s="39">
        <f>SUMIF([1]헤몬팜마진!$B$7:$B$32,$C90,[1]헤몬팜마진!$V$7:$V$32)</f>
        <v>5126</v>
      </c>
      <c r="AJ90" s="39">
        <f t="shared" si="122"/>
        <v>56701.066090909095</v>
      </c>
      <c r="AK90" s="60">
        <f t="shared" si="123"/>
        <v>-29549.933909090905</v>
      </c>
      <c r="AL90" s="43">
        <f>SUMIF([1]헤몬팜마진!$B$7:$B$32,$C90,[1]헤몬팜마진!$T$7:$T$32)</f>
        <v>6</v>
      </c>
      <c r="AM90" s="44">
        <f>SUMIF([1]헤몬팜마진!$B$7:$B$32,$C90,[1]헤몬팜마진!$U$7:$U$32)</f>
        <v>31</v>
      </c>
      <c r="AN90" s="38"/>
      <c r="AO90" s="52">
        <v>54223</v>
      </c>
      <c r="AP90" s="52">
        <v>154</v>
      </c>
      <c r="AQ90" s="24"/>
      <c r="AR90" s="24"/>
      <c r="AS90" s="24"/>
      <c r="AT90" s="25"/>
      <c r="AU90" s="25"/>
      <c r="AV90" s="25"/>
      <c r="AW90" s="25"/>
      <c r="AX90" s="25"/>
      <c r="AY90" s="25"/>
      <c r="AZ90" s="25"/>
      <c r="BA90" s="25"/>
      <c r="BB90" s="25"/>
      <c r="BC90" s="25"/>
      <c r="BD90" s="25"/>
      <c r="BE90" s="25"/>
      <c r="BF90" s="25"/>
      <c r="BG90" s="25"/>
      <c r="BH90" s="25"/>
      <c r="BI90" s="25"/>
      <c r="BJ90" s="25"/>
      <c r="BK90" s="25"/>
    </row>
    <row r="91" spans="1:63" ht="28.5" customHeight="1">
      <c r="A91" s="47" t="s">
        <v>53</v>
      </c>
      <c r="B91" s="26"/>
      <c r="C91" s="27" t="s">
        <v>54</v>
      </c>
      <c r="D91" s="28">
        <f t="shared" si="106"/>
        <v>4.2958997632575803E-2</v>
      </c>
      <c r="E91" s="29">
        <f t="shared" si="107"/>
        <v>0.36300743513257583</v>
      </c>
      <c r="F91" s="30">
        <f t="shared" si="108"/>
        <v>0.3200484375</v>
      </c>
      <c r="G91" s="30">
        <f t="shared" si="109"/>
        <v>3.8095238095238099E-2</v>
      </c>
      <c r="H91" s="31">
        <v>1750</v>
      </c>
      <c r="I91" s="31">
        <f t="shared" si="110"/>
        <v>350</v>
      </c>
      <c r="J91" s="31">
        <f t="shared" si="111"/>
        <v>700</v>
      </c>
      <c r="K91" s="48">
        <v>1449</v>
      </c>
      <c r="L91" s="48">
        <v>1217</v>
      </c>
      <c r="M91" s="49"/>
      <c r="N91" s="34">
        <v>50</v>
      </c>
      <c r="O91" s="45">
        <v>10</v>
      </c>
      <c r="P91" s="36">
        <f t="shared" si="112"/>
        <v>10</v>
      </c>
      <c r="Q91" s="38">
        <v>5</v>
      </c>
      <c r="R91" s="37">
        <v>4</v>
      </c>
      <c r="S91" s="38"/>
      <c r="T91" s="39">
        <f t="shared" si="113"/>
        <v>192000</v>
      </c>
      <c r="U91" s="36">
        <f t="shared" si="114"/>
        <v>0</v>
      </c>
      <c r="V91" s="39">
        <f t="shared" si="115"/>
        <v>192000</v>
      </c>
      <c r="W91" s="51">
        <v>19200</v>
      </c>
      <c r="X91" s="39">
        <f>SUMIF([1]헤몬팜마진!$B$7:$B$32,$C91,[1]헤몬팜마진!$R$7:$R$32)</f>
        <v>6373</v>
      </c>
      <c r="Y91" s="39">
        <f t="shared" si="116"/>
        <v>67710</v>
      </c>
      <c r="Z91" s="39">
        <f t="shared" si="117"/>
        <v>61449.3</v>
      </c>
      <c r="AA91" s="98">
        <v>55863</v>
      </c>
      <c r="AB91" s="38"/>
      <c r="AC91" s="40">
        <f t="shared" si="124"/>
        <v>11550</v>
      </c>
      <c r="AD91" s="41">
        <v>0.08</v>
      </c>
      <c r="AE91" s="36">
        <f>3350*(P91)</f>
        <v>33500</v>
      </c>
      <c r="AF91" s="28">
        <f t="shared" si="119"/>
        <v>0.25447916666666665</v>
      </c>
      <c r="AG91" s="39">
        <f t="shared" si="120"/>
        <v>48860.029999999992</v>
      </c>
      <c r="AH91" s="39">
        <f t="shared" si="121"/>
        <v>5732.5424545454516</v>
      </c>
      <c r="AI91" s="39">
        <f>SUMIF([1]헤몬팜마진!$B$7:$B$32,$C91,[1]헤몬팜마진!$V$7:$V$32)</f>
        <v>6771</v>
      </c>
      <c r="AJ91" s="39">
        <f t="shared" si="122"/>
        <v>69697.427545454557</v>
      </c>
      <c r="AK91" s="42">
        <f t="shared" si="123"/>
        <v>8248.1275454545539</v>
      </c>
      <c r="AL91" s="43">
        <f>SUMIF([1]헤몬팜마진!$B$7:$B$32,$C91,[1]헤몬팜마진!$T$7:$T$32)</f>
        <v>65</v>
      </c>
      <c r="AM91" s="44">
        <f>SUMIF([1]헤몬팜마진!$B$7:$B$32,$C91,[1]헤몬팜마진!$U$7:$U$32)</f>
        <v>333</v>
      </c>
      <c r="AN91" s="38"/>
      <c r="AO91" s="52">
        <v>52205</v>
      </c>
      <c r="AP91" s="52">
        <v>105</v>
      </c>
      <c r="AQ91" s="24"/>
      <c r="AR91" s="24"/>
      <c r="AS91" s="24"/>
      <c r="AT91" s="25"/>
      <c r="AU91" s="25"/>
      <c r="AV91" s="25"/>
      <c r="AW91" s="25"/>
      <c r="AX91" s="25"/>
      <c r="AY91" s="25"/>
      <c r="AZ91" s="25"/>
      <c r="BA91" s="25"/>
      <c r="BB91" s="25"/>
      <c r="BC91" s="25"/>
      <c r="BD91" s="25"/>
      <c r="BE91" s="25"/>
      <c r="BF91" s="25"/>
      <c r="BG91" s="25"/>
      <c r="BH91" s="25"/>
      <c r="BI91" s="25"/>
      <c r="BJ91" s="25"/>
      <c r="BK91" s="25"/>
    </row>
    <row r="92" spans="1:63" ht="28.5" customHeight="1">
      <c r="A92" s="53" t="s">
        <v>55</v>
      </c>
      <c r="B92" s="67"/>
      <c r="C92" s="27" t="s">
        <v>56</v>
      </c>
      <c r="D92" s="28">
        <f t="shared" si="106"/>
        <v>-0.19064558452838667</v>
      </c>
      <c r="E92" s="29">
        <f t="shared" si="107"/>
        <v>0.4171068040598408</v>
      </c>
      <c r="F92" s="30">
        <f t="shared" si="108"/>
        <v>0.60775238858822744</v>
      </c>
      <c r="G92" s="30">
        <f t="shared" si="109"/>
        <v>1.3422818791946308E-2</v>
      </c>
      <c r="H92" s="31">
        <v>0</v>
      </c>
      <c r="I92" s="31">
        <f t="shared" si="110"/>
        <v>70</v>
      </c>
      <c r="J92" s="31">
        <f t="shared" si="111"/>
        <v>140</v>
      </c>
      <c r="K92" s="68">
        <v>494</v>
      </c>
      <c r="L92" s="48">
        <v>0</v>
      </c>
      <c r="M92" s="49"/>
      <c r="N92" s="34">
        <v>10</v>
      </c>
      <c r="O92" s="38">
        <v>3</v>
      </c>
      <c r="P92" s="36">
        <f t="shared" si="112"/>
        <v>3</v>
      </c>
      <c r="Q92" s="38">
        <v>1</v>
      </c>
      <c r="R92" s="37">
        <v>2</v>
      </c>
      <c r="S92" s="38"/>
      <c r="T92" s="39">
        <f t="shared" si="113"/>
        <v>149670</v>
      </c>
      <c r="U92" s="36">
        <f t="shared" si="114"/>
        <v>0</v>
      </c>
      <c r="V92" s="39">
        <f t="shared" si="115"/>
        <v>149670</v>
      </c>
      <c r="W92" s="51">
        <v>49890</v>
      </c>
      <c r="X92" s="39">
        <f>SUMIF([1]헤몬팜마진!$B$7:$B$32,$C92,[1]헤몬팜마진!$R$7:$R$32)</f>
        <v>12170</v>
      </c>
      <c r="Y92" s="39">
        <f t="shared" si="116"/>
        <v>55728</v>
      </c>
      <c r="Z92" s="39">
        <f t="shared" si="117"/>
        <v>90962.3</v>
      </c>
      <c r="AA92" s="98">
        <v>82693</v>
      </c>
      <c r="AB92" s="38"/>
      <c r="AC92" s="40">
        <f t="shared" si="124"/>
        <v>2310</v>
      </c>
      <c r="AD92" s="41">
        <v>7.8E-2</v>
      </c>
      <c r="AE92" s="36">
        <f t="shared" ref="AE92:AE93" si="127">4825*(P92)</f>
        <v>14475</v>
      </c>
      <c r="AF92" s="28">
        <f t="shared" si="119"/>
        <v>0.17471276808979755</v>
      </c>
      <c r="AG92" s="39">
        <f t="shared" si="120"/>
        <v>26149.289999999997</v>
      </c>
      <c r="AH92" s="39">
        <f t="shared" si="121"/>
        <v>5364.3346363636356</v>
      </c>
      <c r="AI92" s="39">
        <f>SUMIF([1]헤몬팜마진!$B$7:$B$32,$C92,[1]헤몬팜마진!$V$7:$V$32)</f>
        <v>18576</v>
      </c>
      <c r="AJ92" s="39">
        <f t="shared" si="122"/>
        <v>62428.375363636369</v>
      </c>
      <c r="AK92" s="60">
        <f t="shared" si="123"/>
        <v>-28533.924636363634</v>
      </c>
      <c r="AL92" s="43">
        <f>SUMIF([1]헤몬팜마진!$B$7:$B$32,$C92,[1]헤몬팜마진!$T$7:$T$32)</f>
        <v>181</v>
      </c>
      <c r="AM92" s="44">
        <f>SUMIF([1]헤몬팜마진!$B$7:$B$32,$C92,[1]헤몬팜마진!$U$7:$U$32)</f>
        <v>926</v>
      </c>
      <c r="AN92" s="38"/>
      <c r="AO92" s="52">
        <v>37605</v>
      </c>
      <c r="AP92" s="52">
        <v>149</v>
      </c>
      <c r="AQ92" s="24"/>
      <c r="AR92" s="24"/>
      <c r="AS92" s="24"/>
      <c r="AT92" s="25"/>
      <c r="AU92" s="25"/>
      <c r="AV92" s="25"/>
      <c r="AW92" s="25"/>
      <c r="AX92" s="25"/>
      <c r="AY92" s="25"/>
      <c r="AZ92" s="25"/>
      <c r="BA92" s="25"/>
      <c r="BB92" s="25"/>
      <c r="BC92" s="25"/>
      <c r="BD92" s="25"/>
      <c r="BE92" s="25"/>
      <c r="BF92" s="25"/>
      <c r="BG92" s="25"/>
      <c r="BH92" s="25"/>
      <c r="BI92" s="25"/>
      <c r="BJ92" s="25"/>
      <c r="BK92" s="25"/>
    </row>
    <row r="93" spans="1:63" ht="28.5" customHeight="1">
      <c r="A93" s="57"/>
      <c r="B93" s="58"/>
      <c r="C93" s="27" t="s">
        <v>57</v>
      </c>
      <c r="D93" s="28">
        <f t="shared" si="106"/>
        <v>-0.18867392361002228</v>
      </c>
      <c r="E93" s="29">
        <f t="shared" si="107"/>
        <v>0.40921155414092641</v>
      </c>
      <c r="F93" s="30">
        <f t="shared" si="108"/>
        <v>0.59788547775094869</v>
      </c>
      <c r="G93" s="30">
        <f t="shared" si="109"/>
        <v>8.4745762711864406E-3</v>
      </c>
      <c r="H93" s="31">
        <v>0</v>
      </c>
      <c r="I93" s="31">
        <f t="shared" si="110"/>
        <v>70</v>
      </c>
      <c r="J93" s="31">
        <f t="shared" si="111"/>
        <v>140</v>
      </c>
      <c r="K93" s="59"/>
      <c r="L93" s="48">
        <v>1</v>
      </c>
      <c r="M93" s="49"/>
      <c r="N93" s="34">
        <v>10</v>
      </c>
      <c r="O93" s="45">
        <v>3</v>
      </c>
      <c r="P93" s="36">
        <f t="shared" si="112"/>
        <v>3</v>
      </c>
      <c r="Q93" s="45">
        <v>2</v>
      </c>
      <c r="R93" s="37">
        <v>2</v>
      </c>
      <c r="S93" s="38"/>
      <c r="T93" s="39">
        <f t="shared" si="113"/>
        <v>173940</v>
      </c>
      <c r="U93" s="36">
        <f t="shared" si="114"/>
        <v>0</v>
      </c>
      <c r="V93" s="39">
        <f t="shared" si="115"/>
        <v>173940</v>
      </c>
      <c r="W93" s="51">
        <v>57980</v>
      </c>
      <c r="X93" s="39">
        <f>SUMIF([1]헤몬팜마진!$B$7:$B$32,$C93,[1]헤몬팜마진!$R$7:$R$32)</f>
        <v>12170</v>
      </c>
      <c r="Y93" s="39">
        <f t="shared" si="116"/>
        <v>68628</v>
      </c>
      <c r="Z93" s="39">
        <f t="shared" si="117"/>
        <v>103996.20000000001</v>
      </c>
      <c r="AA93" s="98">
        <v>94542</v>
      </c>
      <c r="AB93" s="38"/>
      <c r="AC93" s="40">
        <f t="shared" si="124"/>
        <v>4620</v>
      </c>
      <c r="AD93" s="41">
        <v>7.8E-2</v>
      </c>
      <c r="AE93" s="36">
        <f t="shared" si="127"/>
        <v>14475</v>
      </c>
      <c r="AF93" s="28">
        <f t="shared" si="119"/>
        <v>0.16121835115557087</v>
      </c>
      <c r="AG93" s="39">
        <f t="shared" si="120"/>
        <v>28042.349999999995</v>
      </c>
      <c r="AH93" s="39">
        <f t="shared" si="121"/>
        <v>6091.3922727272729</v>
      </c>
      <c r="AI93" s="39">
        <f>SUMIF([1]헤몬팜마진!$B$7:$B$32,$C93,[1]헤몬팜마진!$V$7:$V$32)</f>
        <v>22876</v>
      </c>
      <c r="AJ93" s="39">
        <f t="shared" si="122"/>
        <v>71178.257727272736</v>
      </c>
      <c r="AK93" s="42">
        <f t="shared" si="123"/>
        <v>-32817.942272727276</v>
      </c>
      <c r="AL93" s="43">
        <f>SUMIF([1]헤몬팜마진!$B$7:$B$32,$C93,[1]헤몬팜마진!$T$7:$T$32)</f>
        <v>181</v>
      </c>
      <c r="AM93" s="44">
        <f>SUMIF([1]헤몬팜마진!$B$7:$B$32,$C93,[1]헤몬팜마진!$U$7:$U$32)</f>
        <v>926</v>
      </c>
      <c r="AN93" s="38"/>
      <c r="AO93" s="52">
        <v>37157</v>
      </c>
      <c r="AP93" s="52">
        <v>236</v>
      </c>
      <c r="AQ93" s="24"/>
      <c r="AR93" s="24"/>
      <c r="AS93" s="24"/>
      <c r="AT93" s="25"/>
      <c r="AU93" s="25"/>
      <c r="AV93" s="25"/>
      <c r="AW93" s="25"/>
      <c r="AX93" s="25"/>
      <c r="AY93" s="25"/>
      <c r="AZ93" s="25"/>
      <c r="BA93" s="25"/>
      <c r="BB93" s="25"/>
      <c r="BC93" s="25"/>
      <c r="BD93" s="25"/>
      <c r="BE93" s="25"/>
      <c r="BF93" s="25"/>
      <c r="BG93" s="25"/>
      <c r="BH93" s="25"/>
      <c r="BI93" s="25"/>
      <c r="BJ93" s="25"/>
      <c r="BK93" s="25"/>
    </row>
    <row r="94" spans="1:63" ht="28.5" customHeight="1">
      <c r="A94" s="47" t="s">
        <v>58</v>
      </c>
      <c r="B94" s="26"/>
      <c r="C94" s="27" t="s">
        <v>59</v>
      </c>
      <c r="D94" s="28">
        <f t="shared" si="106"/>
        <v>0.31926693386568383</v>
      </c>
      <c r="E94" s="29">
        <f t="shared" si="107"/>
        <v>0.49827706900081897</v>
      </c>
      <c r="F94" s="30">
        <f t="shared" si="108"/>
        <v>0.17901013513513514</v>
      </c>
      <c r="G94" s="30">
        <f t="shared" si="109"/>
        <v>1.5625E-2</v>
      </c>
      <c r="H94" s="31">
        <v>2000</v>
      </c>
      <c r="I94" s="31">
        <f t="shared" si="110"/>
        <v>700</v>
      </c>
      <c r="J94" s="31">
        <f t="shared" si="111"/>
        <v>1400</v>
      </c>
      <c r="K94" s="48">
        <v>2373</v>
      </c>
      <c r="L94" s="48">
        <v>3</v>
      </c>
      <c r="M94" s="49"/>
      <c r="N94" s="34">
        <v>100</v>
      </c>
      <c r="O94" s="45">
        <v>15</v>
      </c>
      <c r="P94" s="36">
        <f t="shared" si="112"/>
        <v>15</v>
      </c>
      <c r="Q94" s="45">
        <v>1</v>
      </c>
      <c r="R94" s="37">
        <v>4</v>
      </c>
      <c r="S94" s="38"/>
      <c r="T94" s="39">
        <f t="shared" si="113"/>
        <v>266400</v>
      </c>
      <c r="U94" s="36">
        <f t="shared" si="114"/>
        <v>0</v>
      </c>
      <c r="V94" s="39">
        <f t="shared" si="115"/>
        <v>266400</v>
      </c>
      <c r="W94" s="51">
        <v>17760</v>
      </c>
      <c r="X94" s="39">
        <f>SUMIF([1]헤몬팜마진!$B$7:$B$32,$C94,[1]헤몬팜마진!$R$7:$R$32)</f>
        <v>3983</v>
      </c>
      <c r="Y94" s="39">
        <f t="shared" si="116"/>
        <v>72555</v>
      </c>
      <c r="Z94" s="39">
        <f t="shared" si="117"/>
        <v>47688.3</v>
      </c>
      <c r="AA94" s="98">
        <f>23846+19507</f>
        <v>43353</v>
      </c>
      <c r="AB94" s="38"/>
      <c r="AC94" s="40">
        <f t="shared" si="124"/>
        <v>2310</v>
      </c>
      <c r="AD94" s="41">
        <v>7.8E-2</v>
      </c>
      <c r="AE94" s="36">
        <f>1900*(P94)</f>
        <v>28500</v>
      </c>
      <c r="AF94" s="28">
        <f t="shared" si="119"/>
        <v>0.18498198198198199</v>
      </c>
      <c r="AG94" s="39">
        <f t="shared" si="120"/>
        <v>49279.23</v>
      </c>
      <c r="AH94" s="39">
        <f t="shared" si="121"/>
        <v>11824.758818181817</v>
      </c>
      <c r="AI94" s="39">
        <f>SUMIF([1]헤몬팜마진!$B$7:$B$32,$C94,[1]헤몬팜마진!$V$7:$V$32)</f>
        <v>4837</v>
      </c>
      <c r="AJ94" s="39">
        <f t="shared" si="122"/>
        <v>132741.01118181818</v>
      </c>
      <c r="AK94" s="42">
        <f t="shared" si="123"/>
        <v>85052.711181818173</v>
      </c>
      <c r="AL94" s="43">
        <f>SUMIF([1]헤몬팜마진!$B$7:$B$32,$C94,[1]헤몬팜마진!$T$7:$T$32)</f>
        <v>140</v>
      </c>
      <c r="AM94" s="44">
        <f>SUMIF([1]헤몬팜마진!$B$7:$B$32,$C94,[1]헤몬팜마진!$U$7:$U$32)</f>
        <v>714</v>
      </c>
      <c r="AN94" s="38"/>
      <c r="AO94" s="52">
        <v>57045</v>
      </c>
      <c r="AP94" s="52">
        <v>256</v>
      </c>
      <c r="AQ94" s="24"/>
      <c r="AR94" s="24"/>
      <c r="AS94" s="24"/>
      <c r="AT94" s="25"/>
      <c r="AU94" s="25"/>
      <c r="AV94" s="25"/>
      <c r="AW94" s="25"/>
      <c r="AX94" s="25"/>
      <c r="AY94" s="25"/>
      <c r="AZ94" s="25"/>
      <c r="BA94" s="25"/>
      <c r="BB94" s="25"/>
      <c r="BC94" s="25"/>
      <c r="BD94" s="25"/>
      <c r="BE94" s="25"/>
      <c r="BF94" s="25"/>
      <c r="BG94" s="25"/>
      <c r="BH94" s="25"/>
      <c r="BI94" s="25"/>
      <c r="BJ94" s="25"/>
      <c r="BK94" s="25"/>
    </row>
    <row r="95" spans="1:63" ht="28.5" customHeight="1">
      <c r="A95" s="47" t="s">
        <v>64</v>
      </c>
      <c r="B95" s="70" t="s">
        <v>65</v>
      </c>
      <c r="C95" s="27" t="s">
        <v>66</v>
      </c>
      <c r="D95" s="28">
        <f t="shared" si="106"/>
        <v>0.18788444142921756</v>
      </c>
      <c r="E95" s="29">
        <f t="shared" si="107"/>
        <v>0.43443623842877577</v>
      </c>
      <c r="F95" s="30">
        <f t="shared" si="108"/>
        <v>0.2465517969995582</v>
      </c>
      <c r="G95" s="30">
        <f t="shared" si="109"/>
        <v>0.1092436974789916</v>
      </c>
      <c r="H95" s="31">
        <v>2000</v>
      </c>
      <c r="I95" s="31">
        <f t="shared" si="110"/>
        <v>280</v>
      </c>
      <c r="J95" s="31">
        <f t="shared" si="111"/>
        <v>560</v>
      </c>
      <c r="K95" s="104">
        <v>1048</v>
      </c>
      <c r="L95" s="48">
        <f>311+240+1</f>
        <v>552</v>
      </c>
      <c r="M95" s="49"/>
      <c r="N95" s="34">
        <v>40</v>
      </c>
      <c r="O95" s="45">
        <v>21</v>
      </c>
      <c r="P95" s="36">
        <f t="shared" si="112"/>
        <v>21</v>
      </c>
      <c r="Q95" s="45">
        <v>6</v>
      </c>
      <c r="R95" s="37">
        <v>13</v>
      </c>
      <c r="S95" s="38"/>
      <c r="T95" s="39">
        <f t="shared" si="113"/>
        <v>520590</v>
      </c>
      <c r="U95" s="36">
        <f t="shared" si="114"/>
        <v>0</v>
      </c>
      <c r="V95" s="39">
        <f t="shared" si="115"/>
        <v>520590</v>
      </c>
      <c r="W95" s="51">
        <v>24790</v>
      </c>
      <c r="X95" s="39">
        <f>SUMIF([1]헤몬팜마진!$B$7:$B$32,$C95,[1]헤몬팜마진!$R$7:$R$32)</f>
        <v>6859</v>
      </c>
      <c r="Y95" s="39">
        <f t="shared" si="116"/>
        <v>152334</v>
      </c>
      <c r="Z95" s="39">
        <f t="shared" si="117"/>
        <v>128352.40000000001</v>
      </c>
      <c r="AA95" s="98">
        <v>116684</v>
      </c>
      <c r="AB95" s="63"/>
      <c r="AC95" s="40">
        <f t="shared" si="124"/>
        <v>13860</v>
      </c>
      <c r="AD95" s="41">
        <v>0.108</v>
      </c>
      <c r="AE95" s="36">
        <f>3150*(P95)</f>
        <v>66150</v>
      </c>
      <c r="AF95" s="28">
        <f t="shared" si="119"/>
        <v>0.23506736587333604</v>
      </c>
      <c r="AG95" s="39">
        <f t="shared" si="120"/>
        <v>122373.75000000001</v>
      </c>
      <c r="AH95" s="39">
        <f t="shared" si="121"/>
        <v>19719.088636363638</v>
      </c>
      <c r="AI95" s="39">
        <f>SUMIF([1]헤몬팜마진!$B$7:$B$32,$C95,[1]헤몬팜마진!$V$7:$V$32)</f>
        <v>7254</v>
      </c>
      <c r="AJ95" s="39">
        <f t="shared" si="122"/>
        <v>226163.16136363638</v>
      </c>
      <c r="AK95" s="60">
        <f t="shared" si="123"/>
        <v>97810.761363636368</v>
      </c>
      <c r="AL95" s="43">
        <f>SUMIF([1]헤몬팜마진!$B$7:$B$32,$C95,[1]헤몬팜마진!$T$7:$T$32)</f>
        <v>65</v>
      </c>
      <c r="AM95" s="44">
        <f>SUMIF([1]헤몬팜마진!$B$7:$B$32,$C95,[1]헤몬팜마진!$U$7:$U$32)</f>
        <v>330</v>
      </c>
      <c r="AN95" s="38"/>
      <c r="AO95" s="52">
        <v>39257</v>
      </c>
      <c r="AP95" s="52">
        <v>119</v>
      </c>
      <c r="AQ95" s="24"/>
      <c r="AR95" s="24"/>
      <c r="AS95" s="24"/>
      <c r="AT95" s="25"/>
      <c r="AU95" s="25"/>
      <c r="AV95" s="25"/>
      <c r="AW95" s="25"/>
      <c r="AX95" s="25"/>
      <c r="AY95" s="25"/>
      <c r="AZ95" s="25"/>
      <c r="BA95" s="25"/>
      <c r="BB95" s="25"/>
      <c r="BC95" s="25"/>
      <c r="BD95" s="25"/>
      <c r="BE95" s="25"/>
      <c r="BF95" s="25"/>
      <c r="BG95" s="25"/>
      <c r="BH95" s="25"/>
      <c r="BI95" s="25"/>
      <c r="BJ95" s="25"/>
      <c r="BK95" s="25"/>
    </row>
    <row r="96" spans="1:63" ht="28.5" customHeight="1">
      <c r="A96" s="47"/>
      <c r="B96" s="69" t="s">
        <v>67</v>
      </c>
      <c r="C96" s="27" t="s">
        <v>68</v>
      </c>
      <c r="D96" s="28">
        <f t="shared" si="106"/>
        <v>1.3104116879853815</v>
      </c>
      <c r="E96" s="29">
        <f t="shared" si="107"/>
        <v>0.41264033120146182</v>
      </c>
      <c r="F96" s="30">
        <f t="shared" si="108"/>
        <v>-0.89777135678391962</v>
      </c>
      <c r="G96" s="30">
        <f t="shared" si="109"/>
        <v>0</v>
      </c>
      <c r="H96" s="31">
        <v>0</v>
      </c>
      <c r="I96" s="31">
        <f t="shared" si="110"/>
        <v>105</v>
      </c>
      <c r="J96" s="31">
        <f t="shared" si="111"/>
        <v>210</v>
      </c>
      <c r="K96" s="105"/>
      <c r="L96" s="48">
        <f>22+3</f>
        <v>25</v>
      </c>
      <c r="M96" s="49"/>
      <c r="N96" s="34">
        <v>15</v>
      </c>
      <c r="O96" s="38">
        <v>-1</v>
      </c>
      <c r="P96" s="36">
        <f t="shared" si="112"/>
        <v>-1</v>
      </c>
      <c r="Q96" s="38">
        <v>1</v>
      </c>
      <c r="R96" s="50"/>
      <c r="S96" s="38"/>
      <c r="T96" s="39">
        <f t="shared" si="113"/>
        <v>-39800</v>
      </c>
      <c r="U96" s="36">
        <f t="shared" si="114"/>
        <v>0</v>
      </c>
      <c r="V96" s="39">
        <f t="shared" si="115"/>
        <v>-39800</v>
      </c>
      <c r="W96" s="51">
        <v>39800</v>
      </c>
      <c r="X96" s="39">
        <f>SUMIF([1]헤몬팜마진!$B$7:$B$32,$C96,[1]헤몬팜마진!$R$7:$R$32)</f>
        <v>13719</v>
      </c>
      <c r="Y96" s="39">
        <f t="shared" si="116"/>
        <v>-14113</v>
      </c>
      <c r="Z96" s="39">
        <f t="shared" si="117"/>
        <v>35731.300000000003</v>
      </c>
      <c r="AA96" s="98">
        <v>32483</v>
      </c>
      <c r="AB96" s="63"/>
      <c r="AC96" s="40">
        <f t="shared" si="124"/>
        <v>2310</v>
      </c>
      <c r="AD96" s="41">
        <v>0.108</v>
      </c>
      <c r="AE96" s="36">
        <f>3550*(P96)</f>
        <v>-3550</v>
      </c>
      <c r="AF96" s="28">
        <f t="shared" si="119"/>
        <v>0.1971959798994975</v>
      </c>
      <c r="AG96" s="39">
        <f t="shared" si="120"/>
        <v>-7848.3700000000008</v>
      </c>
      <c r="AH96" s="39">
        <f t="shared" si="121"/>
        <v>-1415.5448181818178</v>
      </c>
      <c r="AI96" s="39">
        <f>SUMIF([1]헤몬팜마진!$B$7:$B$32,$C96,[1]헤몬팜마진!$V$7:$V$32)</f>
        <v>14113</v>
      </c>
      <c r="AJ96" s="39">
        <f t="shared" si="122"/>
        <v>-16423.08518181818</v>
      </c>
      <c r="AK96" s="60">
        <f t="shared" si="123"/>
        <v>-52154.385181818187</v>
      </c>
      <c r="AL96" s="43">
        <f>SUMIF([1]헤몬팜마진!$B$7:$B$32,$C96,[1]헤몬팜마진!$T$7:$T$32)</f>
        <v>65</v>
      </c>
      <c r="AM96" s="44">
        <f>SUMIF([1]헤몬팜마진!$B$7:$B$32,$C96,[1]헤몬팜마진!$U$7:$U$32)</f>
        <v>330</v>
      </c>
      <c r="AN96" s="38"/>
      <c r="AO96" s="52">
        <v>37507</v>
      </c>
      <c r="AP96" s="52">
        <v>89</v>
      </c>
      <c r="AQ96" s="24"/>
      <c r="AR96" s="24"/>
      <c r="AS96" s="24"/>
      <c r="AT96" s="25"/>
      <c r="AU96" s="25"/>
      <c r="AV96" s="25"/>
      <c r="AW96" s="25"/>
      <c r="AX96" s="25"/>
      <c r="AY96" s="25"/>
      <c r="AZ96" s="25"/>
      <c r="BA96" s="25"/>
      <c r="BB96" s="25"/>
      <c r="BC96" s="25"/>
      <c r="BD96" s="25"/>
      <c r="BE96" s="25"/>
      <c r="BF96" s="25"/>
      <c r="BG96" s="25"/>
      <c r="BH96" s="25"/>
      <c r="BI96" s="25"/>
      <c r="BJ96" s="25"/>
      <c r="BK96" s="25"/>
    </row>
    <row r="97" spans="1:63" ht="28.5" customHeight="1">
      <c r="A97" s="1"/>
      <c r="B97" s="69" t="s">
        <v>62</v>
      </c>
      <c r="C97" s="27" t="s">
        <v>63</v>
      </c>
      <c r="D97" s="28">
        <f t="shared" si="106"/>
        <v>-3.5256656565656609E-2</v>
      </c>
      <c r="E97" s="29">
        <f t="shared" si="107"/>
        <v>0.37867667676767675</v>
      </c>
      <c r="F97" s="30">
        <f t="shared" si="108"/>
        <v>0.41393333333333338</v>
      </c>
      <c r="G97" s="30">
        <f t="shared" si="109"/>
        <v>1.155115511551155E-2</v>
      </c>
      <c r="H97" s="31">
        <v>700</v>
      </c>
      <c r="I97" s="31">
        <f t="shared" si="110"/>
        <v>210</v>
      </c>
      <c r="J97" s="31">
        <f t="shared" si="111"/>
        <v>420</v>
      </c>
      <c r="K97" s="48">
        <v>954</v>
      </c>
      <c r="L97" s="48">
        <v>2</v>
      </c>
      <c r="M97" s="49"/>
      <c r="N97" s="34">
        <v>30</v>
      </c>
      <c r="O97" s="38">
        <v>15</v>
      </c>
      <c r="P97" s="36">
        <f t="shared" si="112"/>
        <v>15</v>
      </c>
      <c r="Q97" s="38">
        <v>3</v>
      </c>
      <c r="R97" s="37">
        <v>7</v>
      </c>
      <c r="S97" s="38"/>
      <c r="T97" s="39">
        <f t="shared" si="113"/>
        <v>297000</v>
      </c>
      <c r="U97" s="36">
        <f t="shared" si="114"/>
        <v>0</v>
      </c>
      <c r="V97" s="39">
        <f t="shared" si="115"/>
        <v>297000</v>
      </c>
      <c r="W97" s="51">
        <v>19800</v>
      </c>
      <c r="X97" s="39">
        <f>SUMIF([1]헤몬팜마진!$B$7:$B$32,$C97,[1]헤몬팜마진!$R$7:$R$32)</f>
        <v>6638</v>
      </c>
      <c r="Y97" s="39">
        <f t="shared" si="116"/>
        <v>100290</v>
      </c>
      <c r="Z97" s="39">
        <f t="shared" si="117"/>
        <v>122938.20000000001</v>
      </c>
      <c r="AA97" s="98">
        <v>111762</v>
      </c>
      <c r="AB97" s="64"/>
      <c r="AC97" s="40">
        <f t="shared" si="124"/>
        <v>6930</v>
      </c>
      <c r="AD97" s="41">
        <v>0.08</v>
      </c>
      <c r="AE97" s="36">
        <f>3400*(P97)</f>
        <v>51000</v>
      </c>
      <c r="AF97" s="28">
        <f t="shared" si="119"/>
        <v>0.25171717171717173</v>
      </c>
      <c r="AG97" s="39">
        <f t="shared" si="120"/>
        <v>74760.03</v>
      </c>
      <c r="AH97" s="39">
        <f t="shared" si="121"/>
        <v>9482.9969999999994</v>
      </c>
      <c r="AI97" s="39">
        <f>SUMIF([1]헤몬팜마진!$B$7:$B$32,$C97,[1]헤몬팜마진!$V$7:$V$32)</f>
        <v>6686</v>
      </c>
      <c r="AJ97" s="39">
        <f t="shared" si="122"/>
        <v>112466.973</v>
      </c>
      <c r="AK97" s="60">
        <f t="shared" si="123"/>
        <v>-10471.227000000014</v>
      </c>
      <c r="AL97" s="43">
        <f>SUMIF([1]헤몬팜마진!$B$7:$B$32,$C97,[1]헤몬팜마진!$T$7:$T$32)</f>
        <v>8</v>
      </c>
      <c r="AM97" s="44">
        <f>SUMIF([1]헤몬팜마진!$B$7:$B$32,$C97,[1]헤몬팜마진!$U$7:$U$32)</f>
        <v>40</v>
      </c>
      <c r="AN97" s="38"/>
      <c r="AO97" s="52">
        <v>222852</v>
      </c>
      <c r="AP97" s="52">
        <v>606</v>
      </c>
      <c r="AQ97" s="24"/>
      <c r="AR97" s="24"/>
      <c r="AS97" s="24"/>
      <c r="AT97" s="25"/>
      <c r="AU97" s="25"/>
      <c r="AV97" s="25"/>
      <c r="AW97" s="25"/>
      <c r="AX97" s="25"/>
      <c r="AY97" s="25"/>
      <c r="AZ97" s="25"/>
      <c r="BA97" s="25"/>
      <c r="BB97" s="25"/>
      <c r="BC97" s="25"/>
      <c r="BD97" s="25"/>
      <c r="BE97" s="25"/>
      <c r="BF97" s="25"/>
      <c r="BG97" s="25"/>
      <c r="BH97" s="25"/>
      <c r="BI97" s="25"/>
      <c r="BJ97" s="25"/>
      <c r="BK97" s="25"/>
    </row>
    <row r="98" spans="1:63" ht="28.5" customHeight="1">
      <c r="A98" s="47" t="s">
        <v>60</v>
      </c>
      <c r="B98" s="26"/>
      <c r="C98" s="27" t="s">
        <v>61</v>
      </c>
      <c r="D98" s="28">
        <f t="shared" si="106"/>
        <v>0.43888177602639289</v>
      </c>
      <c r="E98" s="29">
        <f t="shared" si="107"/>
        <v>0.43888177602639289</v>
      </c>
      <c r="F98" s="30">
        <f t="shared" si="108"/>
        <v>0</v>
      </c>
      <c r="G98" s="30" t="e">
        <f t="shared" si="109"/>
        <v>#DIV/0!</v>
      </c>
      <c r="H98" s="31">
        <v>0</v>
      </c>
      <c r="I98" s="31">
        <f t="shared" si="110"/>
        <v>350</v>
      </c>
      <c r="J98" s="31">
        <f t="shared" si="111"/>
        <v>700</v>
      </c>
      <c r="K98" s="48">
        <v>87</v>
      </c>
      <c r="L98" s="48">
        <v>0</v>
      </c>
      <c r="M98" s="49"/>
      <c r="N98" s="34">
        <v>50</v>
      </c>
      <c r="O98" s="45">
        <v>-2</v>
      </c>
      <c r="P98" s="36">
        <f t="shared" si="112"/>
        <v>-2</v>
      </c>
      <c r="Q98" s="38">
        <v>2</v>
      </c>
      <c r="R98" s="56"/>
      <c r="S98" s="38"/>
      <c r="T98" s="39">
        <f t="shared" si="113"/>
        <v>-49600</v>
      </c>
      <c r="U98" s="36">
        <f t="shared" si="114"/>
        <v>0</v>
      </c>
      <c r="V98" s="39">
        <f t="shared" si="115"/>
        <v>-49600</v>
      </c>
      <c r="W98" s="51">
        <v>24800</v>
      </c>
      <c r="X98" s="39">
        <f>SUMIF([1]헤몬팜마진!$B$7:$B$32,$C98,[1]헤몬팜마진!$R$7:$R$32)</f>
        <v>8408</v>
      </c>
      <c r="Y98" s="39">
        <f t="shared" si="116"/>
        <v>-17160</v>
      </c>
      <c r="Z98" s="39">
        <f t="shared" si="117"/>
        <v>0</v>
      </c>
      <c r="AA98" s="32"/>
      <c r="AB98" s="63"/>
      <c r="AC98" s="40">
        <f t="shared" si="124"/>
        <v>4620</v>
      </c>
      <c r="AD98" s="41">
        <v>0.1</v>
      </c>
      <c r="AE98" s="36">
        <f>1900*(P98)</f>
        <v>-3800</v>
      </c>
      <c r="AF98" s="28">
        <f t="shared" si="119"/>
        <v>0.17661290322580647</v>
      </c>
      <c r="AG98" s="39">
        <f t="shared" si="120"/>
        <v>-8759.9700000000012</v>
      </c>
      <c r="AH98" s="39">
        <f t="shared" si="121"/>
        <v>-1911.4939090909088</v>
      </c>
      <c r="AI98" s="39">
        <f>SUMIF([1]헤몬팜마진!$B$7:$B$32,$C98,[1]헤몬팜마진!$V$7:$V$32)</f>
        <v>8580</v>
      </c>
      <c r="AJ98" s="39">
        <f t="shared" si="122"/>
        <v>-21768.536090909089</v>
      </c>
      <c r="AK98" s="60">
        <f t="shared" si="123"/>
        <v>-21768.536090909089</v>
      </c>
      <c r="AL98" s="43">
        <f>SUMIF([1]헤몬팜마진!$B$7:$B$32,$C98,[1]헤몬팜마진!$T$7:$T$32)</f>
        <v>28</v>
      </c>
      <c r="AM98" s="44">
        <f>SUMIF([1]헤몬팜마진!$B$7:$B$32,$C98,[1]헤몬팜마진!$U$7:$U$32)</f>
        <v>143</v>
      </c>
      <c r="AN98" s="38"/>
      <c r="AO98" s="45"/>
      <c r="AP98" s="46"/>
      <c r="AQ98" s="24"/>
      <c r="AR98" s="24"/>
      <c r="AS98" s="24"/>
      <c r="AT98" s="25"/>
      <c r="AU98" s="25"/>
      <c r="AV98" s="25"/>
      <c r="AW98" s="25"/>
      <c r="AX98" s="25"/>
      <c r="AY98" s="25"/>
      <c r="AZ98" s="25"/>
      <c r="BA98" s="25"/>
      <c r="BB98" s="25"/>
      <c r="BC98" s="25"/>
      <c r="BD98" s="25"/>
      <c r="BE98" s="25"/>
      <c r="BF98" s="25"/>
      <c r="BG98" s="25"/>
      <c r="BH98" s="25"/>
      <c r="BI98" s="25"/>
      <c r="BJ98" s="25"/>
      <c r="BK98" s="25"/>
    </row>
    <row r="99" spans="1:63" ht="28.5" customHeight="1" thickBot="1">
      <c r="A99" s="1"/>
      <c r="B99" s="71"/>
      <c r="C99" s="72"/>
      <c r="D99" s="73">
        <f t="shared" si="106"/>
        <v>0.12068940967077792</v>
      </c>
      <c r="E99" s="74">
        <f t="shared" si="107"/>
        <v>0.41744725691075063</v>
      </c>
      <c r="F99" s="75">
        <f t="shared" si="108"/>
        <v>0.29675784723997267</v>
      </c>
      <c r="G99" s="76"/>
      <c r="H99" s="77"/>
      <c r="I99" s="77"/>
      <c r="J99" s="77"/>
      <c r="K99" s="77"/>
      <c r="L99" s="77"/>
      <c r="M99" s="77"/>
      <c r="N99" s="77"/>
      <c r="O99" s="78">
        <f>SUM(O82:O98)</f>
        <v>340</v>
      </c>
      <c r="P99" s="79">
        <f>SUM(P82:P97)</f>
        <v>342</v>
      </c>
      <c r="Q99" s="78">
        <f>SUM(Q82:Q98)</f>
        <v>42</v>
      </c>
      <c r="R99" s="78">
        <f t="shared" ref="R99:V99" si="128">SUM(R82:R97)</f>
        <v>244</v>
      </c>
      <c r="S99" s="78">
        <f t="shared" si="128"/>
        <v>0</v>
      </c>
      <c r="T99" s="78">
        <f t="shared" si="128"/>
        <v>9467660</v>
      </c>
      <c r="U99" s="78">
        <f t="shared" si="128"/>
        <v>0</v>
      </c>
      <c r="V99" s="79">
        <f t="shared" si="128"/>
        <v>9467660</v>
      </c>
      <c r="W99" s="77"/>
      <c r="X99" s="78">
        <f t="shared" ref="X99:AC99" si="129">SUM(X82:X97)</f>
        <v>145175</v>
      </c>
      <c r="Y99" s="79">
        <f t="shared" si="129"/>
        <v>3193339</v>
      </c>
      <c r="Z99" s="78">
        <f t="shared" si="129"/>
        <v>2809602.4</v>
      </c>
      <c r="AA99" s="78">
        <f t="shared" si="129"/>
        <v>2554184</v>
      </c>
      <c r="AB99" s="78">
        <f t="shared" si="129"/>
        <v>0</v>
      </c>
      <c r="AC99" s="78">
        <f t="shared" si="129"/>
        <v>90192</v>
      </c>
      <c r="AD99" s="80">
        <v>0.09</v>
      </c>
      <c r="AE99" s="79">
        <f>SUM(AE82:AE97)</f>
        <v>1058725</v>
      </c>
      <c r="AF99" s="75">
        <f t="shared" si="119"/>
        <v>0.20182541409387325</v>
      </c>
      <c r="AG99" s="81">
        <f t="shared" ref="AG99:AI99" si="130">SUM(AG82:AG97)</f>
        <v>1981314.6</v>
      </c>
      <c r="AH99" s="81">
        <f t="shared" si="130"/>
        <v>340757.70363636344</v>
      </c>
      <c r="AI99" s="81">
        <f t="shared" si="130"/>
        <v>224619</v>
      </c>
      <c r="AJ99" s="81">
        <f t="shared" si="122"/>
        <v>3952248.6963636372</v>
      </c>
      <c r="AK99" s="82">
        <f t="shared" si="123"/>
        <v>1142646.2963636373</v>
      </c>
      <c r="AL99" s="83"/>
      <c r="AM99" s="84"/>
      <c r="AN99" s="85"/>
      <c r="AO99" s="86">
        <f t="shared" ref="AO99:AP99" si="131">SUM(AO82:AO83)</f>
        <v>538830</v>
      </c>
      <c r="AP99" s="87">
        <f t="shared" si="131"/>
        <v>2995</v>
      </c>
      <c r="AQ99" s="24"/>
      <c r="AR99" s="24"/>
      <c r="AS99" s="24"/>
      <c r="AT99" s="25"/>
      <c r="AU99" s="25"/>
      <c r="AV99" s="25"/>
      <c r="AW99" s="25"/>
      <c r="AX99" s="25"/>
      <c r="AY99" s="25"/>
      <c r="AZ99" s="25"/>
      <c r="BA99" s="25"/>
      <c r="BB99" s="25"/>
      <c r="BC99" s="25"/>
      <c r="BD99" s="25"/>
      <c r="BE99" s="25"/>
      <c r="BF99" s="25"/>
      <c r="BG99" s="25"/>
      <c r="BH99" s="25"/>
      <c r="BI99" s="25"/>
      <c r="BJ99" s="25"/>
      <c r="BK99" s="25"/>
    </row>
    <row r="100" spans="1:63" ht="28.5" customHeight="1" thickBot="1">
      <c r="A100" s="88"/>
      <c r="B100" s="89"/>
      <c r="C100" s="90"/>
      <c r="D100" s="91"/>
      <c r="E100" s="91"/>
      <c r="F100" s="91"/>
      <c r="G100" s="91"/>
      <c r="H100" s="92"/>
      <c r="I100" s="92"/>
      <c r="J100" s="92"/>
      <c r="K100" s="92"/>
      <c r="L100" s="92"/>
      <c r="M100" s="92"/>
      <c r="N100" s="92"/>
      <c r="O100" s="92"/>
      <c r="P100" s="93"/>
      <c r="Q100" s="92"/>
      <c r="R100" s="92"/>
      <c r="S100" s="92"/>
      <c r="T100" s="92"/>
      <c r="U100" s="92"/>
      <c r="V100" s="92"/>
      <c r="W100" s="92"/>
      <c r="X100" s="92"/>
      <c r="Y100" s="92"/>
      <c r="Z100" s="92"/>
      <c r="AA100" s="94"/>
      <c r="AB100" s="95"/>
      <c r="AC100" s="96"/>
      <c r="AD100" s="96"/>
      <c r="AE100" s="96"/>
      <c r="AF100" s="96"/>
      <c r="AG100" s="95"/>
      <c r="AH100" s="95"/>
      <c r="AI100" s="97"/>
      <c r="AJ100" s="25"/>
      <c r="AK100" s="24"/>
      <c r="AL100" s="24"/>
      <c r="AM100" s="24"/>
      <c r="AN100" s="25"/>
      <c r="AO100" s="25"/>
      <c r="AP100" s="25"/>
      <c r="AQ100" s="24"/>
      <c r="AR100" s="24"/>
      <c r="AS100" s="24"/>
      <c r="AT100" s="25"/>
      <c r="AU100" s="25"/>
      <c r="AV100" s="25"/>
      <c r="AW100" s="25"/>
      <c r="AX100" s="25"/>
      <c r="AY100" s="25"/>
      <c r="AZ100" s="25"/>
      <c r="BA100" s="25"/>
      <c r="BB100" s="25"/>
      <c r="BC100" s="25"/>
      <c r="BD100" s="25"/>
      <c r="BE100" s="25"/>
      <c r="BF100" s="25"/>
      <c r="BG100" s="25"/>
      <c r="BH100" s="25"/>
      <c r="BI100" s="25"/>
      <c r="BJ100" s="25"/>
      <c r="BK100" s="25"/>
    </row>
    <row r="101" spans="1:63" ht="28.5" customHeight="1">
      <c r="A101" s="1"/>
      <c r="B101" s="2"/>
      <c r="C101" s="3">
        <v>45950</v>
      </c>
      <c r="D101" s="4" t="s">
        <v>0</v>
      </c>
      <c r="E101" s="4" t="s">
        <v>1</v>
      </c>
      <c r="F101" s="4" t="s">
        <v>2</v>
      </c>
      <c r="G101" s="5" t="s">
        <v>3</v>
      </c>
      <c r="H101" s="6" t="s">
        <v>4</v>
      </c>
      <c r="I101" s="7" t="s">
        <v>5</v>
      </c>
      <c r="J101" s="7" t="s">
        <v>6</v>
      </c>
      <c r="K101" s="8" t="s">
        <v>7</v>
      </c>
      <c r="L101" s="9" t="s">
        <v>8</v>
      </c>
      <c r="M101" s="10" t="s">
        <v>9</v>
      </c>
      <c r="N101" s="11" t="s">
        <v>10</v>
      </c>
      <c r="O101" s="11" t="s">
        <v>11</v>
      </c>
      <c r="P101" s="11" t="s">
        <v>12</v>
      </c>
      <c r="Q101" s="12" t="s">
        <v>13</v>
      </c>
      <c r="R101" s="11" t="s">
        <v>14</v>
      </c>
      <c r="S101" s="13" t="s">
        <v>15</v>
      </c>
      <c r="T101" s="14" t="s">
        <v>16</v>
      </c>
      <c r="U101" s="14" t="s">
        <v>17</v>
      </c>
      <c r="V101" s="14" t="s">
        <v>18</v>
      </c>
      <c r="W101" s="14" t="s">
        <v>19</v>
      </c>
      <c r="X101" s="10" t="s">
        <v>20</v>
      </c>
      <c r="Y101" s="10" t="s">
        <v>21</v>
      </c>
      <c r="Z101" s="15" t="s">
        <v>22</v>
      </c>
      <c r="AA101" s="15" t="s">
        <v>23</v>
      </c>
      <c r="AB101" s="16" t="s">
        <v>24</v>
      </c>
      <c r="AC101" s="17" t="s">
        <v>25</v>
      </c>
      <c r="AD101" s="18" t="s">
        <v>26</v>
      </c>
      <c r="AE101" s="4" t="s">
        <v>27</v>
      </c>
      <c r="AF101" s="19" t="s">
        <v>28</v>
      </c>
      <c r="AG101" s="19" t="s">
        <v>26</v>
      </c>
      <c r="AH101" s="4" t="s">
        <v>29</v>
      </c>
      <c r="AI101" s="10" t="s">
        <v>30</v>
      </c>
      <c r="AJ101" s="10" t="s">
        <v>31</v>
      </c>
      <c r="AK101" s="4" t="s">
        <v>32</v>
      </c>
      <c r="AL101" s="20" t="s">
        <v>33</v>
      </c>
      <c r="AM101" s="21" t="s">
        <v>34</v>
      </c>
      <c r="AN101" s="22" t="s">
        <v>35</v>
      </c>
      <c r="AO101" s="22" t="s">
        <v>36</v>
      </c>
      <c r="AP101" s="23" t="s">
        <v>37</v>
      </c>
      <c r="AQ101" s="24"/>
      <c r="AR101" s="24"/>
      <c r="AS101" s="24"/>
      <c r="AT101" s="25"/>
      <c r="AU101" s="25"/>
      <c r="AV101" s="25"/>
      <c r="AW101" s="25"/>
      <c r="AX101" s="25"/>
      <c r="AY101" s="25"/>
      <c r="AZ101" s="25"/>
      <c r="BA101" s="25"/>
      <c r="BB101" s="25"/>
      <c r="BC101" s="25"/>
      <c r="BD101" s="25"/>
      <c r="BE101" s="25"/>
      <c r="BF101" s="25"/>
      <c r="BG101" s="25"/>
      <c r="BH101" s="25"/>
      <c r="BI101" s="25"/>
      <c r="BJ101" s="25"/>
      <c r="BK101" s="25"/>
    </row>
    <row r="102" spans="1:63" ht="28.5" customHeight="1">
      <c r="A102" s="1" t="s">
        <v>38</v>
      </c>
      <c r="B102" s="26"/>
      <c r="C102" s="27" t="s">
        <v>39</v>
      </c>
      <c r="D102" s="28">
        <f t="shared" ref="D102:D119" si="132">AK102/V102</f>
        <v>0.16201372042691298</v>
      </c>
      <c r="E102" s="29">
        <f t="shared" ref="E102:E119" si="133">AJ102/V102</f>
        <v>0.42271097603166385</v>
      </c>
      <c r="F102" s="30">
        <f t="shared" ref="F102:F119" si="134">(Z102+AB102)/V102</f>
        <v>0.26069725560475088</v>
      </c>
      <c r="G102" s="30">
        <f t="shared" ref="G102:G118" si="135">R102/AP102</f>
        <v>5.8059862964298596E-2</v>
      </c>
      <c r="H102" s="31">
        <v>7410</v>
      </c>
      <c r="I102" s="31">
        <f t="shared" ref="I102:I118" si="136">N102*7</f>
        <v>1400</v>
      </c>
      <c r="J102" s="31">
        <f t="shared" ref="J102:J118" si="137">N102*14</f>
        <v>2800</v>
      </c>
      <c r="K102" s="32">
        <v>76</v>
      </c>
      <c r="L102" s="32">
        <f>1906+1320</f>
        <v>3226</v>
      </c>
      <c r="M102" s="33"/>
      <c r="N102" s="34">
        <v>200</v>
      </c>
      <c r="O102" s="35">
        <v>204</v>
      </c>
      <c r="P102" s="36">
        <f t="shared" ref="P102:P118" si="138">O102-S102</f>
        <v>204</v>
      </c>
      <c r="Q102" s="35">
        <v>23</v>
      </c>
      <c r="R102" s="37">
        <v>161</v>
      </c>
      <c r="S102" s="38"/>
      <c r="T102" s="39">
        <f t="shared" ref="T102:T118" si="139">W102*O102</f>
        <v>5691600</v>
      </c>
      <c r="U102" s="36">
        <f t="shared" ref="U102:U118" si="140">W102*S102</f>
        <v>0</v>
      </c>
      <c r="V102" s="39">
        <f t="shared" ref="V102:V118" si="141">T102-U102</f>
        <v>5691600</v>
      </c>
      <c r="W102" s="39">
        <v>27900</v>
      </c>
      <c r="X102" s="39">
        <f>SUMIF([1]헤몬팜마진!$B$7:$B$32,$C102,[1]헤몬팜마진!$R$7:$R$32)</f>
        <v>8851</v>
      </c>
      <c r="Y102" s="39">
        <f t="shared" ref="Y102:Y118" si="142">AI102*P102</f>
        <v>1885980</v>
      </c>
      <c r="Z102" s="39">
        <f t="shared" ref="Z102:Z118" si="143">AA102*1.1</f>
        <v>1483784.5000000002</v>
      </c>
      <c r="AA102" s="98">
        <v>1348895</v>
      </c>
      <c r="AB102" s="38"/>
      <c r="AC102" s="40">
        <f t="shared" ref="AC102:AC103" si="144">(1072+1100)*Q102</f>
        <v>49956</v>
      </c>
      <c r="AD102" s="41">
        <v>0.1</v>
      </c>
      <c r="AE102" s="36">
        <f>3050*(P102)</f>
        <v>622200</v>
      </c>
      <c r="AF102" s="28">
        <f t="shared" ref="AF102:AF119" si="145">AD102+(AE102/V102)</f>
        <v>0.20931899641577062</v>
      </c>
      <c r="AG102" s="39">
        <f t="shared" ref="AG102:AG118" si="146">IFERROR(V102*AF102+3%,0)</f>
        <v>1191360.03</v>
      </c>
      <c r="AH102" s="39">
        <f t="shared" ref="AH102:AH118" si="147">V102/1.1*10%-((AI102*P102)+AG102+(AN102*P102)+(AL102*P102))*10%</f>
        <v>208358.17881818174</v>
      </c>
      <c r="AI102" s="39">
        <f>SUMIF([1]헤몬팜마진!$B$7:$B$32,$C102,[1]헤몬팜마진!$V$7:$V$32)</f>
        <v>9245</v>
      </c>
      <c r="AJ102" s="39">
        <f t="shared" ref="AJ102:AJ119" si="148">V102-(Y102+AG102+AH102+(AN102*P102))</f>
        <v>2405901.7911818181</v>
      </c>
      <c r="AK102" s="42">
        <f t="shared" ref="AK102:AK119" si="149">AJ102-Z102-AB102</f>
        <v>922117.29118181788</v>
      </c>
      <c r="AL102" s="43">
        <f>SUMIF([1]헤몬팜마진!$B$7:$B$32,$C102,[1]헤몬팜마진!$T$7:$T$32)</f>
        <v>65</v>
      </c>
      <c r="AM102" s="44">
        <f>SUMIF([1]헤몬팜마진!$B$7:$B$32,$C102,[1]헤몬팜마진!$U$7:$U$32)</f>
        <v>330</v>
      </c>
      <c r="AN102" s="38"/>
      <c r="AO102" s="52">
        <v>527019</v>
      </c>
      <c r="AP102" s="52">
        <v>2773</v>
      </c>
      <c r="AQ102" s="24"/>
      <c r="AR102" s="24"/>
      <c r="AS102" s="24"/>
      <c r="AT102" s="25"/>
      <c r="AU102" s="25"/>
      <c r="AV102" s="25"/>
      <c r="AW102" s="25"/>
      <c r="AX102" s="25"/>
      <c r="AY102" s="25"/>
      <c r="AZ102" s="25"/>
      <c r="BA102" s="25"/>
      <c r="BB102" s="25"/>
      <c r="BC102" s="25"/>
      <c r="BD102" s="25"/>
      <c r="BE102" s="25"/>
      <c r="BF102" s="25"/>
      <c r="BG102" s="25"/>
      <c r="BH102" s="25"/>
      <c r="BI102" s="25"/>
      <c r="BJ102" s="25"/>
      <c r="BK102" s="25"/>
    </row>
    <row r="103" spans="1:63" ht="28.5" customHeight="1">
      <c r="A103" s="47" t="s">
        <v>40</v>
      </c>
      <c r="B103" s="26"/>
      <c r="C103" s="27" t="s">
        <v>41</v>
      </c>
      <c r="D103" s="28" t="e">
        <f t="shared" si="132"/>
        <v>#DIV/0!</v>
      </c>
      <c r="E103" s="29" t="e">
        <f t="shared" si="133"/>
        <v>#DIV/0!</v>
      </c>
      <c r="F103" s="30" t="e">
        <f t="shared" si="134"/>
        <v>#DIV/0!</v>
      </c>
      <c r="G103" s="30" t="e">
        <f t="shared" si="135"/>
        <v>#DIV/0!</v>
      </c>
      <c r="H103" s="31">
        <v>1460</v>
      </c>
      <c r="I103" s="31">
        <f t="shared" si="136"/>
        <v>140</v>
      </c>
      <c r="J103" s="31">
        <f t="shared" si="137"/>
        <v>280</v>
      </c>
      <c r="K103" s="48">
        <v>325</v>
      </c>
      <c r="L103" s="48">
        <v>0</v>
      </c>
      <c r="M103" s="49"/>
      <c r="N103" s="34">
        <v>20</v>
      </c>
      <c r="O103" s="45">
        <v>0</v>
      </c>
      <c r="P103" s="36">
        <f t="shared" si="138"/>
        <v>0</v>
      </c>
      <c r="Q103" s="38"/>
      <c r="R103" s="50"/>
      <c r="S103" s="38"/>
      <c r="T103" s="39">
        <f t="shared" si="139"/>
        <v>0</v>
      </c>
      <c r="U103" s="36">
        <f t="shared" si="140"/>
        <v>0</v>
      </c>
      <c r="V103" s="39">
        <f t="shared" si="141"/>
        <v>0</v>
      </c>
      <c r="W103" s="51">
        <v>22700</v>
      </c>
      <c r="X103" s="39">
        <f>SUMIF([1]헤몬팜마진!$B$7:$B$32,$C103,[1]헤몬팜마진!$R$7:$R$32)</f>
        <v>7081</v>
      </c>
      <c r="Y103" s="39">
        <f t="shared" si="142"/>
        <v>0</v>
      </c>
      <c r="Z103" s="39">
        <f t="shared" si="143"/>
        <v>0</v>
      </c>
      <c r="AA103" s="98"/>
      <c r="AB103" s="38"/>
      <c r="AC103" s="40">
        <f t="shared" si="144"/>
        <v>0</v>
      </c>
      <c r="AD103" s="41">
        <v>0.1</v>
      </c>
      <c r="AE103" s="36">
        <f>2950*(P103)</f>
        <v>0</v>
      </c>
      <c r="AF103" s="28" t="e">
        <f t="shared" si="145"/>
        <v>#DIV/0!</v>
      </c>
      <c r="AG103" s="39">
        <f t="shared" si="146"/>
        <v>0</v>
      </c>
      <c r="AH103" s="39">
        <f t="shared" si="147"/>
        <v>0</v>
      </c>
      <c r="AI103" s="39">
        <f>SUMIF([1]헤몬팜마진!$B$7:$B$32,$C103,[1]헤몬팜마진!$V$7:$V$32)</f>
        <v>7377</v>
      </c>
      <c r="AJ103" s="39">
        <f t="shared" si="148"/>
        <v>0</v>
      </c>
      <c r="AK103" s="42">
        <f t="shared" si="149"/>
        <v>0</v>
      </c>
      <c r="AL103" s="43">
        <f>SUMIF([1]헤몬팜마진!$B$7:$B$32,$C103,[1]헤몬팜마진!$T$7:$T$32)</f>
        <v>49</v>
      </c>
      <c r="AM103" s="44">
        <f>SUMIF([1]헤몬팜마진!$B$7:$B$32,$C103,[1]헤몬팜마진!$U$7:$U$32)</f>
        <v>248</v>
      </c>
      <c r="AN103" s="38"/>
      <c r="AO103" s="52"/>
      <c r="AP103" s="52"/>
      <c r="AQ103" s="24"/>
      <c r="AR103" s="24"/>
      <c r="AS103" s="24"/>
      <c r="AT103" s="25"/>
      <c r="AU103" s="25"/>
      <c r="AV103" s="25"/>
      <c r="AW103" s="25"/>
      <c r="AX103" s="25"/>
      <c r="AY103" s="25"/>
      <c r="AZ103" s="25"/>
      <c r="BA103" s="25"/>
      <c r="BB103" s="25"/>
      <c r="BC103" s="25"/>
      <c r="BD103" s="25"/>
      <c r="BE103" s="25"/>
      <c r="BF103" s="25"/>
      <c r="BG103" s="25"/>
      <c r="BH103" s="25"/>
      <c r="BI103" s="25"/>
      <c r="BJ103" s="25"/>
      <c r="BK103" s="25"/>
    </row>
    <row r="104" spans="1:63" ht="28.5" customHeight="1">
      <c r="A104" s="47" t="s">
        <v>42</v>
      </c>
      <c r="B104" s="54"/>
      <c r="C104" s="27" t="s">
        <v>43</v>
      </c>
      <c r="D104" s="28">
        <f t="shared" si="132"/>
        <v>0.12306022350138937</v>
      </c>
      <c r="E104" s="29">
        <f t="shared" si="133"/>
        <v>0.38830913179833265</v>
      </c>
      <c r="F104" s="30">
        <f t="shared" si="134"/>
        <v>0.26524890829694325</v>
      </c>
      <c r="G104" s="30">
        <f t="shared" si="135"/>
        <v>2.2598870056497175E-2</v>
      </c>
      <c r="H104" s="31">
        <v>0</v>
      </c>
      <c r="I104" s="31">
        <f t="shared" si="136"/>
        <v>105</v>
      </c>
      <c r="J104" s="31">
        <f t="shared" si="137"/>
        <v>210</v>
      </c>
      <c r="K104" s="99">
        <v>430</v>
      </c>
      <c r="L104" s="32">
        <f>40+3+3</f>
        <v>46</v>
      </c>
      <c r="M104" s="33"/>
      <c r="N104" s="34">
        <v>15</v>
      </c>
      <c r="O104" s="45">
        <v>5</v>
      </c>
      <c r="P104" s="36">
        <f t="shared" si="138"/>
        <v>5</v>
      </c>
      <c r="Q104" s="38">
        <v>1</v>
      </c>
      <c r="R104" s="56">
        <v>4</v>
      </c>
      <c r="S104" s="38"/>
      <c r="T104" s="39">
        <f t="shared" si="139"/>
        <v>229000</v>
      </c>
      <c r="U104" s="36">
        <f t="shared" si="140"/>
        <v>0</v>
      </c>
      <c r="V104" s="39">
        <f t="shared" si="141"/>
        <v>229000</v>
      </c>
      <c r="W104" s="51">
        <v>45800</v>
      </c>
      <c r="X104" s="39">
        <f>SUMIF([1]헤몬팜마진!$B$7:$B$32,$C104,[1]헤몬팜마진!$R$7:$R$32)</f>
        <v>9990</v>
      </c>
      <c r="Y104" s="39">
        <f t="shared" si="142"/>
        <v>86660</v>
      </c>
      <c r="Z104" s="39">
        <f t="shared" si="143"/>
        <v>60742.000000000007</v>
      </c>
      <c r="AA104" s="98">
        <v>55220</v>
      </c>
      <c r="AB104" s="38"/>
      <c r="AC104" s="40">
        <f t="shared" ref="AC104:AC118" si="150">(1210+1100)*Q104</f>
        <v>2310</v>
      </c>
      <c r="AD104" s="41">
        <v>0.11</v>
      </c>
      <c r="AE104" s="36">
        <f t="shared" ref="AE104:AE106" si="151">4150*(P104)</f>
        <v>20750</v>
      </c>
      <c r="AF104" s="28">
        <f t="shared" si="145"/>
        <v>0.2006113537117904</v>
      </c>
      <c r="AG104" s="39">
        <f t="shared" si="146"/>
        <v>45940.03</v>
      </c>
      <c r="AH104" s="39">
        <f t="shared" si="147"/>
        <v>7477.1788181818192</v>
      </c>
      <c r="AI104" s="39">
        <f>SUMIF([1]헤몬팜마진!$B$7:$B$32,$C104,[1]헤몬팜마진!$V$7:$V$32)</f>
        <v>17332</v>
      </c>
      <c r="AJ104" s="39">
        <f t="shared" si="148"/>
        <v>88922.791181818175</v>
      </c>
      <c r="AK104" s="42">
        <f t="shared" si="149"/>
        <v>28180.791181818167</v>
      </c>
      <c r="AL104" s="43">
        <f>SUMIF([1]헤몬팜마진!$B$7:$B$32,$C104,[1]헤몬팜마진!$T$7:$T$32)</f>
        <v>162</v>
      </c>
      <c r="AM104" s="44">
        <f>SUMIF([1]헤몬팜마진!$B$7:$B$32,$C104,[1]헤몬팜마진!$U$7:$U$32)</f>
        <v>827</v>
      </c>
      <c r="AN104" s="38"/>
      <c r="AO104" s="52">
        <v>48468</v>
      </c>
      <c r="AP104" s="52">
        <v>177</v>
      </c>
      <c r="AQ104" s="24"/>
      <c r="AR104" s="24"/>
      <c r="AS104" s="24"/>
      <c r="AT104" s="25"/>
      <c r="AU104" s="25"/>
      <c r="AV104" s="25"/>
      <c r="AW104" s="25"/>
      <c r="AX104" s="25"/>
      <c r="AY104" s="25"/>
      <c r="AZ104" s="25"/>
      <c r="BA104" s="25"/>
      <c r="BB104" s="25"/>
      <c r="BC104" s="25"/>
      <c r="BD104" s="25"/>
      <c r="BE104" s="25"/>
      <c r="BF104" s="25"/>
      <c r="BG104" s="25"/>
      <c r="BH104" s="25"/>
      <c r="BI104" s="25"/>
      <c r="BJ104" s="25"/>
      <c r="BK104" s="25"/>
    </row>
    <row r="105" spans="1:63" ht="28.5" customHeight="1">
      <c r="A105" s="47"/>
      <c r="B105" s="58"/>
      <c r="C105" s="27" t="s">
        <v>44</v>
      </c>
      <c r="D105" s="28">
        <f t="shared" si="132"/>
        <v>0.15149002946127943</v>
      </c>
      <c r="E105" s="29">
        <f t="shared" si="133"/>
        <v>0.31462927447552447</v>
      </c>
      <c r="F105" s="30">
        <f t="shared" si="134"/>
        <v>0.16313924501424504</v>
      </c>
      <c r="G105" s="30">
        <f t="shared" si="135"/>
        <v>2.030456852791878E-2</v>
      </c>
      <c r="H105" s="31">
        <v>0</v>
      </c>
      <c r="I105" s="31">
        <f t="shared" si="136"/>
        <v>105</v>
      </c>
      <c r="J105" s="31">
        <f t="shared" si="137"/>
        <v>210</v>
      </c>
      <c r="K105" s="100"/>
      <c r="L105" s="32">
        <f>13+2</f>
        <v>15</v>
      </c>
      <c r="M105" s="33"/>
      <c r="N105" s="34">
        <v>15</v>
      </c>
      <c r="O105" s="45">
        <v>6</v>
      </c>
      <c r="P105" s="36">
        <f t="shared" si="138"/>
        <v>6</v>
      </c>
      <c r="Q105" s="45">
        <v>2</v>
      </c>
      <c r="R105" s="37">
        <v>4</v>
      </c>
      <c r="S105" s="38"/>
      <c r="T105" s="39">
        <f t="shared" si="139"/>
        <v>280800</v>
      </c>
      <c r="U105" s="36">
        <f t="shared" si="140"/>
        <v>0</v>
      </c>
      <c r="V105" s="39">
        <f t="shared" si="141"/>
        <v>280800</v>
      </c>
      <c r="W105" s="51">
        <v>46800</v>
      </c>
      <c r="X105" s="39">
        <f>SUMIF([1]헤몬팜마진!$B$7:$B$32,$C105,[1]헤몬팜마진!$R$7:$R$32)</f>
        <v>9990</v>
      </c>
      <c r="Y105" s="39">
        <f t="shared" si="142"/>
        <v>129792</v>
      </c>
      <c r="Z105" s="39">
        <f t="shared" si="143"/>
        <v>45809.500000000007</v>
      </c>
      <c r="AA105" s="98">
        <v>41645</v>
      </c>
      <c r="AB105" s="38"/>
      <c r="AC105" s="40">
        <f t="shared" si="150"/>
        <v>4620</v>
      </c>
      <c r="AD105" s="41">
        <v>0.11</v>
      </c>
      <c r="AE105" s="36">
        <f t="shared" si="151"/>
        <v>24900</v>
      </c>
      <c r="AF105" s="28">
        <f t="shared" si="145"/>
        <v>0.19867521367521368</v>
      </c>
      <c r="AG105" s="39">
        <f t="shared" si="146"/>
        <v>55788.03</v>
      </c>
      <c r="AH105" s="39">
        <f t="shared" si="147"/>
        <v>6872.0697272727266</v>
      </c>
      <c r="AI105" s="39">
        <f>SUMIF([1]헤몬팜마진!$B$7:$B$32,$C105,[1]헤몬팜마진!$V$7:$V$32)</f>
        <v>21632</v>
      </c>
      <c r="AJ105" s="39">
        <f t="shared" si="148"/>
        <v>88347.900272727275</v>
      </c>
      <c r="AK105" s="60">
        <f t="shared" si="149"/>
        <v>42538.400272727267</v>
      </c>
      <c r="AL105" s="43">
        <f>SUMIF([1]헤몬팜마진!$B$7:$B$32,$C105,[1]헤몬팜마진!$T$7:$T$32)</f>
        <v>162</v>
      </c>
      <c r="AM105" s="44">
        <f>SUMIF([1]헤몬팜마진!$B$7:$B$32,$C105,[1]헤몬팜마진!$U$7:$U$32)</f>
        <v>827</v>
      </c>
      <c r="AN105" s="38"/>
      <c r="AO105" s="52">
        <v>52465</v>
      </c>
      <c r="AP105" s="52">
        <v>197</v>
      </c>
      <c r="AQ105" s="24"/>
      <c r="AR105" s="24"/>
      <c r="AS105" s="24"/>
      <c r="AT105" s="25"/>
      <c r="AU105" s="25"/>
      <c r="AV105" s="25"/>
      <c r="AW105" s="25"/>
      <c r="AX105" s="25"/>
      <c r="AY105" s="25"/>
      <c r="AZ105" s="25"/>
      <c r="BA105" s="25"/>
      <c r="BB105" s="25"/>
      <c r="BC105" s="25"/>
      <c r="BD105" s="25"/>
      <c r="BE105" s="25"/>
      <c r="BF105" s="25"/>
      <c r="BG105" s="25"/>
      <c r="BH105" s="25"/>
      <c r="BI105" s="25"/>
      <c r="BJ105" s="25"/>
      <c r="BK105" s="25"/>
    </row>
    <row r="106" spans="1:63" ht="28.5" customHeight="1">
      <c r="A106" s="47" t="s">
        <v>50</v>
      </c>
      <c r="B106" s="101"/>
      <c r="C106" s="27" t="s">
        <v>51</v>
      </c>
      <c r="D106" s="65">
        <f t="shared" si="132"/>
        <v>0.15293147693010506</v>
      </c>
      <c r="E106" s="29">
        <f t="shared" si="133"/>
        <v>0.40132695431703974</v>
      </c>
      <c r="F106" s="30">
        <f t="shared" si="134"/>
        <v>0.24839547738693468</v>
      </c>
      <c r="G106" s="30">
        <f t="shared" si="135"/>
        <v>3.5294117647058823E-2</v>
      </c>
      <c r="H106" s="61">
        <v>0</v>
      </c>
      <c r="I106" s="31">
        <f t="shared" si="136"/>
        <v>140</v>
      </c>
      <c r="J106" s="31">
        <f t="shared" si="137"/>
        <v>280</v>
      </c>
      <c r="K106" s="99">
        <v>343</v>
      </c>
      <c r="L106" s="48">
        <f>97+42+48+31+19+10</f>
        <v>247</v>
      </c>
      <c r="M106" s="49"/>
      <c r="N106" s="34">
        <v>20</v>
      </c>
      <c r="O106" s="45">
        <v>5</v>
      </c>
      <c r="P106" s="36">
        <f t="shared" si="138"/>
        <v>5</v>
      </c>
      <c r="Q106" s="45">
        <v>0</v>
      </c>
      <c r="R106" s="37">
        <v>3</v>
      </c>
      <c r="S106" s="38"/>
      <c r="T106" s="39">
        <f t="shared" si="139"/>
        <v>199000</v>
      </c>
      <c r="U106" s="36">
        <f t="shared" si="140"/>
        <v>0</v>
      </c>
      <c r="V106" s="39">
        <f t="shared" si="141"/>
        <v>199000</v>
      </c>
      <c r="W106" s="51">
        <v>39800</v>
      </c>
      <c r="X106" s="39">
        <f>SUMIF([1]헤몬팜마진!$B$7:$B$32,$C106,[1]헤몬팜마진!$R$7:$R$32)</f>
        <v>7855</v>
      </c>
      <c r="Y106" s="39">
        <f t="shared" si="142"/>
        <v>75700</v>
      </c>
      <c r="Z106" s="39">
        <f t="shared" si="143"/>
        <v>49430.700000000004</v>
      </c>
      <c r="AA106" s="98">
        <v>44937</v>
      </c>
      <c r="AB106" s="63"/>
      <c r="AC106" s="40">
        <f t="shared" si="150"/>
        <v>0</v>
      </c>
      <c r="AD106" s="41">
        <v>0.08</v>
      </c>
      <c r="AE106" s="36">
        <f t="shared" si="151"/>
        <v>20750</v>
      </c>
      <c r="AF106" s="28">
        <f t="shared" si="145"/>
        <v>0.18427135678391959</v>
      </c>
      <c r="AG106" s="39">
        <f t="shared" si="146"/>
        <v>36670.03</v>
      </c>
      <c r="AH106" s="39">
        <f t="shared" si="147"/>
        <v>6765.9060909090877</v>
      </c>
      <c r="AI106" s="39">
        <f>SUMIF([1]헤몬팜마진!$B$7:$B$32,$C106,[1]헤몬팜마진!$V$7:$V$32)</f>
        <v>15140</v>
      </c>
      <c r="AJ106" s="39">
        <f t="shared" si="148"/>
        <v>79864.06390909091</v>
      </c>
      <c r="AK106" s="42">
        <f t="shared" si="149"/>
        <v>30433.363909090906</v>
      </c>
      <c r="AL106" s="43">
        <f>SUMIF([1]헤몬팜마진!$B$7:$B$32,$C106,[1]헤몬팜마진!$T$7:$T$32)</f>
        <v>176</v>
      </c>
      <c r="AM106" s="44">
        <f>SUMIF([1]헤몬팜마진!$B$7:$B$32,$C106,[1]헤몬팜마진!$U$7:$U$32)</f>
        <v>900</v>
      </c>
      <c r="AN106" s="38"/>
      <c r="AO106" s="52">
        <v>38437</v>
      </c>
      <c r="AP106" s="52">
        <v>85</v>
      </c>
      <c r="AQ106" s="24"/>
      <c r="AR106" s="24"/>
      <c r="AS106" s="24"/>
      <c r="AT106" s="25"/>
      <c r="AU106" s="25"/>
      <c r="AV106" s="25"/>
      <c r="AW106" s="25"/>
      <c r="AX106" s="25"/>
      <c r="AY106" s="25"/>
      <c r="AZ106" s="25"/>
      <c r="BA106" s="25"/>
      <c r="BB106" s="25"/>
      <c r="BC106" s="25"/>
      <c r="BD106" s="25"/>
      <c r="BE106" s="25"/>
      <c r="BF106" s="25"/>
      <c r="BG106" s="25"/>
      <c r="BH106" s="25"/>
      <c r="BI106" s="25"/>
      <c r="BJ106" s="25"/>
      <c r="BK106" s="25"/>
    </row>
    <row r="107" spans="1:63" ht="28.5" customHeight="1">
      <c r="A107" s="47"/>
      <c r="B107" s="102"/>
      <c r="C107" s="27" t="s">
        <v>52</v>
      </c>
      <c r="D107" s="28">
        <f t="shared" si="132"/>
        <v>6.0292692307692325E-2</v>
      </c>
      <c r="E107" s="29">
        <f t="shared" si="133"/>
        <v>0.39158756410256412</v>
      </c>
      <c r="F107" s="30">
        <f t="shared" si="134"/>
        <v>0.33129487179487183</v>
      </c>
      <c r="G107" s="30">
        <f t="shared" si="135"/>
        <v>3.0303030303030304E-2</v>
      </c>
      <c r="H107" s="103"/>
      <c r="I107" s="31">
        <f t="shared" si="136"/>
        <v>105</v>
      </c>
      <c r="J107" s="31">
        <f t="shared" si="137"/>
        <v>210</v>
      </c>
      <c r="K107" s="100"/>
      <c r="L107" s="48">
        <f>74+42+48+18+8+2</f>
        <v>192</v>
      </c>
      <c r="M107" s="49"/>
      <c r="N107" s="34">
        <v>15</v>
      </c>
      <c r="O107" s="38">
        <v>2</v>
      </c>
      <c r="P107" s="36">
        <f t="shared" si="138"/>
        <v>2</v>
      </c>
      <c r="Q107" s="38">
        <v>2</v>
      </c>
      <c r="R107" s="37">
        <v>2</v>
      </c>
      <c r="S107" s="38"/>
      <c r="T107" s="39">
        <f t="shared" si="139"/>
        <v>85800</v>
      </c>
      <c r="U107" s="36">
        <f t="shared" si="140"/>
        <v>0</v>
      </c>
      <c r="V107" s="39">
        <f t="shared" si="141"/>
        <v>85800</v>
      </c>
      <c r="W107" s="51">
        <v>42900</v>
      </c>
      <c r="X107" s="39">
        <f>SUMIF([1]헤몬팜마진!$B$7:$B$32,$C107,[1]헤몬팜마진!$R$7:$R$32)</f>
        <v>7855</v>
      </c>
      <c r="Y107" s="39">
        <f t="shared" si="142"/>
        <v>38882</v>
      </c>
      <c r="Z107" s="39">
        <f t="shared" si="143"/>
        <v>28425.100000000002</v>
      </c>
      <c r="AA107" s="98">
        <v>25841</v>
      </c>
      <c r="AB107" s="38"/>
      <c r="AC107" s="40">
        <f t="shared" si="150"/>
        <v>4620</v>
      </c>
      <c r="AD107" s="41">
        <v>7.8E-2</v>
      </c>
      <c r="AE107" s="36">
        <f>1900*(P107)</f>
        <v>3800</v>
      </c>
      <c r="AF107" s="28">
        <f t="shared" si="145"/>
        <v>0.12228904428904429</v>
      </c>
      <c r="AG107" s="39">
        <f t="shared" si="146"/>
        <v>10492.43</v>
      </c>
      <c r="AH107" s="39">
        <f t="shared" si="147"/>
        <v>2827.357</v>
      </c>
      <c r="AI107" s="39">
        <f>SUMIF([1]헤몬팜마진!$B$7:$B$32,$C107,[1]헤몬팜마진!$V$7:$V$32)</f>
        <v>19441</v>
      </c>
      <c r="AJ107" s="39">
        <f t="shared" si="148"/>
        <v>33598.213000000003</v>
      </c>
      <c r="AK107" s="60">
        <f t="shared" si="149"/>
        <v>5173.1130000000012</v>
      </c>
      <c r="AL107" s="43">
        <f>SUMIF([1]헤몬팜마진!$B$7:$B$32,$C107,[1]헤몬팜마진!$T$7:$T$32)</f>
        <v>176</v>
      </c>
      <c r="AM107" s="44">
        <f>SUMIF([1]헤몬팜마진!$B$7:$B$32,$C107,[1]헤몬팜마진!$U$7:$U$32)</f>
        <v>900</v>
      </c>
      <c r="AN107" s="38"/>
      <c r="AO107" s="52">
        <v>31691</v>
      </c>
      <c r="AP107" s="52">
        <v>66</v>
      </c>
      <c r="AQ107" s="24"/>
      <c r="AR107" s="24"/>
      <c r="AS107" s="24"/>
      <c r="AT107" s="25"/>
      <c r="AU107" s="25"/>
      <c r="AV107" s="25"/>
      <c r="AW107" s="25"/>
      <c r="AX107" s="25"/>
      <c r="AY107" s="25"/>
      <c r="AZ107" s="25"/>
      <c r="BA107" s="25"/>
      <c r="BB107" s="25"/>
      <c r="BC107" s="25"/>
      <c r="BD107" s="25"/>
      <c r="BE107" s="25"/>
      <c r="BF107" s="25"/>
      <c r="BG107" s="25"/>
      <c r="BH107" s="25"/>
      <c r="BI107" s="25"/>
      <c r="BJ107" s="25"/>
      <c r="BK107" s="25"/>
    </row>
    <row r="108" spans="1:63" ht="28.5" customHeight="1">
      <c r="A108" s="1" t="s">
        <v>45</v>
      </c>
      <c r="B108" s="101"/>
      <c r="C108" s="27" t="s">
        <v>46</v>
      </c>
      <c r="D108" s="28" t="e">
        <f t="shared" si="132"/>
        <v>#DIV/0!</v>
      </c>
      <c r="E108" s="29" t="e">
        <f t="shared" si="133"/>
        <v>#DIV/0!</v>
      </c>
      <c r="F108" s="30" t="e">
        <f t="shared" si="134"/>
        <v>#DIV/0!</v>
      </c>
      <c r="G108" s="30" t="e">
        <f t="shared" si="135"/>
        <v>#DIV/0!</v>
      </c>
      <c r="H108" s="61">
        <v>3504</v>
      </c>
      <c r="I108" s="31">
        <f t="shared" si="136"/>
        <v>210</v>
      </c>
      <c r="J108" s="31">
        <f t="shared" si="137"/>
        <v>420</v>
      </c>
      <c r="K108" s="99">
        <v>626</v>
      </c>
      <c r="L108" s="48">
        <f>30+13+6</f>
        <v>49</v>
      </c>
      <c r="M108" s="49"/>
      <c r="N108" s="62">
        <v>30</v>
      </c>
      <c r="O108" s="45"/>
      <c r="P108" s="36">
        <f t="shared" si="138"/>
        <v>0</v>
      </c>
      <c r="Q108" s="38"/>
      <c r="R108" s="56"/>
      <c r="S108" s="38"/>
      <c r="T108" s="39">
        <f t="shared" si="139"/>
        <v>0</v>
      </c>
      <c r="U108" s="36">
        <f t="shared" si="140"/>
        <v>0</v>
      </c>
      <c r="V108" s="39">
        <f t="shared" si="141"/>
        <v>0</v>
      </c>
      <c r="W108" s="51">
        <v>59800</v>
      </c>
      <c r="X108" s="39">
        <f>SUMIF([1]헤몬팜마진!$B$7:$B$32,$C108,[1]헤몬팜마진!$R$7:$R$32)</f>
        <v>13276</v>
      </c>
      <c r="Y108" s="39">
        <f t="shared" si="142"/>
        <v>0</v>
      </c>
      <c r="Z108" s="39">
        <f t="shared" si="143"/>
        <v>0</v>
      </c>
      <c r="AA108" s="98"/>
      <c r="AB108" s="63"/>
      <c r="AC108" s="40">
        <f t="shared" si="150"/>
        <v>0</v>
      </c>
      <c r="AD108" s="41">
        <v>0.108</v>
      </c>
      <c r="AE108" s="36">
        <f t="shared" ref="AE108:AE109" si="152">4825*(P108)</f>
        <v>0</v>
      </c>
      <c r="AF108" s="28" t="e">
        <f t="shared" si="145"/>
        <v>#DIV/0!</v>
      </c>
      <c r="AG108" s="39">
        <f t="shared" si="146"/>
        <v>0</v>
      </c>
      <c r="AH108" s="39">
        <f t="shared" si="147"/>
        <v>0</v>
      </c>
      <c r="AI108" s="39">
        <f>SUMIF([1]헤몬팜마진!$B$7:$B$32,$C108,[1]헤몬팜마진!$V$7:$V$32)</f>
        <v>21956</v>
      </c>
      <c r="AJ108" s="39">
        <f t="shared" si="148"/>
        <v>0</v>
      </c>
      <c r="AK108" s="42">
        <f t="shared" si="149"/>
        <v>0</v>
      </c>
      <c r="AL108" s="43">
        <f>SUMIF([1]헤몬팜마진!$B$7:$B$32,$C108,[1]헤몬팜마진!$T$7:$T$32)</f>
        <v>372</v>
      </c>
      <c r="AM108" s="44">
        <f>SUMIF([1]헤몬팜마진!$B$7:$B$32,$C108,[1]헤몬팜마진!$U$7:$U$32)</f>
        <v>1896</v>
      </c>
      <c r="AN108" s="38"/>
      <c r="AO108" s="45"/>
      <c r="AP108" s="46"/>
      <c r="AQ108" s="24"/>
      <c r="AR108" s="24"/>
      <c r="AS108" s="24"/>
      <c r="AT108" s="25"/>
      <c r="AU108" s="25"/>
      <c r="AV108" s="25"/>
      <c r="AW108" s="25"/>
      <c r="AX108" s="25"/>
      <c r="AY108" s="25"/>
      <c r="AZ108" s="25"/>
      <c r="BA108" s="25"/>
      <c r="BB108" s="25"/>
      <c r="BC108" s="25"/>
      <c r="BD108" s="25"/>
      <c r="BE108" s="25"/>
      <c r="BF108" s="25"/>
      <c r="BG108" s="25"/>
      <c r="BH108" s="25"/>
      <c r="BI108" s="25"/>
      <c r="BJ108" s="25"/>
      <c r="BK108" s="25"/>
    </row>
    <row r="109" spans="1:63" ht="28.5" customHeight="1">
      <c r="A109" s="1" t="s">
        <v>45</v>
      </c>
      <c r="B109" s="102"/>
      <c r="C109" s="27" t="s">
        <v>47</v>
      </c>
      <c r="D109" s="28" t="e">
        <f t="shared" si="132"/>
        <v>#DIV/0!</v>
      </c>
      <c r="E109" s="29" t="e">
        <f t="shared" si="133"/>
        <v>#DIV/0!</v>
      </c>
      <c r="F109" s="30" t="e">
        <f t="shared" si="134"/>
        <v>#DIV/0!</v>
      </c>
      <c r="G109" s="30">
        <f t="shared" si="135"/>
        <v>2.4390243902439025E-2</v>
      </c>
      <c r="H109" s="31">
        <v>0</v>
      </c>
      <c r="I109" s="31">
        <f t="shared" si="136"/>
        <v>210</v>
      </c>
      <c r="J109" s="31">
        <f t="shared" si="137"/>
        <v>420</v>
      </c>
      <c r="K109" s="100"/>
      <c r="L109" s="48">
        <f>4+11+18+38+129</f>
        <v>200</v>
      </c>
      <c r="M109" s="49"/>
      <c r="N109" s="34">
        <v>30</v>
      </c>
      <c r="O109" s="45"/>
      <c r="P109" s="36">
        <f t="shared" si="138"/>
        <v>0</v>
      </c>
      <c r="Q109" s="38">
        <v>1</v>
      </c>
      <c r="R109" s="56">
        <v>1</v>
      </c>
      <c r="S109" s="38"/>
      <c r="T109" s="39">
        <f t="shared" si="139"/>
        <v>0</v>
      </c>
      <c r="U109" s="36">
        <f t="shared" si="140"/>
        <v>0</v>
      </c>
      <c r="V109" s="39">
        <f t="shared" si="141"/>
        <v>0</v>
      </c>
      <c r="W109" s="51">
        <v>69780</v>
      </c>
      <c r="X109" s="39">
        <f>SUMIF([1]헤몬팜마진!$B$7:$B$32,$C109,[1]헤몬팜마진!$R$7:$R$32)</f>
        <v>13276</v>
      </c>
      <c r="Y109" s="39">
        <f t="shared" si="142"/>
        <v>0</v>
      </c>
      <c r="Z109" s="39">
        <f t="shared" si="143"/>
        <v>46192.3</v>
      </c>
      <c r="AA109" s="98">
        <v>41993</v>
      </c>
      <c r="AB109" s="38"/>
      <c r="AC109" s="40">
        <f t="shared" si="150"/>
        <v>2310</v>
      </c>
      <c r="AD109" s="41">
        <v>0.108</v>
      </c>
      <c r="AE109" s="36">
        <f t="shared" si="152"/>
        <v>0</v>
      </c>
      <c r="AF109" s="28" t="e">
        <f t="shared" si="145"/>
        <v>#DIV/0!</v>
      </c>
      <c r="AG109" s="39">
        <f t="shared" si="146"/>
        <v>0</v>
      </c>
      <c r="AH109" s="39">
        <f t="shared" si="147"/>
        <v>0</v>
      </c>
      <c r="AI109" s="39">
        <f>SUMIF([1]헤몬팜마진!$B$7:$B$32,$C109,[1]헤몬팜마진!$V$7:$V$32)</f>
        <v>26257</v>
      </c>
      <c r="AJ109" s="39">
        <f t="shared" si="148"/>
        <v>0</v>
      </c>
      <c r="AK109" s="42">
        <f t="shared" si="149"/>
        <v>-46192.3</v>
      </c>
      <c r="AL109" s="43">
        <f>SUMIF([1]헤몬팜마진!$B$7:$B$32,$C109,[1]헤몬팜마진!$T$7:$T$32)</f>
        <v>372</v>
      </c>
      <c r="AM109" s="44">
        <f>SUMIF([1]헤몬팜마진!$B$7:$B$32,$C109,[1]헤몬팜마진!$U$7:$U$32)</f>
        <v>1896</v>
      </c>
      <c r="AN109" s="38"/>
      <c r="AO109" s="52">
        <v>25321</v>
      </c>
      <c r="AP109" s="52">
        <v>41</v>
      </c>
      <c r="AQ109" s="24"/>
      <c r="AR109" s="24"/>
      <c r="AS109" s="24"/>
      <c r="AT109" s="25"/>
      <c r="AU109" s="25"/>
      <c r="AV109" s="25"/>
      <c r="AW109" s="25"/>
      <c r="AX109" s="25"/>
      <c r="AY109" s="25"/>
      <c r="AZ109" s="25"/>
      <c r="BA109" s="25"/>
      <c r="BB109" s="25"/>
      <c r="BC109" s="25"/>
      <c r="BD109" s="25"/>
      <c r="BE109" s="25"/>
      <c r="BF109" s="25"/>
      <c r="BG109" s="25"/>
      <c r="BH109" s="25"/>
      <c r="BI109" s="25"/>
      <c r="BJ109" s="25"/>
      <c r="BK109" s="25"/>
    </row>
    <row r="110" spans="1:63" ht="28.5" customHeight="1">
      <c r="A110" s="47" t="s">
        <v>48</v>
      </c>
      <c r="B110" s="26"/>
      <c r="C110" s="27" t="s">
        <v>49</v>
      </c>
      <c r="D110" s="28">
        <f t="shared" si="132"/>
        <v>2.598803163337909E-2</v>
      </c>
      <c r="E110" s="29">
        <f t="shared" si="133"/>
        <v>0.39082626412049493</v>
      </c>
      <c r="F110" s="30">
        <f t="shared" si="134"/>
        <v>0.36483823248711589</v>
      </c>
      <c r="G110" s="30">
        <f t="shared" si="135"/>
        <v>8.4112149532710276E-2</v>
      </c>
      <c r="H110" s="31">
        <v>500</v>
      </c>
      <c r="I110" s="31">
        <f t="shared" si="136"/>
        <v>105</v>
      </c>
      <c r="J110" s="31">
        <f t="shared" si="137"/>
        <v>210</v>
      </c>
      <c r="K110" s="48">
        <v>577</v>
      </c>
      <c r="L110" s="48">
        <v>211</v>
      </c>
      <c r="M110" s="49"/>
      <c r="N110" s="34">
        <v>15</v>
      </c>
      <c r="O110" s="45">
        <v>13</v>
      </c>
      <c r="P110" s="36">
        <f t="shared" si="138"/>
        <v>13</v>
      </c>
      <c r="Q110" s="45">
        <v>1</v>
      </c>
      <c r="R110" s="37">
        <v>9</v>
      </c>
      <c r="S110" s="45"/>
      <c r="T110" s="39">
        <f t="shared" si="139"/>
        <v>209560</v>
      </c>
      <c r="U110" s="36">
        <f t="shared" si="140"/>
        <v>0</v>
      </c>
      <c r="V110" s="39">
        <f t="shared" si="141"/>
        <v>209560</v>
      </c>
      <c r="W110" s="51">
        <v>16120</v>
      </c>
      <c r="X110" s="39">
        <f>SUMIF([1]헤몬팜마진!$B$7:$B$32,$C110,[1]헤몬팜마진!$R$7:$R$32)</f>
        <v>5089</v>
      </c>
      <c r="Y110" s="39">
        <f t="shared" si="142"/>
        <v>66638</v>
      </c>
      <c r="Z110" s="39">
        <f t="shared" si="143"/>
        <v>76455.5</v>
      </c>
      <c r="AA110" s="98">
        <v>69505</v>
      </c>
      <c r="AB110" s="64"/>
      <c r="AC110" s="40">
        <f t="shared" si="150"/>
        <v>2310</v>
      </c>
      <c r="AD110" s="41">
        <v>7.8E-2</v>
      </c>
      <c r="AE110" s="36">
        <f>2900*(P110)</f>
        <v>37700</v>
      </c>
      <c r="AF110" s="28">
        <f t="shared" si="145"/>
        <v>0.25790074441687344</v>
      </c>
      <c r="AG110" s="39">
        <f t="shared" si="146"/>
        <v>54045.71</v>
      </c>
      <c r="AH110" s="39">
        <f t="shared" si="147"/>
        <v>6974.738090909088</v>
      </c>
      <c r="AI110" s="39">
        <f>SUMIF([1]헤몬팜마진!$B$7:$B$32,$C110,[1]헤몬팜마진!$V$7:$V$32)</f>
        <v>5126</v>
      </c>
      <c r="AJ110" s="39">
        <f t="shared" si="148"/>
        <v>81901.551909090922</v>
      </c>
      <c r="AK110" s="60">
        <f t="shared" si="149"/>
        <v>5446.051909090922</v>
      </c>
      <c r="AL110" s="43">
        <f>SUMIF([1]헤몬팜마진!$B$7:$B$32,$C110,[1]헤몬팜마진!$T$7:$T$32)</f>
        <v>6</v>
      </c>
      <c r="AM110" s="44">
        <f>SUMIF([1]헤몬팜마진!$B$7:$B$32,$C110,[1]헤몬팜마진!$U$7:$U$32)</f>
        <v>31</v>
      </c>
      <c r="AN110" s="38"/>
      <c r="AO110" s="52">
        <v>42851</v>
      </c>
      <c r="AP110" s="52">
        <v>107</v>
      </c>
      <c r="AQ110" s="24"/>
      <c r="AR110" s="24"/>
      <c r="AS110" s="24"/>
      <c r="AT110" s="25"/>
      <c r="AU110" s="25"/>
      <c r="AV110" s="25"/>
      <c r="AW110" s="25"/>
      <c r="AX110" s="25"/>
      <c r="AY110" s="25"/>
      <c r="AZ110" s="25"/>
      <c r="BA110" s="25"/>
      <c r="BB110" s="25"/>
      <c r="BC110" s="25"/>
      <c r="BD110" s="25"/>
      <c r="BE110" s="25"/>
      <c r="BF110" s="25"/>
      <c r="BG110" s="25"/>
      <c r="BH110" s="25"/>
      <c r="BI110" s="25"/>
      <c r="BJ110" s="25"/>
      <c r="BK110" s="25"/>
    </row>
    <row r="111" spans="1:63" ht="28.5" customHeight="1">
      <c r="A111" s="47" t="s">
        <v>53</v>
      </c>
      <c r="B111" s="26"/>
      <c r="C111" s="27" t="s">
        <v>54</v>
      </c>
      <c r="D111" s="28">
        <f t="shared" si="132"/>
        <v>0.13104116256313131</v>
      </c>
      <c r="E111" s="29">
        <f t="shared" si="133"/>
        <v>0.36300748200757577</v>
      </c>
      <c r="F111" s="30">
        <f t="shared" si="134"/>
        <v>0.23196631944444446</v>
      </c>
      <c r="G111" s="30">
        <f t="shared" si="135"/>
        <v>0.10204081632653061</v>
      </c>
      <c r="H111" s="31">
        <v>1750</v>
      </c>
      <c r="I111" s="31">
        <f t="shared" si="136"/>
        <v>350</v>
      </c>
      <c r="J111" s="31">
        <f t="shared" si="137"/>
        <v>700</v>
      </c>
      <c r="K111" s="48">
        <v>1449</v>
      </c>
      <c r="L111" s="48">
        <v>1217</v>
      </c>
      <c r="M111" s="49"/>
      <c r="N111" s="34">
        <v>50</v>
      </c>
      <c r="O111" s="45">
        <v>15</v>
      </c>
      <c r="P111" s="36">
        <f t="shared" si="138"/>
        <v>15</v>
      </c>
      <c r="Q111" s="38">
        <v>3</v>
      </c>
      <c r="R111" s="37">
        <v>10</v>
      </c>
      <c r="S111" s="38"/>
      <c r="T111" s="39">
        <f t="shared" si="139"/>
        <v>288000</v>
      </c>
      <c r="U111" s="36">
        <f t="shared" si="140"/>
        <v>0</v>
      </c>
      <c r="V111" s="39">
        <f t="shared" si="141"/>
        <v>288000</v>
      </c>
      <c r="W111" s="51">
        <v>19200</v>
      </c>
      <c r="X111" s="39">
        <f>SUMIF([1]헤몬팜마진!$B$7:$B$32,$C111,[1]헤몬팜마진!$R$7:$R$32)</f>
        <v>6373</v>
      </c>
      <c r="Y111" s="39">
        <f t="shared" si="142"/>
        <v>101565</v>
      </c>
      <c r="Z111" s="39">
        <f t="shared" si="143"/>
        <v>66806.3</v>
      </c>
      <c r="AA111" s="98">
        <v>60733</v>
      </c>
      <c r="AB111" s="38"/>
      <c r="AC111" s="40">
        <f t="shared" si="150"/>
        <v>6930</v>
      </c>
      <c r="AD111" s="41">
        <v>0.08</v>
      </c>
      <c r="AE111" s="36">
        <f>3350*(P111)</f>
        <v>50250</v>
      </c>
      <c r="AF111" s="28">
        <f t="shared" si="145"/>
        <v>0.25447916666666665</v>
      </c>
      <c r="AG111" s="39">
        <f t="shared" si="146"/>
        <v>73290.03</v>
      </c>
      <c r="AH111" s="39">
        <f t="shared" si="147"/>
        <v>8598.8151818181796</v>
      </c>
      <c r="AI111" s="39">
        <f>SUMIF([1]헤몬팜마진!$B$7:$B$32,$C111,[1]헤몬팜마진!$V$7:$V$32)</f>
        <v>6771</v>
      </c>
      <c r="AJ111" s="39">
        <f t="shared" si="148"/>
        <v>104546.15481818182</v>
      </c>
      <c r="AK111" s="42">
        <f t="shared" si="149"/>
        <v>37739.854818181819</v>
      </c>
      <c r="AL111" s="43">
        <f>SUMIF([1]헤몬팜마진!$B$7:$B$32,$C111,[1]헤몬팜마진!$T$7:$T$32)</f>
        <v>65</v>
      </c>
      <c r="AM111" s="44">
        <f>SUMIF([1]헤몬팜마진!$B$7:$B$32,$C111,[1]헤몬팜마진!$U$7:$U$32)</f>
        <v>333</v>
      </c>
      <c r="AN111" s="38"/>
      <c r="AO111" s="52">
        <v>45121</v>
      </c>
      <c r="AP111" s="52">
        <v>98</v>
      </c>
      <c r="AQ111" s="24"/>
      <c r="AR111" s="24"/>
      <c r="AS111" s="24"/>
      <c r="AT111" s="25"/>
      <c r="AU111" s="25"/>
      <c r="AV111" s="25"/>
      <c r="AW111" s="25"/>
      <c r="AX111" s="25"/>
      <c r="AY111" s="25"/>
      <c r="AZ111" s="25"/>
      <c r="BA111" s="25"/>
      <c r="BB111" s="25"/>
      <c r="BC111" s="25"/>
      <c r="BD111" s="25"/>
      <c r="BE111" s="25"/>
      <c r="BF111" s="25"/>
      <c r="BG111" s="25"/>
      <c r="BH111" s="25"/>
      <c r="BI111" s="25"/>
      <c r="BJ111" s="25"/>
      <c r="BK111" s="25"/>
    </row>
    <row r="112" spans="1:63" ht="28.5" customHeight="1">
      <c r="A112" s="53" t="s">
        <v>55</v>
      </c>
      <c r="B112" s="67"/>
      <c r="C112" s="27" t="s">
        <v>56</v>
      </c>
      <c r="D112" s="28">
        <f t="shared" si="132"/>
        <v>0.19899757625867817</v>
      </c>
      <c r="E112" s="29">
        <f t="shared" si="133"/>
        <v>0.41710691680788642</v>
      </c>
      <c r="F112" s="30">
        <f t="shared" si="134"/>
        <v>0.21810934054920827</v>
      </c>
      <c r="G112" s="30">
        <f t="shared" si="135"/>
        <v>5.6074766355140186E-2</v>
      </c>
      <c r="H112" s="31">
        <v>0</v>
      </c>
      <c r="I112" s="31">
        <f t="shared" si="136"/>
        <v>70</v>
      </c>
      <c r="J112" s="31">
        <f t="shared" si="137"/>
        <v>140</v>
      </c>
      <c r="K112" s="68">
        <v>494</v>
      </c>
      <c r="L112" s="48">
        <v>0</v>
      </c>
      <c r="M112" s="49"/>
      <c r="N112" s="34">
        <v>10</v>
      </c>
      <c r="O112" s="38">
        <v>8</v>
      </c>
      <c r="P112" s="36">
        <f t="shared" si="138"/>
        <v>8</v>
      </c>
      <c r="Q112" s="38">
        <v>1</v>
      </c>
      <c r="R112" s="37">
        <v>6</v>
      </c>
      <c r="S112" s="38"/>
      <c r="T112" s="39">
        <f t="shared" si="139"/>
        <v>399120</v>
      </c>
      <c r="U112" s="36">
        <f t="shared" si="140"/>
        <v>0</v>
      </c>
      <c r="V112" s="39">
        <f t="shared" si="141"/>
        <v>399120</v>
      </c>
      <c r="W112" s="51">
        <v>49890</v>
      </c>
      <c r="X112" s="39">
        <f>SUMIF([1]헤몬팜마진!$B$7:$B$32,$C112,[1]헤몬팜마진!$R$7:$R$32)</f>
        <v>12170</v>
      </c>
      <c r="Y112" s="39">
        <f t="shared" si="142"/>
        <v>148608</v>
      </c>
      <c r="Z112" s="39">
        <f t="shared" si="143"/>
        <v>87051.8</v>
      </c>
      <c r="AA112" s="98">
        <v>79138</v>
      </c>
      <c r="AB112" s="38"/>
      <c r="AC112" s="40">
        <f t="shared" si="150"/>
        <v>2310</v>
      </c>
      <c r="AD112" s="41">
        <v>7.8E-2</v>
      </c>
      <c r="AE112" s="36">
        <f t="shared" ref="AE112:AE113" si="153">4825*(P112)</f>
        <v>38600</v>
      </c>
      <c r="AF112" s="28">
        <f t="shared" si="145"/>
        <v>0.17471276808979755</v>
      </c>
      <c r="AG112" s="39">
        <f t="shared" si="146"/>
        <v>69731.39</v>
      </c>
      <c r="AH112" s="39">
        <f t="shared" si="147"/>
        <v>14304.897363636359</v>
      </c>
      <c r="AI112" s="39">
        <f>SUMIF([1]헤몬팜마진!$B$7:$B$32,$C112,[1]헤몬팜마진!$V$7:$V$32)</f>
        <v>18576</v>
      </c>
      <c r="AJ112" s="39">
        <f t="shared" si="148"/>
        <v>166475.71263636363</v>
      </c>
      <c r="AK112" s="60">
        <f t="shared" si="149"/>
        <v>79423.912636363631</v>
      </c>
      <c r="AL112" s="43">
        <f>SUMIF([1]헤몬팜마진!$B$7:$B$32,$C112,[1]헤몬팜마진!$T$7:$T$32)</f>
        <v>181</v>
      </c>
      <c r="AM112" s="44">
        <f>SUMIF([1]헤몬팜마진!$B$7:$B$32,$C112,[1]헤몬팜마진!$U$7:$U$32)</f>
        <v>926</v>
      </c>
      <c r="AN112" s="38"/>
      <c r="AO112" s="52">
        <v>11309</v>
      </c>
      <c r="AP112" s="52">
        <v>107</v>
      </c>
      <c r="AQ112" s="24"/>
      <c r="AR112" s="24"/>
      <c r="AS112" s="24"/>
      <c r="AT112" s="25"/>
      <c r="AU112" s="25"/>
      <c r="AV112" s="25"/>
      <c r="AW112" s="25"/>
      <c r="AX112" s="25"/>
      <c r="AY112" s="25"/>
      <c r="AZ112" s="25"/>
      <c r="BA112" s="25"/>
      <c r="BB112" s="25"/>
      <c r="BC112" s="25"/>
      <c r="BD112" s="25"/>
      <c r="BE112" s="25"/>
      <c r="BF112" s="25"/>
      <c r="BG112" s="25"/>
      <c r="BH112" s="25"/>
      <c r="BI112" s="25"/>
      <c r="BJ112" s="25"/>
      <c r="BK112" s="25"/>
    </row>
    <row r="113" spans="1:63" ht="28.5" customHeight="1">
      <c r="A113" s="57"/>
      <c r="B113" s="58"/>
      <c r="C113" s="27" t="s">
        <v>57</v>
      </c>
      <c r="D113" s="28">
        <f t="shared" si="132"/>
        <v>9.614419470663868E-2</v>
      </c>
      <c r="E113" s="29">
        <f t="shared" si="133"/>
        <v>0.40921163175389641</v>
      </c>
      <c r="F113" s="30">
        <f t="shared" si="134"/>
        <v>0.3130674370472577</v>
      </c>
      <c r="G113" s="30">
        <f t="shared" si="135"/>
        <v>1.7751479289940829E-2</v>
      </c>
      <c r="H113" s="31">
        <v>0</v>
      </c>
      <c r="I113" s="31">
        <f t="shared" si="136"/>
        <v>70</v>
      </c>
      <c r="J113" s="31">
        <f t="shared" si="137"/>
        <v>140</v>
      </c>
      <c r="K113" s="59"/>
      <c r="L113" s="48">
        <v>1</v>
      </c>
      <c r="M113" s="49"/>
      <c r="N113" s="34">
        <v>10</v>
      </c>
      <c r="O113" s="45">
        <v>6</v>
      </c>
      <c r="P113" s="36">
        <f t="shared" si="138"/>
        <v>6</v>
      </c>
      <c r="Q113" s="45">
        <v>2</v>
      </c>
      <c r="R113" s="37">
        <v>3</v>
      </c>
      <c r="S113" s="38"/>
      <c r="T113" s="39">
        <f t="shared" si="139"/>
        <v>347880</v>
      </c>
      <c r="U113" s="36">
        <f t="shared" si="140"/>
        <v>0</v>
      </c>
      <c r="V113" s="39">
        <f t="shared" si="141"/>
        <v>347880</v>
      </c>
      <c r="W113" s="51">
        <v>57980</v>
      </c>
      <c r="X113" s="39">
        <f>SUMIF([1]헤몬팜마진!$B$7:$B$32,$C113,[1]헤몬팜마진!$R$7:$R$32)</f>
        <v>12170</v>
      </c>
      <c r="Y113" s="39">
        <f t="shared" si="142"/>
        <v>137256</v>
      </c>
      <c r="Z113" s="39">
        <f t="shared" si="143"/>
        <v>108909.90000000001</v>
      </c>
      <c r="AA113" s="98">
        <v>99009</v>
      </c>
      <c r="AB113" s="38"/>
      <c r="AC113" s="40">
        <f t="shared" si="150"/>
        <v>4620</v>
      </c>
      <c r="AD113" s="41">
        <v>7.8E-2</v>
      </c>
      <c r="AE113" s="36">
        <f t="shared" si="153"/>
        <v>28950</v>
      </c>
      <c r="AF113" s="28">
        <f t="shared" si="145"/>
        <v>0.16121835115557087</v>
      </c>
      <c r="AG113" s="39">
        <f t="shared" si="146"/>
        <v>56084.669999999991</v>
      </c>
      <c r="AH113" s="39">
        <f t="shared" si="147"/>
        <v>12182.787545454546</v>
      </c>
      <c r="AI113" s="39">
        <f>SUMIF([1]헤몬팜마진!$B$7:$B$32,$C113,[1]헤몬팜마진!$V$7:$V$32)</f>
        <v>22876</v>
      </c>
      <c r="AJ113" s="39">
        <f t="shared" si="148"/>
        <v>142356.54245454547</v>
      </c>
      <c r="AK113" s="42">
        <f t="shared" si="149"/>
        <v>33446.642454545465</v>
      </c>
      <c r="AL113" s="43">
        <f>SUMIF([1]헤몬팜마진!$B$7:$B$32,$C113,[1]헤몬팜마진!$T$7:$T$32)</f>
        <v>181</v>
      </c>
      <c r="AM113" s="44">
        <f>SUMIF([1]헤몬팜마진!$B$7:$B$32,$C113,[1]헤몬팜마진!$U$7:$U$32)</f>
        <v>926</v>
      </c>
      <c r="AN113" s="38"/>
      <c r="AO113" s="52">
        <v>12543</v>
      </c>
      <c r="AP113" s="52">
        <v>169</v>
      </c>
      <c r="AQ113" s="24"/>
      <c r="AR113" s="24"/>
      <c r="AS113" s="24"/>
      <c r="AT113" s="25"/>
      <c r="AU113" s="25"/>
      <c r="AV113" s="25"/>
      <c r="AW113" s="25"/>
      <c r="AX113" s="25"/>
      <c r="AY113" s="25"/>
      <c r="AZ113" s="25"/>
      <c r="BA113" s="25"/>
      <c r="BB113" s="25"/>
      <c r="BC113" s="25"/>
      <c r="BD113" s="25"/>
      <c r="BE113" s="25"/>
      <c r="BF113" s="25"/>
      <c r="BG113" s="25"/>
      <c r="BH113" s="25"/>
      <c r="BI113" s="25"/>
      <c r="BJ113" s="25"/>
      <c r="BK113" s="25"/>
    </row>
    <row r="114" spans="1:63" ht="28.5" customHeight="1">
      <c r="A114" s="47" t="s">
        <v>58</v>
      </c>
      <c r="B114" s="26"/>
      <c r="C114" s="27" t="s">
        <v>59</v>
      </c>
      <c r="D114" s="28">
        <f t="shared" si="132"/>
        <v>0.27508323001787544</v>
      </c>
      <c r="E114" s="29">
        <f t="shared" si="133"/>
        <v>0.438368342377426</v>
      </c>
      <c r="F114" s="30">
        <f t="shared" si="134"/>
        <v>0.16328511235955059</v>
      </c>
      <c r="G114" s="30">
        <f t="shared" si="135"/>
        <v>3.215434083601286E-2</v>
      </c>
      <c r="H114" s="31">
        <v>2000</v>
      </c>
      <c r="I114" s="31">
        <f t="shared" si="136"/>
        <v>700</v>
      </c>
      <c r="J114" s="31">
        <f t="shared" si="137"/>
        <v>1400</v>
      </c>
      <c r="K114" s="48">
        <v>2373</v>
      </c>
      <c r="L114" s="48">
        <v>3</v>
      </c>
      <c r="M114" s="49"/>
      <c r="N114" s="34">
        <v>100</v>
      </c>
      <c r="O114" s="45">
        <v>16</v>
      </c>
      <c r="P114" s="36">
        <f t="shared" si="138"/>
        <v>16</v>
      </c>
      <c r="Q114" s="45">
        <v>7</v>
      </c>
      <c r="R114" s="37">
        <v>10</v>
      </c>
      <c r="S114" s="38"/>
      <c r="T114" s="39">
        <f t="shared" si="139"/>
        <v>284800</v>
      </c>
      <c r="U114" s="36">
        <f t="shared" si="140"/>
        <v>0</v>
      </c>
      <c r="V114" s="39">
        <f t="shared" si="141"/>
        <v>284800</v>
      </c>
      <c r="W114" s="51">
        <v>17800</v>
      </c>
      <c r="X114" s="39">
        <f>SUMIF([1]헤몬팜마진!$B$7:$B$32,$C114,[1]헤몬팜마진!$R$7:$R$32)</f>
        <v>3983</v>
      </c>
      <c r="Y114" s="39">
        <f t="shared" si="142"/>
        <v>77392</v>
      </c>
      <c r="Z114" s="39">
        <f t="shared" si="143"/>
        <v>46503.600000000006</v>
      </c>
      <c r="AA114" s="98">
        <f>30619+11657</f>
        <v>42276</v>
      </c>
      <c r="AB114" s="38"/>
      <c r="AC114" s="40">
        <f t="shared" si="150"/>
        <v>16170</v>
      </c>
      <c r="AD114" s="41">
        <v>7.8E-2</v>
      </c>
      <c r="AE114" s="36">
        <f>3100*(P114)</f>
        <v>49600</v>
      </c>
      <c r="AF114" s="28">
        <f t="shared" si="145"/>
        <v>0.25215730337078651</v>
      </c>
      <c r="AG114" s="39">
        <f t="shared" si="146"/>
        <v>71814.429999999993</v>
      </c>
      <c r="AH114" s="39">
        <f t="shared" si="147"/>
        <v>10746.266090909088</v>
      </c>
      <c r="AI114" s="39">
        <f>SUMIF([1]헤몬팜마진!$B$7:$B$32,$C114,[1]헤몬팜마진!$V$7:$V$32)</f>
        <v>4837</v>
      </c>
      <c r="AJ114" s="39">
        <f t="shared" si="148"/>
        <v>124847.30390909093</v>
      </c>
      <c r="AK114" s="42">
        <f t="shared" si="149"/>
        <v>78343.703909090924</v>
      </c>
      <c r="AL114" s="43">
        <f>SUMIF([1]헤몬팜마진!$B$7:$B$32,$C114,[1]헤몬팜마진!$T$7:$T$32)</f>
        <v>140</v>
      </c>
      <c r="AM114" s="44">
        <f>SUMIF([1]헤몬팜마진!$B$7:$B$32,$C114,[1]헤몬팜마진!$U$7:$U$32)</f>
        <v>714</v>
      </c>
      <c r="AN114" s="38"/>
      <c r="AO114" s="52">
        <v>87572</v>
      </c>
      <c r="AP114" s="52">
        <v>311</v>
      </c>
      <c r="AQ114" s="24"/>
      <c r="AR114" s="24"/>
      <c r="AS114" s="24"/>
      <c r="AT114" s="25"/>
      <c r="AU114" s="25"/>
      <c r="AV114" s="25"/>
      <c r="AW114" s="25"/>
      <c r="AX114" s="25"/>
      <c r="AY114" s="25"/>
      <c r="AZ114" s="25"/>
      <c r="BA114" s="25"/>
      <c r="BB114" s="25"/>
      <c r="BC114" s="25"/>
      <c r="BD114" s="25"/>
      <c r="BE114" s="25"/>
      <c r="BF114" s="25"/>
      <c r="BG114" s="25"/>
      <c r="BH114" s="25"/>
      <c r="BI114" s="25"/>
      <c r="BJ114" s="25"/>
      <c r="BK114" s="25"/>
    </row>
    <row r="115" spans="1:63" ht="28.5" customHeight="1">
      <c r="A115" s="47" t="s">
        <v>64</v>
      </c>
      <c r="B115" s="70" t="s">
        <v>65</v>
      </c>
      <c r="C115" s="27" t="s">
        <v>66</v>
      </c>
      <c r="D115" s="28">
        <f t="shared" si="132"/>
        <v>0.25585596153140933</v>
      </c>
      <c r="E115" s="29">
        <f t="shared" si="133"/>
        <v>0.43443623583556423</v>
      </c>
      <c r="F115" s="30">
        <f t="shared" si="134"/>
        <v>0.17858027430415491</v>
      </c>
      <c r="G115" s="30">
        <f t="shared" si="135"/>
        <v>0.1326530612244898</v>
      </c>
      <c r="H115" s="31">
        <v>2000</v>
      </c>
      <c r="I115" s="31">
        <f t="shared" si="136"/>
        <v>280</v>
      </c>
      <c r="J115" s="31">
        <f t="shared" si="137"/>
        <v>560</v>
      </c>
      <c r="K115" s="104">
        <v>1048</v>
      </c>
      <c r="L115" s="48">
        <f>311+240+1</f>
        <v>552</v>
      </c>
      <c r="M115" s="49"/>
      <c r="N115" s="34">
        <v>40</v>
      </c>
      <c r="O115" s="45">
        <v>20</v>
      </c>
      <c r="P115" s="36">
        <f t="shared" si="138"/>
        <v>20</v>
      </c>
      <c r="Q115" s="45">
        <v>6</v>
      </c>
      <c r="R115" s="37">
        <v>13</v>
      </c>
      <c r="S115" s="38"/>
      <c r="T115" s="39">
        <f t="shared" si="139"/>
        <v>495800</v>
      </c>
      <c r="U115" s="36">
        <f t="shared" si="140"/>
        <v>0</v>
      </c>
      <c r="V115" s="39">
        <f t="shared" si="141"/>
        <v>495800</v>
      </c>
      <c r="W115" s="51">
        <v>24790</v>
      </c>
      <c r="X115" s="39">
        <f>SUMIF([1]헤몬팜마진!$B$7:$B$32,$C115,[1]헤몬팜마진!$R$7:$R$32)</f>
        <v>6859</v>
      </c>
      <c r="Y115" s="39">
        <f t="shared" si="142"/>
        <v>145080</v>
      </c>
      <c r="Z115" s="39">
        <f t="shared" si="143"/>
        <v>88540.1</v>
      </c>
      <c r="AA115" s="98">
        <v>80491</v>
      </c>
      <c r="AB115" s="63"/>
      <c r="AC115" s="40">
        <f t="shared" si="150"/>
        <v>13860</v>
      </c>
      <c r="AD115" s="41">
        <v>0.108</v>
      </c>
      <c r="AE115" s="36">
        <f>3150*(P115)</f>
        <v>63000</v>
      </c>
      <c r="AF115" s="28">
        <f t="shared" si="145"/>
        <v>0.23506736587333604</v>
      </c>
      <c r="AG115" s="39">
        <f t="shared" si="146"/>
        <v>116546.43000000001</v>
      </c>
      <c r="AH115" s="39">
        <f t="shared" si="147"/>
        <v>18780.084272727272</v>
      </c>
      <c r="AI115" s="39">
        <f>SUMIF([1]헤몬팜마진!$B$7:$B$32,$C115,[1]헤몬팜마진!$V$7:$V$32)</f>
        <v>7254</v>
      </c>
      <c r="AJ115" s="39">
        <f t="shared" si="148"/>
        <v>215393.48572727275</v>
      </c>
      <c r="AK115" s="60">
        <f t="shared" si="149"/>
        <v>126853.38572727275</v>
      </c>
      <c r="AL115" s="43">
        <f>SUMIF([1]헤몬팜마진!$B$7:$B$32,$C115,[1]헤몬팜마진!$T$7:$T$32)</f>
        <v>65</v>
      </c>
      <c r="AM115" s="44">
        <f>SUMIF([1]헤몬팜마진!$B$7:$B$32,$C115,[1]헤몬팜마진!$U$7:$U$32)</f>
        <v>330</v>
      </c>
      <c r="AN115" s="38"/>
      <c r="AO115" s="52">
        <v>34789</v>
      </c>
      <c r="AP115" s="52">
        <v>98</v>
      </c>
      <c r="AQ115" s="24"/>
      <c r="AR115" s="24"/>
      <c r="AS115" s="24"/>
      <c r="AT115" s="25"/>
      <c r="AU115" s="25"/>
      <c r="AV115" s="25"/>
      <c r="AW115" s="25"/>
      <c r="AX115" s="25"/>
      <c r="AY115" s="25"/>
      <c r="AZ115" s="25"/>
      <c r="BA115" s="25"/>
      <c r="BB115" s="25"/>
      <c r="BC115" s="25"/>
      <c r="BD115" s="25"/>
      <c r="BE115" s="25"/>
      <c r="BF115" s="25"/>
      <c r="BG115" s="25"/>
      <c r="BH115" s="25"/>
      <c r="BI115" s="25"/>
      <c r="BJ115" s="25"/>
      <c r="BK115" s="25"/>
    </row>
    <row r="116" spans="1:63" ht="28.5" customHeight="1">
      <c r="A116" s="47"/>
      <c r="B116" s="69" t="s">
        <v>67</v>
      </c>
      <c r="C116" s="27" t="s">
        <v>68</v>
      </c>
      <c r="D116" s="28">
        <f t="shared" si="132"/>
        <v>-0.51973539744175423</v>
      </c>
      <c r="E116" s="29">
        <f t="shared" si="133"/>
        <v>0.41263897441754221</v>
      </c>
      <c r="F116" s="30">
        <f t="shared" si="134"/>
        <v>0.9323743718592965</v>
      </c>
      <c r="G116" s="30">
        <f t="shared" si="135"/>
        <v>0</v>
      </c>
      <c r="H116" s="31">
        <v>0</v>
      </c>
      <c r="I116" s="31">
        <f t="shared" si="136"/>
        <v>105</v>
      </c>
      <c r="J116" s="31">
        <f t="shared" si="137"/>
        <v>210</v>
      </c>
      <c r="K116" s="105"/>
      <c r="L116" s="48">
        <f>22+3</f>
        <v>25</v>
      </c>
      <c r="M116" s="49"/>
      <c r="N116" s="34">
        <v>15</v>
      </c>
      <c r="O116" s="38">
        <v>1</v>
      </c>
      <c r="P116" s="36">
        <f t="shared" si="138"/>
        <v>1</v>
      </c>
      <c r="Q116" s="38"/>
      <c r="R116" s="50"/>
      <c r="S116" s="38"/>
      <c r="T116" s="39">
        <f t="shared" si="139"/>
        <v>39800</v>
      </c>
      <c r="U116" s="36">
        <f t="shared" si="140"/>
        <v>0</v>
      </c>
      <c r="V116" s="39">
        <f t="shared" si="141"/>
        <v>39800</v>
      </c>
      <c r="W116" s="51">
        <v>39800</v>
      </c>
      <c r="X116" s="39">
        <f>SUMIF([1]헤몬팜마진!$B$7:$B$32,$C116,[1]헤몬팜마진!$R$7:$R$32)</f>
        <v>13719</v>
      </c>
      <c r="Y116" s="39">
        <f t="shared" si="142"/>
        <v>14113</v>
      </c>
      <c r="Z116" s="39">
        <f t="shared" si="143"/>
        <v>37108.5</v>
      </c>
      <c r="AA116" s="98">
        <v>33735</v>
      </c>
      <c r="AB116" s="63"/>
      <c r="AC116" s="40">
        <f t="shared" si="150"/>
        <v>0</v>
      </c>
      <c r="AD116" s="41">
        <v>0.108</v>
      </c>
      <c r="AE116" s="36">
        <f>3550*(P116)</f>
        <v>3550</v>
      </c>
      <c r="AF116" s="28">
        <f t="shared" si="145"/>
        <v>0.1971959798994975</v>
      </c>
      <c r="AG116" s="39">
        <f t="shared" si="146"/>
        <v>7848.43</v>
      </c>
      <c r="AH116" s="39">
        <f t="shared" si="147"/>
        <v>1415.538818181818</v>
      </c>
      <c r="AI116" s="39">
        <f>SUMIF([1]헤몬팜마진!$B$7:$B$32,$C116,[1]헤몬팜마진!$V$7:$V$32)</f>
        <v>14113</v>
      </c>
      <c r="AJ116" s="39">
        <f t="shared" si="148"/>
        <v>16423.03118181818</v>
      </c>
      <c r="AK116" s="60">
        <f t="shared" si="149"/>
        <v>-20685.46881818182</v>
      </c>
      <c r="AL116" s="43">
        <f>SUMIF([1]헤몬팜마진!$B$7:$B$32,$C116,[1]헤몬팜마진!$T$7:$T$32)</f>
        <v>65</v>
      </c>
      <c r="AM116" s="44">
        <f>SUMIF([1]헤몬팜마진!$B$7:$B$32,$C116,[1]헤몬팜마진!$U$7:$U$32)</f>
        <v>330</v>
      </c>
      <c r="AN116" s="38"/>
      <c r="AO116" s="52">
        <v>32862</v>
      </c>
      <c r="AP116" s="52">
        <v>104</v>
      </c>
      <c r="AQ116" s="24"/>
      <c r="AR116" s="24"/>
      <c r="AS116" s="24"/>
      <c r="AT116" s="25"/>
      <c r="AU116" s="25"/>
      <c r="AV116" s="25"/>
      <c r="AW116" s="25"/>
      <c r="AX116" s="25"/>
      <c r="AY116" s="25"/>
      <c r="AZ116" s="25"/>
      <c r="BA116" s="25"/>
      <c r="BB116" s="25"/>
      <c r="BC116" s="25"/>
      <c r="BD116" s="25"/>
      <c r="BE116" s="25"/>
      <c r="BF116" s="25"/>
      <c r="BG116" s="25"/>
      <c r="BH116" s="25"/>
      <c r="BI116" s="25"/>
      <c r="BJ116" s="25"/>
      <c r="BK116" s="25"/>
    </row>
    <row r="117" spans="1:63" ht="28.5" customHeight="1">
      <c r="A117" s="1"/>
      <c r="B117" s="69" t="s">
        <v>62</v>
      </c>
      <c r="C117" s="27" t="s">
        <v>63</v>
      </c>
      <c r="D117" s="28">
        <f t="shared" si="132"/>
        <v>2.6262768065268016E-2</v>
      </c>
      <c r="E117" s="29">
        <f t="shared" si="133"/>
        <v>0.3786767152292152</v>
      </c>
      <c r="F117" s="30">
        <f t="shared" si="134"/>
        <v>0.35241394716394719</v>
      </c>
      <c r="G117" s="30">
        <f t="shared" si="135"/>
        <v>2.2792022792022793E-2</v>
      </c>
      <c r="H117" s="31">
        <v>700</v>
      </c>
      <c r="I117" s="31">
        <f t="shared" si="136"/>
        <v>210</v>
      </c>
      <c r="J117" s="31">
        <f t="shared" si="137"/>
        <v>420</v>
      </c>
      <c r="K117" s="48">
        <v>954</v>
      </c>
      <c r="L117" s="48">
        <v>2</v>
      </c>
      <c r="M117" s="49"/>
      <c r="N117" s="34">
        <v>30</v>
      </c>
      <c r="O117" s="38">
        <v>28</v>
      </c>
      <c r="P117" s="36">
        <f t="shared" si="138"/>
        <v>26</v>
      </c>
      <c r="Q117" s="38">
        <v>3</v>
      </c>
      <c r="R117" s="37">
        <v>16</v>
      </c>
      <c r="S117" s="38">
        <v>2</v>
      </c>
      <c r="T117" s="39">
        <f t="shared" si="139"/>
        <v>554400</v>
      </c>
      <c r="U117" s="36">
        <f t="shared" si="140"/>
        <v>39600</v>
      </c>
      <c r="V117" s="39">
        <f t="shared" si="141"/>
        <v>514800</v>
      </c>
      <c r="W117" s="51">
        <v>19800</v>
      </c>
      <c r="X117" s="39">
        <f>SUMIF([1]헤몬팜마진!$B$7:$B$32,$C117,[1]헤몬팜마진!$R$7:$R$32)</f>
        <v>6638</v>
      </c>
      <c r="Y117" s="39">
        <f t="shared" si="142"/>
        <v>173836</v>
      </c>
      <c r="Z117" s="39">
        <f t="shared" si="143"/>
        <v>160904.70000000001</v>
      </c>
      <c r="AA117" s="98">
        <v>146277</v>
      </c>
      <c r="AB117" s="64">
        <f>((19800*0.015)+(19800*0.19)+2100+2200+1900)*2</f>
        <v>20518</v>
      </c>
      <c r="AC117" s="40">
        <f t="shared" si="150"/>
        <v>6930</v>
      </c>
      <c r="AD117" s="41">
        <v>0.08</v>
      </c>
      <c r="AE117" s="36">
        <f>3400*(P117)</f>
        <v>88400</v>
      </c>
      <c r="AF117" s="28">
        <f t="shared" si="145"/>
        <v>0.25171717171717173</v>
      </c>
      <c r="AG117" s="39">
        <f t="shared" si="146"/>
        <v>129584.03</v>
      </c>
      <c r="AH117" s="39">
        <f t="shared" si="147"/>
        <v>16437.196999999996</v>
      </c>
      <c r="AI117" s="39">
        <f>SUMIF([1]헤몬팜마진!$B$7:$B$32,$C117,[1]헤몬팜마진!$V$7:$V$32)</f>
        <v>6686</v>
      </c>
      <c r="AJ117" s="39">
        <f t="shared" si="148"/>
        <v>194942.77299999999</v>
      </c>
      <c r="AK117" s="60">
        <f t="shared" si="149"/>
        <v>13520.072999999975</v>
      </c>
      <c r="AL117" s="43">
        <f>SUMIF([1]헤몬팜마진!$B$7:$B$32,$C117,[1]헤몬팜마진!$T$7:$T$32)</f>
        <v>8</v>
      </c>
      <c r="AM117" s="44">
        <f>SUMIF([1]헤몬팜마진!$B$7:$B$32,$C117,[1]헤몬팜마진!$U$7:$U$32)</f>
        <v>40</v>
      </c>
      <c r="AN117" s="38"/>
      <c r="AO117" s="52">
        <v>225658</v>
      </c>
      <c r="AP117" s="52">
        <v>702</v>
      </c>
      <c r="AQ117" s="24"/>
      <c r="AR117" s="24"/>
      <c r="AS117" s="24"/>
      <c r="AT117" s="25"/>
      <c r="AU117" s="25"/>
      <c r="AV117" s="25"/>
      <c r="AW117" s="25"/>
      <c r="AX117" s="25"/>
      <c r="AY117" s="25"/>
      <c r="AZ117" s="25"/>
      <c r="BA117" s="25"/>
      <c r="BB117" s="25"/>
      <c r="BC117" s="25"/>
      <c r="BD117" s="25"/>
      <c r="BE117" s="25"/>
      <c r="BF117" s="25"/>
      <c r="BG117" s="25"/>
      <c r="BH117" s="25"/>
      <c r="BI117" s="25"/>
      <c r="BJ117" s="25"/>
      <c r="BK117" s="25"/>
    </row>
    <row r="118" spans="1:63" ht="28.5" customHeight="1">
      <c r="A118" s="47"/>
      <c r="B118" s="26"/>
      <c r="C118" s="106" t="s">
        <v>69</v>
      </c>
      <c r="D118" s="28" t="e">
        <f t="shared" si="132"/>
        <v>#DIV/0!</v>
      </c>
      <c r="E118" s="29" t="e">
        <f t="shared" si="133"/>
        <v>#DIV/0!</v>
      </c>
      <c r="F118" s="30" t="e">
        <f t="shared" si="134"/>
        <v>#DIV/0!</v>
      </c>
      <c r="G118" s="30" t="e">
        <f t="shared" si="135"/>
        <v>#DIV/0!</v>
      </c>
      <c r="H118" s="31">
        <v>0</v>
      </c>
      <c r="I118" s="31">
        <f t="shared" si="136"/>
        <v>350</v>
      </c>
      <c r="J118" s="31">
        <f t="shared" si="137"/>
        <v>700</v>
      </c>
      <c r="K118" s="48">
        <v>87</v>
      </c>
      <c r="L118" s="48">
        <v>0</v>
      </c>
      <c r="M118" s="49"/>
      <c r="N118" s="34">
        <v>50</v>
      </c>
      <c r="O118" s="45">
        <v>2</v>
      </c>
      <c r="P118" s="36">
        <f t="shared" si="138"/>
        <v>0</v>
      </c>
      <c r="Q118" s="38"/>
      <c r="R118" s="56"/>
      <c r="S118" s="38">
        <v>2</v>
      </c>
      <c r="T118" s="39">
        <f t="shared" si="139"/>
        <v>151800</v>
      </c>
      <c r="U118" s="36">
        <f t="shared" si="140"/>
        <v>151800</v>
      </c>
      <c r="V118" s="39">
        <f t="shared" si="141"/>
        <v>0</v>
      </c>
      <c r="W118" s="51">
        <v>75900</v>
      </c>
      <c r="X118" s="39">
        <f>SUMIF([1]헤몬팜마진!$B$7:$B$32,$C118,[1]헤몬팜마진!$R$7:$R$32)</f>
        <v>28987</v>
      </c>
      <c r="Y118" s="39">
        <f t="shared" si="142"/>
        <v>0</v>
      </c>
      <c r="Z118" s="39">
        <f t="shared" si="143"/>
        <v>0</v>
      </c>
      <c r="AA118" s="32"/>
      <c r="AB118" s="64">
        <f>((75900*0.015)+(75900*0.19)+2100+2200+1900)*2</f>
        <v>43519</v>
      </c>
      <c r="AC118" s="40">
        <f t="shared" si="150"/>
        <v>0</v>
      </c>
      <c r="AD118" s="41">
        <v>0.1</v>
      </c>
      <c r="AE118" s="36">
        <f>1900*(P118)</f>
        <v>0</v>
      </c>
      <c r="AF118" s="28" t="e">
        <f t="shared" si="145"/>
        <v>#DIV/0!</v>
      </c>
      <c r="AG118" s="39">
        <f t="shared" si="146"/>
        <v>0</v>
      </c>
      <c r="AH118" s="39">
        <f t="shared" si="147"/>
        <v>0</v>
      </c>
      <c r="AI118" s="39">
        <f>SUMIF([1]헤몬팜마진!$B$7:$B$32,$C118,[1]헤몬팜마진!$V$7:$V$32)</f>
        <v>29158</v>
      </c>
      <c r="AJ118" s="39">
        <f t="shared" si="148"/>
        <v>0</v>
      </c>
      <c r="AK118" s="60">
        <f t="shared" si="149"/>
        <v>-43519</v>
      </c>
      <c r="AL118" s="43">
        <f>SUMIF([1]헤몬팜마진!$B$7:$B$32,$C118,[1]헤몬팜마진!$T$7:$T$32)</f>
        <v>28</v>
      </c>
      <c r="AM118" s="44">
        <f>SUMIF([1]헤몬팜마진!$B$7:$B$32,$C118,[1]헤몬팜마진!$U$7:$U$32)</f>
        <v>143</v>
      </c>
      <c r="AN118" s="38"/>
      <c r="AO118" s="45"/>
      <c r="AP118" s="46"/>
      <c r="AQ118" s="24"/>
      <c r="AR118" s="24"/>
      <c r="AS118" s="24"/>
      <c r="AT118" s="25"/>
      <c r="AU118" s="25"/>
      <c r="AV118" s="25"/>
      <c r="AW118" s="25"/>
      <c r="AX118" s="25"/>
      <c r="AY118" s="25"/>
      <c r="AZ118" s="25"/>
      <c r="BA118" s="25"/>
      <c r="BB118" s="25"/>
      <c r="BC118" s="25"/>
      <c r="BD118" s="25"/>
      <c r="BE118" s="25"/>
      <c r="BF118" s="25"/>
      <c r="BG118" s="25"/>
      <c r="BH118" s="25"/>
      <c r="BI118" s="25"/>
      <c r="BJ118" s="25"/>
      <c r="BK118" s="25"/>
    </row>
    <row r="119" spans="1:63" ht="28.5" customHeight="1" thickBot="1">
      <c r="A119" s="1"/>
      <c r="B119" s="71"/>
      <c r="C119" s="72"/>
      <c r="D119" s="73">
        <f t="shared" si="132"/>
        <v>0.14740179916763557</v>
      </c>
      <c r="E119" s="74">
        <f t="shared" si="133"/>
        <v>0.41292056386547238</v>
      </c>
      <c r="F119" s="75">
        <f t="shared" si="134"/>
        <v>0.26551876469783681</v>
      </c>
      <c r="G119" s="76"/>
      <c r="H119" s="77"/>
      <c r="I119" s="77"/>
      <c r="J119" s="77"/>
      <c r="K119" s="77"/>
      <c r="L119" s="77"/>
      <c r="M119" s="77"/>
      <c r="N119" s="77"/>
      <c r="O119" s="78">
        <f>SUM(O102:O118)</f>
        <v>331</v>
      </c>
      <c r="P119" s="79">
        <f>SUM(P102:P117)</f>
        <v>327</v>
      </c>
      <c r="Q119" s="78">
        <f>SUM(Q102:Q118)</f>
        <v>52</v>
      </c>
      <c r="R119" s="78">
        <f>SUM(R102:R117)</f>
        <v>242</v>
      </c>
      <c r="S119" s="78">
        <f>SUM(S102:S118)</f>
        <v>4</v>
      </c>
      <c r="T119" s="78">
        <f t="shared" ref="T119:V119" si="154">SUM(T102:T117)</f>
        <v>9105560</v>
      </c>
      <c r="U119" s="78">
        <f t="shared" si="154"/>
        <v>39600</v>
      </c>
      <c r="V119" s="79">
        <f t="shared" si="154"/>
        <v>9065960</v>
      </c>
      <c r="W119" s="77"/>
      <c r="X119" s="78">
        <f t="shared" ref="X119:AC119" si="155">SUM(X102:X117)</f>
        <v>145175</v>
      </c>
      <c r="Y119" s="79">
        <f t="shared" si="155"/>
        <v>3081502</v>
      </c>
      <c r="Z119" s="78">
        <f t="shared" si="155"/>
        <v>2386664.5000000005</v>
      </c>
      <c r="AA119" s="78">
        <f t="shared" si="155"/>
        <v>2169695</v>
      </c>
      <c r="AB119" s="78">
        <f t="shared" si="155"/>
        <v>20518</v>
      </c>
      <c r="AC119" s="78">
        <f t="shared" si="155"/>
        <v>116946</v>
      </c>
      <c r="AD119" s="80">
        <v>0.09</v>
      </c>
      <c r="AE119" s="79">
        <f>SUM(AE102:AE117)</f>
        <v>1052450</v>
      </c>
      <c r="AF119" s="75">
        <f t="shared" si="145"/>
        <v>0.20608809216012425</v>
      </c>
      <c r="AG119" s="81">
        <f t="shared" ref="AG119:AI119" si="156">SUM(AG102:AG117)</f>
        <v>1919195.6699999997</v>
      </c>
      <c r="AH119" s="81">
        <f t="shared" si="156"/>
        <v>321741.01481818175</v>
      </c>
      <c r="AI119" s="81">
        <f t="shared" si="156"/>
        <v>224619</v>
      </c>
      <c r="AJ119" s="81">
        <f t="shared" si="148"/>
        <v>3743521.3151818179</v>
      </c>
      <c r="AK119" s="82">
        <f t="shared" si="149"/>
        <v>1336338.8151818174</v>
      </c>
      <c r="AL119" s="83"/>
      <c r="AM119" s="84"/>
      <c r="AN119" s="85"/>
      <c r="AO119" s="86">
        <f t="shared" ref="AO119:AP119" si="157">SUM(AO102:AO103)</f>
        <v>527019</v>
      </c>
      <c r="AP119" s="87">
        <f t="shared" si="157"/>
        <v>2773</v>
      </c>
      <c r="AQ119" s="24"/>
      <c r="AR119" s="24"/>
      <c r="AS119" s="24"/>
      <c r="AT119" s="25"/>
      <c r="AU119" s="25"/>
      <c r="AV119" s="25"/>
      <c r="AW119" s="25"/>
      <c r="AX119" s="25"/>
      <c r="AY119" s="25"/>
      <c r="AZ119" s="25"/>
      <c r="BA119" s="25"/>
      <c r="BB119" s="25"/>
      <c r="BC119" s="25"/>
      <c r="BD119" s="25"/>
      <c r="BE119" s="25"/>
      <c r="BF119" s="25"/>
      <c r="BG119" s="25"/>
      <c r="BH119" s="25"/>
      <c r="BI119" s="25"/>
      <c r="BJ119" s="25"/>
      <c r="BK119" s="25"/>
    </row>
    <row r="120" spans="1:63" ht="28.5" customHeight="1" thickBot="1">
      <c r="A120" s="88"/>
      <c r="B120" s="89"/>
      <c r="C120" s="90"/>
      <c r="D120" s="91"/>
      <c r="E120" s="91"/>
      <c r="F120" s="91"/>
      <c r="G120" s="91"/>
      <c r="H120" s="92"/>
      <c r="I120" s="92"/>
      <c r="J120" s="92"/>
      <c r="K120" s="92"/>
      <c r="L120" s="92"/>
      <c r="M120" s="92"/>
      <c r="N120" s="92"/>
      <c r="O120" s="92"/>
      <c r="P120" s="93"/>
      <c r="Q120" s="92"/>
      <c r="R120" s="92"/>
      <c r="S120" s="92"/>
      <c r="T120" s="92"/>
      <c r="U120" s="92"/>
      <c r="V120" s="92"/>
      <c r="W120" s="92"/>
      <c r="X120" s="92"/>
      <c r="Y120" s="92"/>
      <c r="Z120" s="92"/>
      <c r="AA120" s="94"/>
      <c r="AB120" s="95"/>
      <c r="AC120" s="96"/>
      <c r="AD120" s="96"/>
      <c r="AE120" s="96"/>
      <c r="AF120" s="96"/>
      <c r="AG120" s="95"/>
      <c r="AH120" s="95"/>
      <c r="AI120" s="97"/>
      <c r="AJ120" s="25"/>
      <c r="AK120" s="24"/>
      <c r="AL120" s="24"/>
      <c r="AM120" s="24"/>
      <c r="AN120" s="25"/>
      <c r="AO120" s="25"/>
      <c r="AP120" s="25"/>
      <c r="AQ120" s="24"/>
      <c r="AR120" s="24"/>
      <c r="AS120" s="24"/>
      <c r="AT120" s="25"/>
      <c r="AU120" s="25"/>
      <c r="AV120" s="25"/>
      <c r="AW120" s="25"/>
      <c r="AX120" s="25"/>
      <c r="AY120" s="25"/>
      <c r="AZ120" s="25"/>
      <c r="BA120" s="25"/>
      <c r="BB120" s="25"/>
      <c r="BC120" s="25"/>
      <c r="BD120" s="25"/>
      <c r="BE120" s="25"/>
      <c r="BF120" s="25"/>
      <c r="BG120" s="25"/>
      <c r="BH120" s="25"/>
      <c r="BI120" s="25"/>
      <c r="BJ120" s="25"/>
      <c r="BK120" s="25"/>
    </row>
    <row r="121" spans="1:63" ht="28.5" customHeight="1">
      <c r="A121" s="1"/>
      <c r="B121" s="2"/>
      <c r="C121" s="3">
        <v>45951</v>
      </c>
      <c r="D121" s="4" t="s">
        <v>0</v>
      </c>
      <c r="E121" s="4" t="s">
        <v>1</v>
      </c>
      <c r="F121" s="4" t="s">
        <v>2</v>
      </c>
      <c r="G121" s="5" t="s">
        <v>3</v>
      </c>
      <c r="H121" s="6" t="s">
        <v>4</v>
      </c>
      <c r="I121" s="7" t="s">
        <v>5</v>
      </c>
      <c r="J121" s="7" t="s">
        <v>6</v>
      </c>
      <c r="K121" s="8" t="s">
        <v>7</v>
      </c>
      <c r="L121" s="9" t="s">
        <v>8</v>
      </c>
      <c r="M121" s="10" t="s">
        <v>9</v>
      </c>
      <c r="N121" s="11" t="s">
        <v>10</v>
      </c>
      <c r="O121" s="11" t="s">
        <v>11</v>
      </c>
      <c r="P121" s="11" t="s">
        <v>12</v>
      </c>
      <c r="Q121" s="12" t="s">
        <v>13</v>
      </c>
      <c r="R121" s="11" t="s">
        <v>14</v>
      </c>
      <c r="S121" s="13" t="s">
        <v>15</v>
      </c>
      <c r="T121" s="14" t="s">
        <v>16</v>
      </c>
      <c r="U121" s="14" t="s">
        <v>17</v>
      </c>
      <c r="V121" s="14" t="s">
        <v>18</v>
      </c>
      <c r="W121" s="14" t="s">
        <v>19</v>
      </c>
      <c r="X121" s="10" t="s">
        <v>20</v>
      </c>
      <c r="Y121" s="10" t="s">
        <v>21</v>
      </c>
      <c r="Z121" s="15" t="s">
        <v>22</v>
      </c>
      <c r="AA121" s="15" t="s">
        <v>23</v>
      </c>
      <c r="AB121" s="16" t="s">
        <v>24</v>
      </c>
      <c r="AC121" s="17" t="s">
        <v>25</v>
      </c>
      <c r="AD121" s="18" t="s">
        <v>26</v>
      </c>
      <c r="AE121" s="4" t="s">
        <v>27</v>
      </c>
      <c r="AF121" s="19" t="s">
        <v>28</v>
      </c>
      <c r="AG121" s="19" t="s">
        <v>26</v>
      </c>
      <c r="AH121" s="4" t="s">
        <v>29</v>
      </c>
      <c r="AI121" s="10" t="s">
        <v>30</v>
      </c>
      <c r="AJ121" s="10" t="s">
        <v>31</v>
      </c>
      <c r="AK121" s="4" t="s">
        <v>32</v>
      </c>
      <c r="AL121" s="20" t="s">
        <v>33</v>
      </c>
      <c r="AM121" s="21" t="s">
        <v>34</v>
      </c>
      <c r="AN121" s="22" t="s">
        <v>35</v>
      </c>
      <c r="AO121" s="22" t="s">
        <v>36</v>
      </c>
      <c r="AP121" s="23" t="s">
        <v>37</v>
      </c>
      <c r="AQ121" s="24"/>
      <c r="AR121" s="24"/>
      <c r="AS121" s="24"/>
      <c r="AT121" s="25"/>
      <c r="AU121" s="25"/>
      <c r="AV121" s="25"/>
      <c r="AW121" s="25"/>
      <c r="AX121" s="25"/>
      <c r="AY121" s="25"/>
      <c r="AZ121" s="25"/>
      <c r="BA121" s="25"/>
      <c r="BB121" s="25"/>
      <c r="BC121" s="25"/>
      <c r="BD121" s="25"/>
      <c r="BE121" s="25"/>
      <c r="BF121" s="25"/>
      <c r="BG121" s="25"/>
      <c r="BH121" s="25"/>
      <c r="BI121" s="25"/>
      <c r="BJ121" s="25"/>
      <c r="BK121" s="25"/>
    </row>
    <row r="122" spans="1:63" ht="28.5" customHeight="1">
      <c r="A122" s="1" t="s">
        <v>38</v>
      </c>
      <c r="B122" s="26"/>
      <c r="C122" s="27" t="s">
        <v>39</v>
      </c>
      <c r="D122" s="28">
        <f t="shared" ref="D122:D139" si="158">AK122/V122</f>
        <v>0.17201458091349928</v>
      </c>
      <c r="E122" s="29">
        <f t="shared" ref="E122:E139" si="159">AJ122/V122</f>
        <v>0.42271097560040627</v>
      </c>
      <c r="F122" s="30">
        <f t="shared" ref="F122:F139" si="160">(Z122+AB122)/V122</f>
        <v>0.25069639468690702</v>
      </c>
      <c r="G122" s="30">
        <f t="shared" ref="G122:G138" si="161">R122/AP122</f>
        <v>6.1299550469963222E-2</v>
      </c>
      <c r="H122" s="31">
        <v>7410</v>
      </c>
      <c r="I122" s="31">
        <f t="shared" ref="I122:I137" si="162">N122*7</f>
        <v>1400</v>
      </c>
      <c r="J122" s="31">
        <f t="shared" ref="J122:J137" si="163">N122*14</f>
        <v>2800</v>
      </c>
      <c r="K122" s="32">
        <v>76</v>
      </c>
      <c r="L122" s="32">
        <f>1906+1320</f>
        <v>3226</v>
      </c>
      <c r="M122" s="33"/>
      <c r="N122" s="34">
        <v>200</v>
      </c>
      <c r="O122" s="35">
        <v>187</v>
      </c>
      <c r="P122" s="36">
        <f t="shared" ref="P122:P138" si="164">O122-S122</f>
        <v>187</v>
      </c>
      <c r="Q122" s="35">
        <v>20</v>
      </c>
      <c r="R122" s="37">
        <v>150</v>
      </c>
      <c r="S122" s="38"/>
      <c r="T122" s="39">
        <f t="shared" ref="T122:T138" si="165">W122*O122</f>
        <v>5217300</v>
      </c>
      <c r="U122" s="36">
        <f t="shared" ref="U122:U138" si="166">W122*S122</f>
        <v>0</v>
      </c>
      <c r="V122" s="39">
        <f t="shared" ref="V122:V138" si="167">T122-U122</f>
        <v>5217300</v>
      </c>
      <c r="W122" s="39">
        <v>27900</v>
      </c>
      <c r="X122" s="39">
        <f>SUMIF([1]헤몬팜마진!$B$7:$B$32,$C122,[1]헤몬팜마진!$R$7:$R$32)</f>
        <v>8851</v>
      </c>
      <c r="Y122" s="39">
        <f t="shared" ref="Y122:Y138" si="168">AI122*P122</f>
        <v>1728815</v>
      </c>
      <c r="Z122" s="39">
        <f t="shared" ref="Z122:Z138" si="169">AA122*1.1</f>
        <v>1307958.3</v>
      </c>
      <c r="AA122" s="98">
        <v>1189053</v>
      </c>
      <c r="AB122" s="38"/>
      <c r="AC122" s="40">
        <f t="shared" ref="AC122:AC123" si="170">(1072+1100)*Q122</f>
        <v>43440</v>
      </c>
      <c r="AD122" s="41">
        <v>0.1</v>
      </c>
      <c r="AE122" s="36">
        <f>3050*(P122)</f>
        <v>570350</v>
      </c>
      <c r="AF122" s="28">
        <f t="shared" ref="AF122:AF139" si="171">AD122+(AE122/V122)</f>
        <v>0.20931899641577062</v>
      </c>
      <c r="AG122" s="39">
        <f t="shared" ref="AG122:AG138" si="172">IFERROR(V122*AF122+3%,0)</f>
        <v>1092080.03</v>
      </c>
      <c r="AH122" s="39">
        <f t="shared" ref="AH122:AH138" si="173">V122/1.1*10%-((AI122*P122)+AG122+(AN122*P122)+(AL122*P122))*10%</f>
        <v>190994.99699999997</v>
      </c>
      <c r="AI122" s="39">
        <f>SUMIF([1]헤몬팜마진!$B$7:$B$32,$C122,[1]헤몬팜마진!$V$7:$V$32)</f>
        <v>9245</v>
      </c>
      <c r="AJ122" s="39">
        <f t="shared" ref="AJ122:AJ139" si="174">V122-(Y122+AG122+AH122+(AN122*P122))</f>
        <v>2205409.9729999998</v>
      </c>
      <c r="AK122" s="42">
        <f t="shared" ref="AK122:AK139" si="175">AJ122-Z122-AB122</f>
        <v>897451.67299999972</v>
      </c>
      <c r="AL122" s="43">
        <f>SUMIF([1]헤몬팜마진!$B$7:$B$32,$C122,[1]헤몬팜마진!$T$7:$T$32)</f>
        <v>65</v>
      </c>
      <c r="AM122" s="44">
        <f>SUMIF([1]헤몬팜마진!$B$7:$B$32,$C122,[1]헤몬팜마진!$U$7:$U$32)</f>
        <v>330</v>
      </c>
      <c r="AN122" s="38"/>
      <c r="AO122" s="52">
        <v>520585</v>
      </c>
      <c r="AP122" s="52">
        <v>2447</v>
      </c>
      <c r="AQ122" s="24"/>
      <c r="AR122" s="24"/>
      <c r="AS122" s="24"/>
      <c r="AT122" s="25"/>
      <c r="AU122" s="25"/>
      <c r="AV122" s="25"/>
      <c r="AW122" s="25"/>
      <c r="AX122" s="25"/>
      <c r="AY122" s="25"/>
      <c r="AZ122" s="25"/>
      <c r="BA122" s="25"/>
      <c r="BB122" s="25"/>
      <c r="BC122" s="25"/>
      <c r="BD122" s="25"/>
      <c r="BE122" s="25"/>
      <c r="BF122" s="25"/>
      <c r="BG122" s="25"/>
      <c r="BH122" s="25"/>
      <c r="BI122" s="25"/>
      <c r="BJ122" s="25"/>
      <c r="BK122" s="25"/>
    </row>
    <row r="123" spans="1:63" ht="28.5" customHeight="1">
      <c r="A123" s="47" t="s">
        <v>40</v>
      </c>
      <c r="B123" s="26"/>
      <c r="C123" s="27" t="s">
        <v>41</v>
      </c>
      <c r="D123" s="28">
        <f t="shared" si="158"/>
        <v>0.40986505006007218</v>
      </c>
      <c r="E123" s="29">
        <f t="shared" si="159"/>
        <v>0.40986505006007218</v>
      </c>
      <c r="F123" s="30">
        <f t="shared" si="160"/>
        <v>0</v>
      </c>
      <c r="G123" s="30" t="e">
        <f t="shared" si="161"/>
        <v>#DIV/0!</v>
      </c>
      <c r="H123" s="31">
        <v>1460</v>
      </c>
      <c r="I123" s="31">
        <f t="shared" si="162"/>
        <v>140</v>
      </c>
      <c r="J123" s="31">
        <f t="shared" si="163"/>
        <v>280</v>
      </c>
      <c r="K123" s="48">
        <v>325</v>
      </c>
      <c r="L123" s="48">
        <v>0</v>
      </c>
      <c r="M123" s="49"/>
      <c r="N123" s="34">
        <v>20</v>
      </c>
      <c r="O123" s="45">
        <v>1</v>
      </c>
      <c r="P123" s="36">
        <f t="shared" si="164"/>
        <v>1</v>
      </c>
      <c r="Q123" s="38"/>
      <c r="R123" s="50"/>
      <c r="S123" s="38"/>
      <c r="T123" s="39">
        <f t="shared" si="165"/>
        <v>22700</v>
      </c>
      <c r="U123" s="36">
        <f t="shared" si="166"/>
        <v>0</v>
      </c>
      <c r="V123" s="39">
        <f t="shared" si="167"/>
        <v>22700</v>
      </c>
      <c r="W123" s="51">
        <v>22700</v>
      </c>
      <c r="X123" s="39">
        <f>SUMIF([1]헤몬팜마진!$B$7:$B$32,$C123,[1]헤몬팜마진!$R$7:$R$32)</f>
        <v>7081</v>
      </c>
      <c r="Y123" s="39">
        <f t="shared" si="168"/>
        <v>7377</v>
      </c>
      <c r="Z123" s="39">
        <f t="shared" si="169"/>
        <v>0</v>
      </c>
      <c r="AA123" s="98"/>
      <c r="AB123" s="38"/>
      <c r="AC123" s="40">
        <f t="shared" si="170"/>
        <v>0</v>
      </c>
      <c r="AD123" s="41">
        <v>0.1</v>
      </c>
      <c r="AE123" s="36">
        <f>2950*(P123)</f>
        <v>2950</v>
      </c>
      <c r="AF123" s="28">
        <f t="shared" si="171"/>
        <v>0.22995594713656389</v>
      </c>
      <c r="AG123" s="39">
        <f t="shared" si="172"/>
        <v>5220.03</v>
      </c>
      <c r="AH123" s="39">
        <f t="shared" si="173"/>
        <v>799.03336363636345</v>
      </c>
      <c r="AI123" s="39">
        <f>SUMIF([1]헤몬팜마진!$B$7:$B$32,$C123,[1]헤몬팜마진!$V$7:$V$32)</f>
        <v>7377</v>
      </c>
      <c r="AJ123" s="39">
        <f t="shared" si="174"/>
        <v>9303.9366363636382</v>
      </c>
      <c r="AK123" s="42">
        <f t="shared" si="175"/>
        <v>9303.9366363636382</v>
      </c>
      <c r="AL123" s="43">
        <f>SUMIF([1]헤몬팜마진!$B$7:$B$32,$C123,[1]헤몬팜마진!$T$7:$T$32)</f>
        <v>49</v>
      </c>
      <c r="AM123" s="44">
        <f>SUMIF([1]헤몬팜마진!$B$7:$B$32,$C123,[1]헤몬팜마진!$U$7:$U$32)</f>
        <v>248</v>
      </c>
      <c r="AN123" s="38"/>
      <c r="AO123" s="52"/>
      <c r="AP123" s="52"/>
      <c r="AQ123" s="24"/>
      <c r="AR123" s="24"/>
      <c r="AS123" s="24"/>
      <c r="AT123" s="25"/>
      <c r="AU123" s="25"/>
      <c r="AV123" s="25"/>
      <c r="AW123" s="25"/>
      <c r="AX123" s="25"/>
      <c r="AY123" s="25"/>
      <c r="AZ123" s="25"/>
      <c r="BA123" s="25"/>
      <c r="BB123" s="25"/>
      <c r="BC123" s="25"/>
      <c r="BD123" s="25"/>
      <c r="BE123" s="25"/>
      <c r="BF123" s="25"/>
      <c r="BG123" s="25"/>
      <c r="BH123" s="25"/>
      <c r="BI123" s="25"/>
      <c r="BJ123" s="25"/>
      <c r="BK123" s="25"/>
    </row>
    <row r="124" spans="1:63" ht="28.5" customHeight="1">
      <c r="A124" s="47" t="s">
        <v>42</v>
      </c>
      <c r="B124" s="54"/>
      <c r="C124" s="27" t="s">
        <v>43</v>
      </c>
      <c r="D124" s="28">
        <f t="shared" si="158"/>
        <v>-1.1215974533545059</v>
      </c>
      <c r="E124" s="29">
        <f t="shared" si="159"/>
        <v>0.38830866018261218</v>
      </c>
      <c r="F124" s="30">
        <f t="shared" si="160"/>
        <v>1.5099061135371181</v>
      </c>
      <c r="G124" s="30">
        <f t="shared" si="161"/>
        <v>5.8479532163742687E-3</v>
      </c>
      <c r="H124" s="31">
        <v>0</v>
      </c>
      <c r="I124" s="31">
        <f t="shared" si="162"/>
        <v>105</v>
      </c>
      <c r="J124" s="31">
        <f t="shared" si="163"/>
        <v>210</v>
      </c>
      <c r="K124" s="99">
        <v>430</v>
      </c>
      <c r="L124" s="32">
        <f>40+3+3</f>
        <v>46</v>
      </c>
      <c r="M124" s="33"/>
      <c r="N124" s="34">
        <v>15</v>
      </c>
      <c r="O124" s="45">
        <v>1</v>
      </c>
      <c r="P124" s="36">
        <f t="shared" si="164"/>
        <v>1</v>
      </c>
      <c r="Q124" s="38"/>
      <c r="R124" s="56">
        <v>1</v>
      </c>
      <c r="S124" s="38"/>
      <c r="T124" s="39">
        <f t="shared" si="165"/>
        <v>45800</v>
      </c>
      <c r="U124" s="36">
        <f t="shared" si="166"/>
        <v>0</v>
      </c>
      <c r="V124" s="39">
        <f t="shared" si="167"/>
        <v>45800</v>
      </c>
      <c r="W124" s="51">
        <v>45800</v>
      </c>
      <c r="X124" s="39">
        <f>SUMIF([1]헤몬팜마진!$B$7:$B$32,$C124,[1]헤몬팜마진!$R$7:$R$32)</f>
        <v>9990</v>
      </c>
      <c r="Y124" s="39">
        <f t="shared" si="168"/>
        <v>17332</v>
      </c>
      <c r="Z124" s="39">
        <f t="shared" si="169"/>
        <v>69153.700000000012</v>
      </c>
      <c r="AA124" s="98">
        <v>62867</v>
      </c>
      <c r="AB124" s="38"/>
      <c r="AC124" s="40">
        <f t="shared" ref="AC124:AC138" si="176">(1210+1100)*Q124</f>
        <v>0</v>
      </c>
      <c r="AD124" s="41">
        <v>0.11</v>
      </c>
      <c r="AE124" s="36">
        <f t="shared" ref="AE124:AE126" si="177">4150*(P124)</f>
        <v>4150</v>
      </c>
      <c r="AF124" s="28">
        <f t="shared" si="171"/>
        <v>0.2006113537117904</v>
      </c>
      <c r="AG124" s="39">
        <f t="shared" si="172"/>
        <v>9188.0300000000007</v>
      </c>
      <c r="AH124" s="39">
        <f t="shared" si="173"/>
        <v>1495.4333636363631</v>
      </c>
      <c r="AI124" s="39">
        <f>SUMIF([1]헤몬팜마진!$B$7:$B$32,$C124,[1]헤몬팜마진!$V$7:$V$32)</f>
        <v>17332</v>
      </c>
      <c r="AJ124" s="39">
        <f t="shared" si="174"/>
        <v>17784.536636363639</v>
      </c>
      <c r="AK124" s="42">
        <f t="shared" si="175"/>
        <v>-51369.163363636369</v>
      </c>
      <c r="AL124" s="43">
        <f>SUMIF([1]헤몬팜마진!$B$7:$B$32,$C124,[1]헤몬팜마진!$T$7:$T$32)</f>
        <v>162</v>
      </c>
      <c r="AM124" s="44">
        <f>SUMIF([1]헤몬팜마진!$B$7:$B$32,$C124,[1]헤몬팜마진!$U$7:$U$32)</f>
        <v>827</v>
      </c>
      <c r="AN124" s="38"/>
      <c r="AO124" s="52">
        <v>69471</v>
      </c>
      <c r="AP124" s="52">
        <v>171</v>
      </c>
      <c r="AQ124" s="24"/>
      <c r="AR124" s="24"/>
      <c r="AS124" s="24"/>
      <c r="AT124" s="25"/>
      <c r="AU124" s="25"/>
      <c r="AV124" s="25"/>
      <c r="AW124" s="25"/>
      <c r="AX124" s="25"/>
      <c r="AY124" s="25"/>
      <c r="AZ124" s="25"/>
      <c r="BA124" s="25"/>
      <c r="BB124" s="25"/>
      <c r="BC124" s="25"/>
      <c r="BD124" s="25"/>
      <c r="BE124" s="25"/>
      <c r="BF124" s="25"/>
      <c r="BG124" s="25"/>
      <c r="BH124" s="25"/>
      <c r="BI124" s="25"/>
      <c r="BJ124" s="25"/>
      <c r="BK124" s="25"/>
    </row>
    <row r="125" spans="1:63" ht="28.5" customHeight="1">
      <c r="A125" s="47"/>
      <c r="B125" s="58"/>
      <c r="C125" s="27" t="s">
        <v>44</v>
      </c>
      <c r="D125" s="28">
        <f t="shared" si="158"/>
        <v>-1.8395038202538246E-2</v>
      </c>
      <c r="E125" s="29">
        <f t="shared" si="159"/>
        <v>0.3146291783216783</v>
      </c>
      <c r="F125" s="30">
        <f t="shared" si="160"/>
        <v>0.33302421652421654</v>
      </c>
      <c r="G125" s="30">
        <f t="shared" si="161"/>
        <v>2.4590163934426229E-2</v>
      </c>
      <c r="H125" s="31">
        <v>0</v>
      </c>
      <c r="I125" s="31">
        <f t="shared" si="162"/>
        <v>105</v>
      </c>
      <c r="J125" s="31">
        <f t="shared" si="163"/>
        <v>210</v>
      </c>
      <c r="K125" s="100"/>
      <c r="L125" s="32">
        <f>13+2</f>
        <v>15</v>
      </c>
      <c r="M125" s="33"/>
      <c r="N125" s="34">
        <v>15</v>
      </c>
      <c r="O125" s="45">
        <v>3</v>
      </c>
      <c r="P125" s="36">
        <f t="shared" si="164"/>
        <v>3</v>
      </c>
      <c r="Q125" s="45">
        <v>2</v>
      </c>
      <c r="R125" s="37">
        <v>3</v>
      </c>
      <c r="S125" s="38"/>
      <c r="T125" s="39">
        <f t="shared" si="165"/>
        <v>140400</v>
      </c>
      <c r="U125" s="36">
        <f t="shared" si="166"/>
        <v>0</v>
      </c>
      <c r="V125" s="39">
        <f t="shared" si="167"/>
        <v>140400</v>
      </c>
      <c r="W125" s="51">
        <v>46800</v>
      </c>
      <c r="X125" s="39">
        <f>SUMIF([1]헤몬팜마진!$B$7:$B$32,$C125,[1]헤몬팜마진!$R$7:$R$32)</f>
        <v>9990</v>
      </c>
      <c r="Y125" s="39">
        <f t="shared" si="168"/>
        <v>64896</v>
      </c>
      <c r="Z125" s="39">
        <f t="shared" si="169"/>
        <v>46756.600000000006</v>
      </c>
      <c r="AA125" s="98">
        <v>42506</v>
      </c>
      <c r="AB125" s="38"/>
      <c r="AC125" s="40">
        <f t="shared" si="176"/>
        <v>4620</v>
      </c>
      <c r="AD125" s="41">
        <v>0.11</v>
      </c>
      <c r="AE125" s="36">
        <f t="shared" si="177"/>
        <v>12450</v>
      </c>
      <c r="AF125" s="28">
        <f t="shared" si="171"/>
        <v>0.19867521367521368</v>
      </c>
      <c r="AG125" s="39">
        <f t="shared" si="172"/>
        <v>27894.03</v>
      </c>
      <c r="AH125" s="39">
        <f t="shared" si="173"/>
        <v>3436.033363636363</v>
      </c>
      <c r="AI125" s="39">
        <f>SUMIF([1]헤몬팜마진!$B$7:$B$32,$C125,[1]헤몬팜마진!$V$7:$V$32)</f>
        <v>21632</v>
      </c>
      <c r="AJ125" s="39">
        <f t="shared" si="174"/>
        <v>44173.936636363636</v>
      </c>
      <c r="AK125" s="60">
        <f t="shared" si="175"/>
        <v>-2582.6633636363695</v>
      </c>
      <c r="AL125" s="43">
        <f>SUMIF([1]헤몬팜마진!$B$7:$B$32,$C125,[1]헤몬팜마진!$T$7:$T$32)</f>
        <v>162</v>
      </c>
      <c r="AM125" s="44">
        <f>SUMIF([1]헤몬팜마진!$B$7:$B$32,$C125,[1]헤몬팜마진!$U$7:$U$32)</f>
        <v>827</v>
      </c>
      <c r="AN125" s="38"/>
      <c r="AO125" s="52">
        <v>25726</v>
      </c>
      <c r="AP125" s="52">
        <v>122</v>
      </c>
      <c r="AQ125" s="24"/>
      <c r="AR125" s="24"/>
      <c r="AS125" s="24"/>
      <c r="AT125" s="25"/>
      <c r="AU125" s="25"/>
      <c r="AV125" s="25"/>
      <c r="AW125" s="25"/>
      <c r="AX125" s="25"/>
      <c r="AY125" s="25"/>
      <c r="AZ125" s="25"/>
      <c r="BA125" s="25"/>
      <c r="BB125" s="25"/>
      <c r="BC125" s="25"/>
      <c r="BD125" s="25"/>
      <c r="BE125" s="25"/>
      <c r="BF125" s="25"/>
      <c r="BG125" s="25"/>
      <c r="BH125" s="25"/>
      <c r="BI125" s="25"/>
      <c r="BJ125" s="25"/>
      <c r="BK125" s="25"/>
    </row>
    <row r="126" spans="1:63" ht="28.5" customHeight="1">
      <c r="A126" s="47" t="s">
        <v>50</v>
      </c>
      <c r="B126" s="101"/>
      <c r="C126" s="27" t="s">
        <v>51</v>
      </c>
      <c r="D126" s="65">
        <f t="shared" si="158"/>
        <v>4.6335086226587496E-2</v>
      </c>
      <c r="E126" s="29">
        <f t="shared" si="159"/>
        <v>0.40132692039744178</v>
      </c>
      <c r="F126" s="30">
        <f t="shared" si="160"/>
        <v>0.35499183417085428</v>
      </c>
      <c r="G126" s="30">
        <f t="shared" si="161"/>
        <v>3.9215686274509803E-2</v>
      </c>
      <c r="H126" s="61">
        <v>0</v>
      </c>
      <c r="I126" s="31">
        <f t="shared" si="162"/>
        <v>140</v>
      </c>
      <c r="J126" s="31">
        <f t="shared" si="163"/>
        <v>280</v>
      </c>
      <c r="K126" s="99">
        <v>343</v>
      </c>
      <c r="L126" s="48">
        <f>97+42+48+31+19+10</f>
        <v>247</v>
      </c>
      <c r="M126" s="49"/>
      <c r="N126" s="34">
        <v>20</v>
      </c>
      <c r="O126" s="45">
        <v>4</v>
      </c>
      <c r="P126" s="36">
        <f t="shared" si="164"/>
        <v>4</v>
      </c>
      <c r="Q126" s="45">
        <v>1</v>
      </c>
      <c r="R126" s="37">
        <v>4</v>
      </c>
      <c r="S126" s="38"/>
      <c r="T126" s="39">
        <f t="shared" si="165"/>
        <v>159200</v>
      </c>
      <c r="U126" s="36">
        <f t="shared" si="166"/>
        <v>0</v>
      </c>
      <c r="V126" s="39">
        <f t="shared" si="167"/>
        <v>159200</v>
      </c>
      <c r="W126" s="51">
        <v>39800</v>
      </c>
      <c r="X126" s="39">
        <f>SUMIF([1]헤몬팜마진!$B$7:$B$32,$C126,[1]헤몬팜마진!$R$7:$R$32)</f>
        <v>7855</v>
      </c>
      <c r="Y126" s="39">
        <f t="shared" si="168"/>
        <v>60560</v>
      </c>
      <c r="Z126" s="39">
        <f t="shared" si="169"/>
        <v>56514.700000000004</v>
      </c>
      <c r="AA126" s="98">
        <v>51377</v>
      </c>
      <c r="AB126" s="63"/>
      <c r="AC126" s="40">
        <f t="shared" si="176"/>
        <v>2310</v>
      </c>
      <c r="AD126" s="41">
        <v>0.08</v>
      </c>
      <c r="AE126" s="36">
        <f t="shared" si="177"/>
        <v>16600</v>
      </c>
      <c r="AF126" s="28">
        <f t="shared" si="171"/>
        <v>0.18427135678391959</v>
      </c>
      <c r="AG126" s="39">
        <f t="shared" si="172"/>
        <v>29336.03</v>
      </c>
      <c r="AH126" s="39">
        <f t="shared" si="173"/>
        <v>5412.7242727272715</v>
      </c>
      <c r="AI126" s="39">
        <f>SUMIF([1]헤몬팜마진!$B$7:$B$32,$C126,[1]헤몬팜마진!$V$7:$V$32)</f>
        <v>15140</v>
      </c>
      <c r="AJ126" s="39">
        <f t="shared" si="174"/>
        <v>63891.245727272733</v>
      </c>
      <c r="AK126" s="42">
        <f t="shared" si="175"/>
        <v>7376.545727272729</v>
      </c>
      <c r="AL126" s="43">
        <f>SUMIF([1]헤몬팜마진!$B$7:$B$32,$C126,[1]헤몬팜마진!$T$7:$T$32)</f>
        <v>176</v>
      </c>
      <c r="AM126" s="44">
        <f>SUMIF([1]헤몬팜마진!$B$7:$B$32,$C126,[1]헤몬팜마진!$U$7:$U$32)</f>
        <v>900</v>
      </c>
      <c r="AN126" s="38"/>
      <c r="AO126" s="52">
        <v>36908</v>
      </c>
      <c r="AP126" s="52">
        <v>102</v>
      </c>
      <c r="AQ126" s="24"/>
      <c r="AR126" s="24"/>
      <c r="AS126" s="24"/>
      <c r="AT126" s="25"/>
      <c r="AU126" s="25"/>
      <c r="AV126" s="25"/>
      <c r="AW126" s="25"/>
      <c r="AX126" s="25"/>
      <c r="AY126" s="25"/>
      <c r="AZ126" s="25"/>
      <c r="BA126" s="25"/>
      <c r="BB126" s="25"/>
      <c r="BC126" s="25"/>
      <c r="BD126" s="25"/>
      <c r="BE126" s="25"/>
      <c r="BF126" s="25"/>
      <c r="BG126" s="25"/>
      <c r="BH126" s="25"/>
      <c r="BI126" s="25"/>
      <c r="BJ126" s="25"/>
      <c r="BK126" s="25"/>
    </row>
    <row r="127" spans="1:63" ht="28.5" customHeight="1">
      <c r="A127" s="47"/>
      <c r="B127" s="102"/>
      <c r="C127" s="27" t="s">
        <v>52</v>
      </c>
      <c r="D127" s="28">
        <f t="shared" si="158"/>
        <v>0.67792184149184154</v>
      </c>
      <c r="E127" s="29">
        <f t="shared" si="159"/>
        <v>0.39158850815850815</v>
      </c>
      <c r="F127" s="30">
        <f t="shared" si="160"/>
        <v>-0.28633333333333333</v>
      </c>
      <c r="G127" s="30">
        <f t="shared" si="161"/>
        <v>0</v>
      </c>
      <c r="H127" s="103"/>
      <c r="I127" s="31">
        <f t="shared" si="162"/>
        <v>105</v>
      </c>
      <c r="J127" s="31">
        <f t="shared" si="163"/>
        <v>210</v>
      </c>
      <c r="K127" s="100"/>
      <c r="L127" s="48">
        <f>74+42+48+18+8+2</f>
        <v>192</v>
      </c>
      <c r="M127" s="49"/>
      <c r="N127" s="34">
        <v>15</v>
      </c>
      <c r="O127" s="38">
        <v>-1</v>
      </c>
      <c r="P127" s="36">
        <f t="shared" si="164"/>
        <v>-1</v>
      </c>
      <c r="Q127" s="38">
        <v>1</v>
      </c>
      <c r="R127" s="37"/>
      <c r="S127" s="38"/>
      <c r="T127" s="39">
        <f t="shared" si="165"/>
        <v>-42900</v>
      </c>
      <c r="U127" s="36">
        <f t="shared" si="166"/>
        <v>0</v>
      </c>
      <c r="V127" s="39">
        <f t="shared" si="167"/>
        <v>-42900</v>
      </c>
      <c r="W127" s="51">
        <v>42900</v>
      </c>
      <c r="X127" s="39">
        <f>SUMIF([1]헤몬팜마진!$B$7:$B$32,$C127,[1]헤몬팜마진!$R$7:$R$32)</f>
        <v>7855</v>
      </c>
      <c r="Y127" s="39">
        <f t="shared" si="168"/>
        <v>-19441</v>
      </c>
      <c r="Z127" s="39">
        <f t="shared" si="169"/>
        <v>12283.7</v>
      </c>
      <c r="AA127" s="98">
        <v>11167</v>
      </c>
      <c r="AB127" s="38"/>
      <c r="AC127" s="40">
        <f t="shared" si="176"/>
        <v>2310</v>
      </c>
      <c r="AD127" s="41">
        <v>7.8E-2</v>
      </c>
      <c r="AE127" s="36">
        <f>1900*(P127)</f>
        <v>-1900</v>
      </c>
      <c r="AF127" s="28">
        <f t="shared" si="171"/>
        <v>0.12228904428904429</v>
      </c>
      <c r="AG127" s="39">
        <f t="shared" si="172"/>
        <v>-5246.17</v>
      </c>
      <c r="AH127" s="39">
        <f t="shared" si="173"/>
        <v>-1413.683</v>
      </c>
      <c r="AI127" s="39">
        <f>SUMIF([1]헤몬팜마진!$B$7:$B$32,$C127,[1]헤몬팜마진!$V$7:$V$32)</f>
        <v>19441</v>
      </c>
      <c r="AJ127" s="39">
        <f t="shared" si="174"/>
        <v>-16799.147000000001</v>
      </c>
      <c r="AK127" s="60">
        <f t="shared" si="175"/>
        <v>-29082.847000000002</v>
      </c>
      <c r="AL127" s="43">
        <f>SUMIF([1]헤몬팜마진!$B$7:$B$32,$C127,[1]헤몬팜마진!$T$7:$T$32)</f>
        <v>176</v>
      </c>
      <c r="AM127" s="44">
        <f>SUMIF([1]헤몬팜마진!$B$7:$B$32,$C127,[1]헤몬팜마진!$U$7:$U$32)</f>
        <v>900</v>
      </c>
      <c r="AN127" s="38"/>
      <c r="AO127" s="52">
        <v>23970</v>
      </c>
      <c r="AP127" s="52">
        <v>35</v>
      </c>
      <c r="AQ127" s="24"/>
      <c r="AR127" s="24"/>
      <c r="AS127" s="24"/>
      <c r="AT127" s="25"/>
      <c r="AU127" s="25"/>
      <c r="AV127" s="25"/>
      <c r="AW127" s="25"/>
      <c r="AX127" s="25"/>
      <c r="AY127" s="25"/>
      <c r="AZ127" s="25"/>
      <c r="BA127" s="25"/>
      <c r="BB127" s="25"/>
      <c r="BC127" s="25"/>
      <c r="BD127" s="25"/>
      <c r="BE127" s="25"/>
      <c r="BF127" s="25"/>
      <c r="BG127" s="25"/>
      <c r="BH127" s="25"/>
      <c r="BI127" s="25"/>
      <c r="BJ127" s="25"/>
      <c r="BK127" s="25"/>
    </row>
    <row r="128" spans="1:63" ht="28.5" customHeight="1">
      <c r="A128" s="1" t="s">
        <v>45</v>
      </c>
      <c r="B128" s="101"/>
      <c r="C128" s="27" t="s">
        <v>46</v>
      </c>
      <c r="D128" s="28" t="e">
        <f t="shared" si="158"/>
        <v>#DIV/0!</v>
      </c>
      <c r="E128" s="29" t="e">
        <f t="shared" si="159"/>
        <v>#DIV/0!</v>
      </c>
      <c r="F128" s="30" t="e">
        <f t="shared" si="160"/>
        <v>#DIV/0!</v>
      </c>
      <c r="G128" s="30" t="e">
        <f t="shared" si="161"/>
        <v>#DIV/0!</v>
      </c>
      <c r="H128" s="61">
        <v>3504</v>
      </c>
      <c r="I128" s="31">
        <f t="shared" si="162"/>
        <v>210</v>
      </c>
      <c r="J128" s="31">
        <f t="shared" si="163"/>
        <v>420</v>
      </c>
      <c r="K128" s="99">
        <v>626</v>
      </c>
      <c r="L128" s="48">
        <f>30+13+6</f>
        <v>49</v>
      </c>
      <c r="M128" s="49"/>
      <c r="N128" s="62">
        <v>30</v>
      </c>
      <c r="O128" s="45">
        <v>0</v>
      </c>
      <c r="P128" s="36">
        <f t="shared" si="164"/>
        <v>0</v>
      </c>
      <c r="Q128" s="38"/>
      <c r="R128" s="56"/>
      <c r="S128" s="38"/>
      <c r="T128" s="39">
        <f t="shared" si="165"/>
        <v>0</v>
      </c>
      <c r="U128" s="36">
        <f t="shared" si="166"/>
        <v>0</v>
      </c>
      <c r="V128" s="39">
        <f t="shared" si="167"/>
        <v>0</v>
      </c>
      <c r="W128" s="51">
        <v>59800</v>
      </c>
      <c r="X128" s="39">
        <f>SUMIF([1]헤몬팜마진!$B$7:$B$32,$C128,[1]헤몬팜마진!$R$7:$R$32)</f>
        <v>13276</v>
      </c>
      <c r="Y128" s="39">
        <f t="shared" si="168"/>
        <v>0</v>
      </c>
      <c r="Z128" s="39">
        <f t="shared" si="169"/>
        <v>0</v>
      </c>
      <c r="AA128" s="98"/>
      <c r="AB128" s="63"/>
      <c r="AC128" s="40">
        <f t="shared" si="176"/>
        <v>0</v>
      </c>
      <c r="AD128" s="41">
        <v>0.108</v>
      </c>
      <c r="AE128" s="36">
        <f t="shared" ref="AE128:AE129" si="178">4825*(P128)</f>
        <v>0</v>
      </c>
      <c r="AF128" s="28" t="e">
        <f t="shared" si="171"/>
        <v>#DIV/0!</v>
      </c>
      <c r="AG128" s="39">
        <f t="shared" si="172"/>
        <v>0</v>
      </c>
      <c r="AH128" s="39">
        <f t="shared" si="173"/>
        <v>0</v>
      </c>
      <c r="AI128" s="39">
        <f>SUMIF([1]헤몬팜마진!$B$7:$B$32,$C128,[1]헤몬팜마진!$V$7:$V$32)</f>
        <v>21956</v>
      </c>
      <c r="AJ128" s="39">
        <f t="shared" si="174"/>
        <v>0</v>
      </c>
      <c r="AK128" s="42">
        <f t="shared" si="175"/>
        <v>0</v>
      </c>
      <c r="AL128" s="43">
        <f>SUMIF([1]헤몬팜마진!$B$7:$B$32,$C128,[1]헤몬팜마진!$T$7:$T$32)</f>
        <v>372</v>
      </c>
      <c r="AM128" s="44">
        <f>SUMIF([1]헤몬팜마진!$B$7:$B$32,$C128,[1]헤몬팜마진!$U$7:$U$32)</f>
        <v>1896</v>
      </c>
      <c r="AN128" s="38"/>
      <c r="AO128" s="45"/>
      <c r="AP128" s="46"/>
      <c r="AQ128" s="24"/>
      <c r="AR128" s="24"/>
      <c r="AS128" s="24"/>
      <c r="AT128" s="25"/>
      <c r="AU128" s="25"/>
      <c r="AV128" s="25"/>
      <c r="AW128" s="25"/>
      <c r="AX128" s="25"/>
      <c r="AY128" s="25"/>
      <c r="AZ128" s="25"/>
      <c r="BA128" s="25"/>
      <c r="BB128" s="25"/>
      <c r="BC128" s="25"/>
      <c r="BD128" s="25"/>
      <c r="BE128" s="25"/>
      <c r="BF128" s="25"/>
      <c r="BG128" s="25"/>
      <c r="BH128" s="25"/>
      <c r="BI128" s="25"/>
      <c r="BJ128" s="25"/>
      <c r="BK128" s="25"/>
    </row>
    <row r="129" spans="1:63" ht="28.5" customHeight="1">
      <c r="A129" s="1" t="s">
        <v>45</v>
      </c>
      <c r="B129" s="102"/>
      <c r="C129" s="27" t="s">
        <v>47</v>
      </c>
      <c r="D129" s="28">
        <f t="shared" si="158"/>
        <v>-5.1471175642929853E-3</v>
      </c>
      <c r="E129" s="29">
        <f t="shared" si="159"/>
        <v>0.41153817908231066</v>
      </c>
      <c r="F129" s="30">
        <f t="shared" si="160"/>
        <v>0.41668529664660364</v>
      </c>
      <c r="G129" s="30">
        <f t="shared" si="161"/>
        <v>1.9607843137254902E-2</v>
      </c>
      <c r="H129" s="31">
        <v>0</v>
      </c>
      <c r="I129" s="31">
        <f t="shared" si="162"/>
        <v>210</v>
      </c>
      <c r="J129" s="31">
        <f t="shared" si="163"/>
        <v>420</v>
      </c>
      <c r="K129" s="100"/>
      <c r="L129" s="48">
        <f>4+11+18+38+129</f>
        <v>200</v>
      </c>
      <c r="M129" s="49"/>
      <c r="N129" s="34">
        <v>30</v>
      </c>
      <c r="O129" s="45">
        <v>2</v>
      </c>
      <c r="P129" s="36">
        <f t="shared" si="164"/>
        <v>2</v>
      </c>
      <c r="Q129" s="38"/>
      <c r="R129" s="56">
        <v>1</v>
      </c>
      <c r="S129" s="38"/>
      <c r="T129" s="39">
        <f t="shared" si="165"/>
        <v>139560</v>
      </c>
      <c r="U129" s="36">
        <f t="shared" si="166"/>
        <v>0</v>
      </c>
      <c r="V129" s="39">
        <f t="shared" si="167"/>
        <v>139560</v>
      </c>
      <c r="W129" s="51">
        <v>69780</v>
      </c>
      <c r="X129" s="39">
        <f>SUMIF([1]헤몬팜마진!$B$7:$B$32,$C129,[1]헤몬팜마진!$R$7:$R$32)</f>
        <v>13276</v>
      </c>
      <c r="Y129" s="39">
        <f t="shared" si="168"/>
        <v>52514</v>
      </c>
      <c r="Z129" s="39">
        <f t="shared" si="169"/>
        <v>58152.600000000006</v>
      </c>
      <c r="AA129" s="98">
        <v>52866</v>
      </c>
      <c r="AB129" s="38"/>
      <c r="AC129" s="40">
        <f t="shared" si="176"/>
        <v>0</v>
      </c>
      <c r="AD129" s="41">
        <v>0.108</v>
      </c>
      <c r="AE129" s="36">
        <f t="shared" si="178"/>
        <v>9650</v>
      </c>
      <c r="AF129" s="28">
        <f t="shared" si="171"/>
        <v>0.17714588707366008</v>
      </c>
      <c r="AG129" s="39">
        <f t="shared" si="172"/>
        <v>24722.51</v>
      </c>
      <c r="AH129" s="39">
        <f t="shared" si="173"/>
        <v>4889.2217272727285</v>
      </c>
      <c r="AI129" s="39">
        <f>SUMIF([1]헤몬팜마진!$B$7:$B$32,$C129,[1]헤몬팜마진!$V$7:$V$32)</f>
        <v>26257</v>
      </c>
      <c r="AJ129" s="39">
        <f t="shared" si="174"/>
        <v>57434.268272727277</v>
      </c>
      <c r="AK129" s="42">
        <f t="shared" si="175"/>
        <v>-718.33172727272904</v>
      </c>
      <c r="AL129" s="43">
        <f>SUMIF([1]헤몬팜마진!$B$7:$B$32,$C129,[1]헤몬팜마진!$T$7:$T$32)</f>
        <v>372</v>
      </c>
      <c r="AM129" s="44">
        <f>SUMIF([1]헤몬팜마진!$B$7:$B$32,$C129,[1]헤몬팜마진!$U$7:$U$32)</f>
        <v>1896</v>
      </c>
      <c r="AN129" s="38"/>
      <c r="AO129" s="52">
        <v>25471</v>
      </c>
      <c r="AP129" s="52">
        <v>51</v>
      </c>
      <c r="AQ129" s="24"/>
      <c r="AR129" s="24"/>
      <c r="AS129" s="24"/>
      <c r="AT129" s="25"/>
      <c r="AU129" s="25"/>
      <c r="AV129" s="25"/>
      <c r="AW129" s="25"/>
      <c r="AX129" s="25"/>
      <c r="AY129" s="25"/>
      <c r="AZ129" s="25"/>
      <c r="BA129" s="25"/>
      <c r="BB129" s="25"/>
      <c r="BC129" s="25"/>
      <c r="BD129" s="25"/>
      <c r="BE129" s="25"/>
      <c r="BF129" s="25"/>
      <c r="BG129" s="25"/>
      <c r="BH129" s="25"/>
      <c r="BI129" s="25"/>
      <c r="BJ129" s="25"/>
      <c r="BK129" s="25"/>
    </row>
    <row r="130" spans="1:63" ht="28.5" customHeight="1">
      <c r="A130" s="47" t="s">
        <v>48</v>
      </c>
      <c r="B130" s="26"/>
      <c r="C130" s="27" t="s">
        <v>49</v>
      </c>
      <c r="D130" s="28">
        <f t="shared" si="158"/>
        <v>-0.23052859049552596</v>
      </c>
      <c r="E130" s="29">
        <f t="shared" si="159"/>
        <v>0.39082583464922177</v>
      </c>
      <c r="F130" s="30">
        <f t="shared" si="160"/>
        <v>0.6213544251447477</v>
      </c>
      <c r="G130" s="30">
        <f t="shared" si="161"/>
        <v>3.1746031746031744E-2</v>
      </c>
      <c r="H130" s="31">
        <v>500</v>
      </c>
      <c r="I130" s="31">
        <f t="shared" si="162"/>
        <v>105</v>
      </c>
      <c r="J130" s="31">
        <f t="shared" si="163"/>
        <v>210</v>
      </c>
      <c r="K130" s="48">
        <v>577</v>
      </c>
      <c r="L130" s="48">
        <v>211</v>
      </c>
      <c r="M130" s="49"/>
      <c r="N130" s="34">
        <v>15</v>
      </c>
      <c r="O130" s="45">
        <v>3</v>
      </c>
      <c r="P130" s="36">
        <f t="shared" si="164"/>
        <v>3</v>
      </c>
      <c r="Q130" s="45"/>
      <c r="R130" s="37">
        <v>2</v>
      </c>
      <c r="S130" s="45"/>
      <c r="T130" s="39">
        <f t="shared" si="165"/>
        <v>48360</v>
      </c>
      <c r="U130" s="36">
        <f t="shared" si="166"/>
        <v>0</v>
      </c>
      <c r="V130" s="39">
        <f t="shared" si="167"/>
        <v>48360</v>
      </c>
      <c r="W130" s="51">
        <v>16120</v>
      </c>
      <c r="X130" s="39">
        <f>SUMIF([1]헤몬팜마진!$B$7:$B$32,$C130,[1]헤몬팜마진!$R$7:$R$32)</f>
        <v>5089</v>
      </c>
      <c r="Y130" s="39">
        <f t="shared" si="168"/>
        <v>15378</v>
      </c>
      <c r="Z130" s="39">
        <f t="shared" si="169"/>
        <v>30048.7</v>
      </c>
      <c r="AA130" s="98">
        <v>27317</v>
      </c>
      <c r="AB130" s="64"/>
      <c r="AC130" s="40">
        <f t="shared" si="176"/>
        <v>0</v>
      </c>
      <c r="AD130" s="41">
        <v>7.8E-2</v>
      </c>
      <c r="AE130" s="36">
        <f>2900*(P130)</f>
        <v>8700</v>
      </c>
      <c r="AF130" s="28">
        <f t="shared" si="171"/>
        <v>0.25790074441687344</v>
      </c>
      <c r="AG130" s="39">
        <f t="shared" si="172"/>
        <v>12472.11</v>
      </c>
      <c r="AH130" s="39">
        <f t="shared" si="173"/>
        <v>1609.5526363636359</v>
      </c>
      <c r="AI130" s="39">
        <f>SUMIF([1]헤몬팜마진!$B$7:$B$32,$C130,[1]헤몬팜마진!$V$7:$V$32)</f>
        <v>5126</v>
      </c>
      <c r="AJ130" s="39">
        <f t="shared" si="174"/>
        <v>18900.337363636365</v>
      </c>
      <c r="AK130" s="60">
        <f t="shared" si="175"/>
        <v>-11148.362636363636</v>
      </c>
      <c r="AL130" s="43">
        <f>SUMIF([1]헤몬팜마진!$B$7:$B$32,$C130,[1]헤몬팜마진!$T$7:$T$32)</f>
        <v>6</v>
      </c>
      <c r="AM130" s="44">
        <f>SUMIF([1]헤몬팜마진!$B$7:$B$32,$C130,[1]헤몬팜마진!$U$7:$U$32)</f>
        <v>31</v>
      </c>
      <c r="AN130" s="38"/>
      <c r="AO130" s="52">
        <v>36491</v>
      </c>
      <c r="AP130" s="52">
        <v>63</v>
      </c>
      <c r="AQ130" s="24"/>
      <c r="AR130" s="24"/>
      <c r="AS130" s="24"/>
      <c r="AT130" s="25"/>
      <c r="AU130" s="25"/>
      <c r="AV130" s="25"/>
      <c r="AW130" s="25"/>
      <c r="AX130" s="25"/>
      <c r="AY130" s="25"/>
      <c r="AZ130" s="25"/>
      <c r="BA130" s="25"/>
      <c r="BB130" s="25"/>
      <c r="BC130" s="25"/>
      <c r="BD130" s="25"/>
      <c r="BE130" s="25"/>
      <c r="BF130" s="25"/>
      <c r="BG130" s="25"/>
      <c r="BH130" s="25"/>
      <c r="BI130" s="25"/>
      <c r="BJ130" s="25"/>
      <c r="BK130" s="25"/>
    </row>
    <row r="131" spans="1:63" ht="28.5" customHeight="1">
      <c r="A131" s="47" t="s">
        <v>53</v>
      </c>
      <c r="B131" s="26"/>
      <c r="C131" s="27" t="s">
        <v>54</v>
      </c>
      <c r="D131" s="28">
        <f t="shared" si="158"/>
        <v>0.13510119791666669</v>
      </c>
      <c r="E131" s="29">
        <f t="shared" si="159"/>
        <v>0.36300744791666673</v>
      </c>
      <c r="F131" s="30">
        <f t="shared" si="160"/>
        <v>0.22790625</v>
      </c>
      <c r="G131" s="30">
        <f t="shared" si="161"/>
        <v>8.4507042253521125E-2</v>
      </c>
      <c r="H131" s="31">
        <v>1750</v>
      </c>
      <c r="I131" s="31">
        <f t="shared" si="162"/>
        <v>350</v>
      </c>
      <c r="J131" s="31">
        <f t="shared" si="163"/>
        <v>700</v>
      </c>
      <c r="K131" s="48">
        <v>1449</v>
      </c>
      <c r="L131" s="48">
        <v>1217</v>
      </c>
      <c r="M131" s="49"/>
      <c r="N131" s="34">
        <v>50</v>
      </c>
      <c r="O131" s="45">
        <v>11</v>
      </c>
      <c r="P131" s="36">
        <f t="shared" si="164"/>
        <v>11</v>
      </c>
      <c r="Q131" s="38"/>
      <c r="R131" s="37">
        <v>6</v>
      </c>
      <c r="S131" s="38"/>
      <c r="T131" s="39">
        <f t="shared" si="165"/>
        <v>211200</v>
      </c>
      <c r="U131" s="36">
        <f t="shared" si="166"/>
        <v>0</v>
      </c>
      <c r="V131" s="39">
        <f t="shared" si="167"/>
        <v>211200</v>
      </c>
      <c r="W131" s="51">
        <v>19200</v>
      </c>
      <c r="X131" s="39">
        <f>SUMIF([1]헤몬팜마진!$B$7:$B$32,$C131,[1]헤몬팜마진!$R$7:$R$32)</f>
        <v>6373</v>
      </c>
      <c r="Y131" s="39">
        <f t="shared" si="168"/>
        <v>74481</v>
      </c>
      <c r="Z131" s="39">
        <f t="shared" si="169"/>
        <v>48133.8</v>
      </c>
      <c r="AA131" s="98">
        <v>43758</v>
      </c>
      <c r="AB131" s="38"/>
      <c r="AC131" s="40">
        <f t="shared" si="176"/>
        <v>0</v>
      </c>
      <c r="AD131" s="41">
        <v>0.08</v>
      </c>
      <c r="AE131" s="36">
        <f>3350*(P131)</f>
        <v>36850</v>
      </c>
      <c r="AF131" s="28">
        <f t="shared" si="171"/>
        <v>0.25447916666666665</v>
      </c>
      <c r="AG131" s="39">
        <f t="shared" si="172"/>
        <v>53746.029999999992</v>
      </c>
      <c r="AH131" s="39">
        <f t="shared" si="173"/>
        <v>6305.796999999995</v>
      </c>
      <c r="AI131" s="39">
        <f>SUMIF([1]헤몬팜마진!$B$7:$B$32,$C131,[1]헤몬팜마진!$V$7:$V$32)</f>
        <v>6771</v>
      </c>
      <c r="AJ131" s="39">
        <f t="shared" si="174"/>
        <v>76667.17300000001</v>
      </c>
      <c r="AK131" s="42">
        <f t="shared" si="175"/>
        <v>28533.373000000007</v>
      </c>
      <c r="AL131" s="43">
        <f>SUMIF([1]헤몬팜마진!$B$7:$B$32,$C131,[1]헤몬팜마진!$T$7:$T$32)</f>
        <v>65</v>
      </c>
      <c r="AM131" s="44">
        <f>SUMIF([1]헤몬팜마진!$B$7:$B$32,$C131,[1]헤몬팜마진!$U$7:$U$32)</f>
        <v>333</v>
      </c>
      <c r="AN131" s="38"/>
      <c r="AO131" s="52">
        <v>24106</v>
      </c>
      <c r="AP131" s="52">
        <v>71</v>
      </c>
      <c r="AQ131" s="24"/>
      <c r="AR131" s="24"/>
      <c r="AS131" s="24"/>
      <c r="AT131" s="25"/>
      <c r="AU131" s="25"/>
      <c r="AV131" s="25"/>
      <c r="AW131" s="25"/>
      <c r="AX131" s="25"/>
      <c r="AY131" s="25"/>
      <c r="AZ131" s="25"/>
      <c r="BA131" s="25"/>
      <c r="BB131" s="25"/>
      <c r="BC131" s="25"/>
      <c r="BD131" s="25"/>
      <c r="BE131" s="25"/>
      <c r="BF131" s="25"/>
      <c r="BG131" s="25"/>
      <c r="BH131" s="25"/>
      <c r="BI131" s="25"/>
      <c r="BJ131" s="25"/>
      <c r="BK131" s="25"/>
    </row>
    <row r="132" spans="1:63" ht="28.5" customHeight="1">
      <c r="A132" s="53" t="s">
        <v>55</v>
      </c>
      <c r="B132" s="67"/>
      <c r="C132" s="27" t="s">
        <v>56</v>
      </c>
      <c r="D132" s="28">
        <f t="shared" si="158"/>
        <v>0.14010266695821713</v>
      </c>
      <c r="E132" s="29">
        <f t="shared" si="159"/>
        <v>0.41710687621858999</v>
      </c>
      <c r="F132" s="30">
        <f t="shared" si="160"/>
        <v>0.27700420926037289</v>
      </c>
      <c r="G132" s="30">
        <f t="shared" si="161"/>
        <v>2.8571428571428571E-2</v>
      </c>
      <c r="H132" s="31">
        <v>0</v>
      </c>
      <c r="I132" s="31">
        <f t="shared" si="162"/>
        <v>70</v>
      </c>
      <c r="J132" s="31">
        <f t="shared" si="163"/>
        <v>140</v>
      </c>
      <c r="K132" s="68">
        <v>494</v>
      </c>
      <c r="L132" s="48">
        <v>0</v>
      </c>
      <c r="M132" s="49"/>
      <c r="N132" s="34">
        <v>10</v>
      </c>
      <c r="O132" s="38">
        <v>5</v>
      </c>
      <c r="P132" s="36">
        <f t="shared" si="164"/>
        <v>5</v>
      </c>
      <c r="Q132" s="38">
        <v>1</v>
      </c>
      <c r="R132" s="37">
        <v>3</v>
      </c>
      <c r="S132" s="38"/>
      <c r="T132" s="39">
        <f t="shared" si="165"/>
        <v>249450</v>
      </c>
      <c r="U132" s="36">
        <f t="shared" si="166"/>
        <v>0</v>
      </c>
      <c r="V132" s="39">
        <f t="shared" si="167"/>
        <v>249450</v>
      </c>
      <c r="W132" s="51">
        <v>49890</v>
      </c>
      <c r="X132" s="39">
        <f>SUMIF([1]헤몬팜마진!$B$7:$B$32,$C132,[1]헤몬팜마진!$R$7:$R$32)</f>
        <v>12170</v>
      </c>
      <c r="Y132" s="39">
        <f t="shared" si="168"/>
        <v>92880</v>
      </c>
      <c r="Z132" s="39">
        <f t="shared" si="169"/>
        <v>69098.700000000012</v>
      </c>
      <c r="AA132" s="98">
        <v>62817</v>
      </c>
      <c r="AB132" s="38"/>
      <c r="AC132" s="40">
        <f t="shared" si="176"/>
        <v>2310</v>
      </c>
      <c r="AD132" s="41">
        <v>7.8E-2</v>
      </c>
      <c r="AE132" s="36">
        <f t="shared" ref="AE132:AE133" si="179">4825*(P132)</f>
        <v>24125</v>
      </c>
      <c r="AF132" s="28">
        <f t="shared" si="171"/>
        <v>0.17471276808979755</v>
      </c>
      <c r="AG132" s="39">
        <f t="shared" si="172"/>
        <v>43582.13</v>
      </c>
      <c r="AH132" s="39">
        <f t="shared" si="173"/>
        <v>8940.5597272727264</v>
      </c>
      <c r="AI132" s="39">
        <f>SUMIF([1]헤몬팜마진!$B$7:$B$32,$C132,[1]헤몬팜마진!$V$7:$V$32)</f>
        <v>18576</v>
      </c>
      <c r="AJ132" s="39">
        <f t="shared" si="174"/>
        <v>104047.31027272728</v>
      </c>
      <c r="AK132" s="60">
        <f t="shared" si="175"/>
        <v>34948.610272727266</v>
      </c>
      <c r="AL132" s="43">
        <f>SUMIF([1]헤몬팜마진!$B$7:$B$32,$C132,[1]헤몬팜마진!$T$7:$T$32)</f>
        <v>181</v>
      </c>
      <c r="AM132" s="44">
        <f>SUMIF([1]헤몬팜마진!$B$7:$B$32,$C132,[1]헤몬팜마진!$U$7:$U$32)</f>
        <v>926</v>
      </c>
      <c r="AN132" s="38"/>
      <c r="AO132" s="52">
        <v>30254</v>
      </c>
      <c r="AP132" s="52">
        <v>105</v>
      </c>
      <c r="AQ132" s="24"/>
      <c r="AR132" s="24"/>
      <c r="AS132" s="24"/>
      <c r="AT132" s="25"/>
      <c r="AU132" s="25"/>
      <c r="AV132" s="25"/>
      <c r="AW132" s="25"/>
      <c r="AX132" s="25"/>
      <c r="AY132" s="25"/>
      <c r="AZ132" s="25"/>
      <c r="BA132" s="25"/>
      <c r="BB132" s="25"/>
      <c r="BC132" s="25"/>
      <c r="BD132" s="25"/>
      <c r="BE132" s="25"/>
      <c r="BF132" s="25"/>
      <c r="BG132" s="25"/>
      <c r="BH132" s="25"/>
      <c r="BI132" s="25"/>
      <c r="BJ132" s="25"/>
      <c r="BK132" s="25"/>
    </row>
    <row r="133" spans="1:63" ht="28.5" customHeight="1">
      <c r="A133" s="57"/>
      <c r="B133" s="58"/>
      <c r="C133" s="27" t="s">
        <v>57</v>
      </c>
      <c r="D133" s="28">
        <f t="shared" si="158"/>
        <v>0.13230682147448961</v>
      </c>
      <c r="E133" s="29">
        <f t="shared" si="159"/>
        <v>0.40921161623130231</v>
      </c>
      <c r="F133" s="30">
        <f t="shared" si="160"/>
        <v>0.27690479475681273</v>
      </c>
      <c r="G133" s="30">
        <f t="shared" si="161"/>
        <v>3.7433155080213901E-2</v>
      </c>
      <c r="H133" s="31">
        <v>0</v>
      </c>
      <c r="I133" s="31">
        <f t="shared" si="162"/>
        <v>70</v>
      </c>
      <c r="J133" s="31">
        <f t="shared" si="163"/>
        <v>140</v>
      </c>
      <c r="K133" s="59"/>
      <c r="L133" s="48">
        <v>1</v>
      </c>
      <c r="M133" s="49"/>
      <c r="N133" s="34">
        <v>10</v>
      </c>
      <c r="O133" s="45">
        <v>5</v>
      </c>
      <c r="P133" s="36">
        <f t="shared" si="164"/>
        <v>5</v>
      </c>
      <c r="Q133" s="45">
        <v>4</v>
      </c>
      <c r="R133" s="37">
        <v>7</v>
      </c>
      <c r="S133" s="38"/>
      <c r="T133" s="39">
        <f t="shared" si="165"/>
        <v>289900</v>
      </c>
      <c r="U133" s="36">
        <f t="shared" si="166"/>
        <v>0</v>
      </c>
      <c r="V133" s="39">
        <f t="shared" si="167"/>
        <v>289900</v>
      </c>
      <c r="W133" s="51">
        <v>57980</v>
      </c>
      <c r="X133" s="39">
        <f>SUMIF([1]헤몬팜마진!$B$7:$B$32,$C133,[1]헤몬팜마진!$R$7:$R$32)</f>
        <v>12170</v>
      </c>
      <c r="Y133" s="39">
        <f t="shared" si="168"/>
        <v>114380</v>
      </c>
      <c r="Z133" s="39">
        <f t="shared" si="169"/>
        <v>80274.700000000012</v>
      </c>
      <c r="AA133" s="98">
        <v>72977</v>
      </c>
      <c r="AB133" s="38"/>
      <c r="AC133" s="40">
        <f t="shared" si="176"/>
        <v>9240</v>
      </c>
      <c r="AD133" s="41">
        <v>7.8E-2</v>
      </c>
      <c r="AE133" s="36">
        <f t="shared" si="179"/>
        <v>24125</v>
      </c>
      <c r="AF133" s="28">
        <f t="shared" si="171"/>
        <v>0.16121835115557087</v>
      </c>
      <c r="AG133" s="39">
        <f t="shared" si="172"/>
        <v>46737.229999999996</v>
      </c>
      <c r="AH133" s="39">
        <f t="shared" si="173"/>
        <v>10152.322454545458</v>
      </c>
      <c r="AI133" s="39">
        <f>SUMIF([1]헤몬팜마진!$B$7:$B$32,$C133,[1]헤몬팜마진!$V$7:$V$32)</f>
        <v>22876</v>
      </c>
      <c r="AJ133" s="39">
        <f t="shared" si="174"/>
        <v>118630.44754545455</v>
      </c>
      <c r="AK133" s="42">
        <f t="shared" si="175"/>
        <v>38355.747545454535</v>
      </c>
      <c r="AL133" s="43">
        <f>SUMIF([1]헤몬팜마진!$B$7:$B$32,$C133,[1]헤몬팜마진!$T$7:$T$32)</f>
        <v>181</v>
      </c>
      <c r="AM133" s="44">
        <f>SUMIF([1]헤몬팜마진!$B$7:$B$32,$C133,[1]헤몬팜마진!$U$7:$U$32)</f>
        <v>926</v>
      </c>
      <c r="AN133" s="38"/>
      <c r="AO133" s="52">
        <v>33179</v>
      </c>
      <c r="AP133" s="52">
        <v>187</v>
      </c>
      <c r="AQ133" s="24"/>
      <c r="AR133" s="24"/>
      <c r="AS133" s="24"/>
      <c r="AT133" s="25"/>
      <c r="AU133" s="25"/>
      <c r="AV133" s="25"/>
      <c r="AW133" s="25"/>
      <c r="AX133" s="25"/>
      <c r="AY133" s="25"/>
      <c r="AZ133" s="25"/>
      <c r="BA133" s="25"/>
      <c r="BB133" s="25"/>
      <c r="BC133" s="25"/>
      <c r="BD133" s="25"/>
      <c r="BE133" s="25"/>
      <c r="BF133" s="25"/>
      <c r="BG133" s="25"/>
      <c r="BH133" s="25"/>
      <c r="BI133" s="25"/>
      <c r="BJ133" s="25"/>
      <c r="BK133" s="25"/>
    </row>
    <row r="134" spans="1:63" ht="28.5" customHeight="1">
      <c r="A134" s="47" t="s">
        <v>58</v>
      </c>
      <c r="B134" s="26"/>
      <c r="C134" s="27" t="s">
        <v>59</v>
      </c>
      <c r="D134" s="28">
        <f t="shared" si="158"/>
        <v>0.25716084542049716</v>
      </c>
      <c r="E134" s="29">
        <f t="shared" si="159"/>
        <v>0.43836833605720127</v>
      </c>
      <c r="F134" s="30">
        <f t="shared" si="160"/>
        <v>0.18120749063670413</v>
      </c>
      <c r="G134" s="30">
        <f t="shared" si="161"/>
        <v>2.358490566037736E-2</v>
      </c>
      <c r="H134" s="31">
        <v>2000</v>
      </c>
      <c r="I134" s="31">
        <f t="shared" si="162"/>
        <v>700</v>
      </c>
      <c r="J134" s="31">
        <f t="shared" si="163"/>
        <v>1400</v>
      </c>
      <c r="K134" s="48">
        <v>2373</v>
      </c>
      <c r="L134" s="48">
        <v>3</v>
      </c>
      <c r="M134" s="49"/>
      <c r="N134" s="34">
        <v>100</v>
      </c>
      <c r="O134" s="45">
        <v>15</v>
      </c>
      <c r="P134" s="36">
        <f t="shared" si="164"/>
        <v>15</v>
      </c>
      <c r="Q134" s="45">
        <v>3</v>
      </c>
      <c r="R134" s="37">
        <v>5</v>
      </c>
      <c r="S134" s="38"/>
      <c r="T134" s="39">
        <f t="shared" si="165"/>
        <v>267000</v>
      </c>
      <c r="U134" s="36">
        <f t="shared" si="166"/>
        <v>0</v>
      </c>
      <c r="V134" s="39">
        <f t="shared" si="167"/>
        <v>267000</v>
      </c>
      <c r="W134" s="51">
        <v>17800</v>
      </c>
      <c r="X134" s="39">
        <f>SUMIF([1]헤몬팜마진!$B$7:$B$32,$C134,[1]헤몬팜마진!$R$7:$R$32)</f>
        <v>3983</v>
      </c>
      <c r="Y134" s="39">
        <f t="shared" si="168"/>
        <v>72555</v>
      </c>
      <c r="Z134" s="39">
        <f t="shared" si="169"/>
        <v>48382.400000000001</v>
      </c>
      <c r="AA134" s="98">
        <f>26680+17304</f>
        <v>43984</v>
      </c>
      <c r="AB134" s="38"/>
      <c r="AC134" s="40">
        <f t="shared" si="176"/>
        <v>6930</v>
      </c>
      <c r="AD134" s="41">
        <v>7.8E-2</v>
      </c>
      <c r="AE134" s="36">
        <f>3100*(P134)</f>
        <v>46500</v>
      </c>
      <c r="AF134" s="28">
        <f t="shared" si="171"/>
        <v>0.25215730337078651</v>
      </c>
      <c r="AG134" s="39">
        <f t="shared" si="172"/>
        <v>67326.03</v>
      </c>
      <c r="AH134" s="39">
        <f t="shared" si="173"/>
        <v>10074.624272727271</v>
      </c>
      <c r="AI134" s="39">
        <f>SUMIF([1]헤몬팜마진!$B$7:$B$32,$C134,[1]헤몬팜마진!$V$7:$V$32)</f>
        <v>4837</v>
      </c>
      <c r="AJ134" s="39">
        <f t="shared" si="174"/>
        <v>117044.34572727274</v>
      </c>
      <c r="AK134" s="42">
        <f t="shared" si="175"/>
        <v>68661.945727272745</v>
      </c>
      <c r="AL134" s="43">
        <f>SUMIF([1]헤몬팜마진!$B$7:$B$32,$C134,[1]헤몬팜마진!$T$7:$T$32)</f>
        <v>140</v>
      </c>
      <c r="AM134" s="44">
        <f>SUMIF([1]헤몬팜마진!$B$7:$B$32,$C134,[1]헤몬팜마진!$U$7:$U$32)</f>
        <v>714</v>
      </c>
      <c r="AN134" s="38"/>
      <c r="AO134" s="52">
        <v>58981</v>
      </c>
      <c r="AP134" s="52">
        <v>212</v>
      </c>
      <c r="AQ134" s="24"/>
      <c r="AR134" s="24"/>
      <c r="AS134" s="24"/>
      <c r="AT134" s="25"/>
      <c r="AU134" s="25"/>
      <c r="AV134" s="25"/>
      <c r="AW134" s="25"/>
      <c r="AX134" s="25"/>
      <c r="AY134" s="25"/>
      <c r="AZ134" s="25"/>
      <c r="BA134" s="25"/>
      <c r="BB134" s="25"/>
      <c r="BC134" s="25"/>
      <c r="BD134" s="25"/>
      <c r="BE134" s="25"/>
      <c r="BF134" s="25"/>
      <c r="BG134" s="25"/>
      <c r="BH134" s="25"/>
      <c r="BI134" s="25"/>
      <c r="BJ134" s="25"/>
      <c r="BK134" s="25"/>
    </row>
    <row r="135" spans="1:63" ht="28.5" customHeight="1">
      <c r="A135" s="47" t="s">
        <v>64</v>
      </c>
      <c r="B135" s="70" t="s">
        <v>65</v>
      </c>
      <c r="C135" s="27" t="s">
        <v>66</v>
      </c>
      <c r="D135" s="28">
        <f t="shared" si="158"/>
        <v>0.29897262983083883</v>
      </c>
      <c r="E135" s="29">
        <f t="shared" si="159"/>
        <v>0.43443623842877577</v>
      </c>
      <c r="F135" s="30">
        <f t="shared" si="160"/>
        <v>0.13546360859793696</v>
      </c>
      <c r="G135" s="30">
        <f t="shared" si="161"/>
        <v>0.10679611650485436</v>
      </c>
      <c r="H135" s="31">
        <v>2000</v>
      </c>
      <c r="I135" s="31">
        <f t="shared" si="162"/>
        <v>280</v>
      </c>
      <c r="J135" s="31">
        <f t="shared" si="163"/>
        <v>560</v>
      </c>
      <c r="K135" s="104">
        <v>1048</v>
      </c>
      <c r="L135" s="48">
        <f>311+240+1</f>
        <v>552</v>
      </c>
      <c r="M135" s="49"/>
      <c r="N135" s="34">
        <v>40</v>
      </c>
      <c r="O135" s="45">
        <v>21</v>
      </c>
      <c r="P135" s="36">
        <f t="shared" si="164"/>
        <v>21</v>
      </c>
      <c r="Q135" s="45">
        <v>3</v>
      </c>
      <c r="R135" s="37">
        <v>11</v>
      </c>
      <c r="S135" s="38"/>
      <c r="T135" s="39">
        <f t="shared" si="165"/>
        <v>520590</v>
      </c>
      <c r="U135" s="36">
        <f t="shared" si="166"/>
        <v>0</v>
      </c>
      <c r="V135" s="39">
        <f t="shared" si="167"/>
        <v>520590</v>
      </c>
      <c r="W135" s="51">
        <v>24790</v>
      </c>
      <c r="X135" s="39">
        <f>SUMIF([1]헤몬팜마진!$B$7:$B$32,$C135,[1]헤몬팜마진!$R$7:$R$32)</f>
        <v>6859</v>
      </c>
      <c r="Y135" s="39">
        <f t="shared" si="168"/>
        <v>152334</v>
      </c>
      <c r="Z135" s="39">
        <f t="shared" si="169"/>
        <v>70521</v>
      </c>
      <c r="AA135" s="98">
        <v>64110</v>
      </c>
      <c r="AB135" s="63"/>
      <c r="AC135" s="40">
        <f t="shared" si="176"/>
        <v>6930</v>
      </c>
      <c r="AD135" s="41">
        <v>0.108</v>
      </c>
      <c r="AE135" s="36">
        <f>3150*(P135)</f>
        <v>66150</v>
      </c>
      <c r="AF135" s="28">
        <f t="shared" si="171"/>
        <v>0.23506736587333604</v>
      </c>
      <c r="AG135" s="39">
        <f t="shared" si="172"/>
        <v>122373.75000000001</v>
      </c>
      <c r="AH135" s="39">
        <f t="shared" si="173"/>
        <v>19719.088636363638</v>
      </c>
      <c r="AI135" s="39">
        <f>SUMIF([1]헤몬팜마진!$B$7:$B$32,$C135,[1]헤몬팜마진!$V$7:$V$32)</f>
        <v>7254</v>
      </c>
      <c r="AJ135" s="39">
        <f t="shared" si="174"/>
        <v>226163.16136363638</v>
      </c>
      <c r="AK135" s="60">
        <f t="shared" si="175"/>
        <v>155642.16136363638</v>
      </c>
      <c r="AL135" s="43">
        <f>SUMIF([1]헤몬팜마진!$B$7:$B$32,$C135,[1]헤몬팜마진!$T$7:$T$32)</f>
        <v>65</v>
      </c>
      <c r="AM135" s="44">
        <f>SUMIF([1]헤몬팜마진!$B$7:$B$32,$C135,[1]헤몬팜마진!$U$7:$U$32)</f>
        <v>330</v>
      </c>
      <c r="AN135" s="38"/>
      <c r="AO135" s="52">
        <v>30836</v>
      </c>
      <c r="AP135" s="52">
        <v>103</v>
      </c>
      <c r="AQ135" s="24"/>
      <c r="AR135" s="24"/>
      <c r="AS135" s="24"/>
      <c r="AT135" s="25"/>
      <c r="AU135" s="25"/>
      <c r="AV135" s="25"/>
      <c r="AW135" s="25"/>
      <c r="AX135" s="25"/>
      <c r="AY135" s="25"/>
      <c r="AZ135" s="25"/>
      <c r="BA135" s="25"/>
      <c r="BB135" s="25"/>
      <c r="BC135" s="25"/>
      <c r="BD135" s="25"/>
      <c r="BE135" s="25"/>
      <c r="BF135" s="25"/>
      <c r="BG135" s="25"/>
      <c r="BH135" s="25"/>
      <c r="BI135" s="25"/>
      <c r="BJ135" s="25"/>
      <c r="BK135" s="25"/>
    </row>
    <row r="136" spans="1:63" ht="28.5" customHeight="1">
      <c r="A136" s="47"/>
      <c r="B136" s="69" t="s">
        <v>67</v>
      </c>
      <c r="C136" s="27" t="s">
        <v>68</v>
      </c>
      <c r="D136" s="28">
        <f t="shared" si="158"/>
        <v>-0.44748916628597551</v>
      </c>
      <c r="E136" s="29">
        <f t="shared" si="159"/>
        <v>0.41263897441754221</v>
      </c>
      <c r="F136" s="30">
        <f t="shared" si="160"/>
        <v>0.86012814070351773</v>
      </c>
      <c r="G136" s="30">
        <f t="shared" si="161"/>
        <v>0</v>
      </c>
      <c r="H136" s="31">
        <v>0</v>
      </c>
      <c r="I136" s="31">
        <f t="shared" si="162"/>
        <v>105</v>
      </c>
      <c r="J136" s="31">
        <f t="shared" si="163"/>
        <v>210</v>
      </c>
      <c r="K136" s="105"/>
      <c r="L136" s="48">
        <f>22+3</f>
        <v>25</v>
      </c>
      <c r="M136" s="49"/>
      <c r="N136" s="34">
        <v>15</v>
      </c>
      <c r="O136" s="38">
        <v>1</v>
      </c>
      <c r="P136" s="36">
        <f t="shared" si="164"/>
        <v>1</v>
      </c>
      <c r="Q136" s="38"/>
      <c r="R136" s="50"/>
      <c r="S136" s="38"/>
      <c r="T136" s="39">
        <f t="shared" si="165"/>
        <v>39800</v>
      </c>
      <c r="U136" s="36">
        <f t="shared" si="166"/>
        <v>0</v>
      </c>
      <c r="V136" s="39">
        <f t="shared" si="167"/>
        <v>39800</v>
      </c>
      <c r="W136" s="51">
        <v>39800</v>
      </c>
      <c r="X136" s="39">
        <f>SUMIF([1]헤몬팜마진!$B$7:$B$32,$C136,[1]헤몬팜마진!$R$7:$R$32)</f>
        <v>13719</v>
      </c>
      <c r="Y136" s="39">
        <f t="shared" si="168"/>
        <v>14113</v>
      </c>
      <c r="Z136" s="39">
        <f t="shared" si="169"/>
        <v>34233.100000000006</v>
      </c>
      <c r="AA136" s="98">
        <v>31121</v>
      </c>
      <c r="AB136" s="63"/>
      <c r="AC136" s="40">
        <f t="shared" si="176"/>
        <v>0</v>
      </c>
      <c r="AD136" s="41">
        <v>0.108</v>
      </c>
      <c r="AE136" s="36">
        <f>3550*(P136)</f>
        <v>3550</v>
      </c>
      <c r="AF136" s="28">
        <f t="shared" si="171"/>
        <v>0.1971959798994975</v>
      </c>
      <c r="AG136" s="39">
        <f t="shared" si="172"/>
        <v>7848.43</v>
      </c>
      <c r="AH136" s="39">
        <f t="shared" si="173"/>
        <v>1415.538818181818</v>
      </c>
      <c r="AI136" s="39">
        <f>SUMIF([1]헤몬팜마진!$B$7:$B$32,$C136,[1]헤몬팜마진!$V$7:$V$32)</f>
        <v>14113</v>
      </c>
      <c r="AJ136" s="39">
        <f t="shared" si="174"/>
        <v>16423.03118181818</v>
      </c>
      <c r="AK136" s="60">
        <f t="shared" si="175"/>
        <v>-17810.068818181826</v>
      </c>
      <c r="AL136" s="43">
        <f>SUMIF([1]헤몬팜마진!$B$7:$B$32,$C136,[1]헤몬팜마진!$T$7:$T$32)</f>
        <v>65</v>
      </c>
      <c r="AM136" s="44">
        <f>SUMIF([1]헤몬팜마진!$B$7:$B$32,$C136,[1]헤몬팜마진!$U$7:$U$32)</f>
        <v>330</v>
      </c>
      <c r="AN136" s="38"/>
      <c r="AO136" s="52">
        <v>33060</v>
      </c>
      <c r="AP136" s="52">
        <v>127</v>
      </c>
      <c r="AQ136" s="24"/>
      <c r="AR136" s="24"/>
      <c r="AS136" s="24"/>
      <c r="AT136" s="25"/>
      <c r="AU136" s="25"/>
      <c r="AV136" s="25"/>
      <c r="AW136" s="25"/>
      <c r="AX136" s="25"/>
      <c r="AY136" s="25"/>
      <c r="AZ136" s="25"/>
      <c r="BA136" s="25"/>
      <c r="BB136" s="25"/>
      <c r="BC136" s="25"/>
      <c r="BD136" s="25"/>
      <c r="BE136" s="25"/>
      <c r="BF136" s="25"/>
      <c r="BG136" s="25"/>
      <c r="BH136" s="25"/>
      <c r="BI136" s="25"/>
      <c r="BJ136" s="25"/>
      <c r="BK136" s="25"/>
    </row>
    <row r="137" spans="1:63" ht="28.5" customHeight="1">
      <c r="A137" s="1"/>
      <c r="B137" s="69" t="s">
        <v>62</v>
      </c>
      <c r="C137" s="27" t="s">
        <v>63</v>
      </c>
      <c r="D137" s="28">
        <f t="shared" si="158"/>
        <v>1.8098059163059187E-2</v>
      </c>
      <c r="E137" s="29">
        <f t="shared" si="159"/>
        <v>0.37867670274170279</v>
      </c>
      <c r="F137" s="30">
        <f t="shared" si="160"/>
        <v>0.36057864357864361</v>
      </c>
      <c r="G137" s="30">
        <f t="shared" si="161"/>
        <v>2.8231797919762259E-2</v>
      </c>
      <c r="H137" s="31">
        <v>700</v>
      </c>
      <c r="I137" s="31">
        <f t="shared" si="162"/>
        <v>210</v>
      </c>
      <c r="J137" s="31">
        <f t="shared" si="163"/>
        <v>420</v>
      </c>
      <c r="K137" s="48">
        <v>954</v>
      </c>
      <c r="L137" s="48">
        <v>2</v>
      </c>
      <c r="M137" s="49"/>
      <c r="N137" s="34">
        <v>30</v>
      </c>
      <c r="O137" s="38">
        <v>23</v>
      </c>
      <c r="P137" s="36">
        <f t="shared" si="164"/>
        <v>21</v>
      </c>
      <c r="Q137" s="38">
        <v>8</v>
      </c>
      <c r="R137" s="37">
        <v>19</v>
      </c>
      <c r="S137" s="38">
        <v>2</v>
      </c>
      <c r="T137" s="39">
        <f t="shared" si="165"/>
        <v>455400</v>
      </c>
      <c r="U137" s="36">
        <f t="shared" si="166"/>
        <v>39600</v>
      </c>
      <c r="V137" s="39">
        <f t="shared" si="167"/>
        <v>415800</v>
      </c>
      <c r="W137" s="51">
        <v>19800</v>
      </c>
      <c r="X137" s="39">
        <f>SUMIF([1]헤몬팜마진!$B$7:$B$32,$C137,[1]헤몬팜마진!$R$7:$R$32)</f>
        <v>6638</v>
      </c>
      <c r="Y137" s="39">
        <f t="shared" si="168"/>
        <v>140406</v>
      </c>
      <c r="Z137" s="39">
        <f t="shared" si="169"/>
        <v>128959.6</v>
      </c>
      <c r="AA137" s="98">
        <v>117236</v>
      </c>
      <c r="AB137" s="64">
        <f>((20900*0.015)+(20900*0.19)+2100+2200+1900)*2</f>
        <v>20969</v>
      </c>
      <c r="AC137" s="40">
        <f t="shared" si="176"/>
        <v>18480</v>
      </c>
      <c r="AD137" s="41">
        <v>0.08</v>
      </c>
      <c r="AE137" s="36">
        <f>3400*(P137)</f>
        <v>71400</v>
      </c>
      <c r="AF137" s="28">
        <f t="shared" si="171"/>
        <v>0.25171717171717173</v>
      </c>
      <c r="AG137" s="39">
        <f t="shared" si="172"/>
        <v>104664.03</v>
      </c>
      <c r="AH137" s="39">
        <f t="shared" si="173"/>
        <v>13276.196999999993</v>
      </c>
      <c r="AI137" s="39">
        <f>SUMIF([1]헤몬팜마진!$B$7:$B$32,$C137,[1]헤몬팜마진!$V$7:$V$32)</f>
        <v>6686</v>
      </c>
      <c r="AJ137" s="39">
        <f t="shared" si="174"/>
        <v>157453.77300000002</v>
      </c>
      <c r="AK137" s="60">
        <f t="shared" si="175"/>
        <v>7525.1730000000098</v>
      </c>
      <c r="AL137" s="43">
        <f>SUMIF([1]헤몬팜마진!$B$7:$B$32,$C137,[1]헤몬팜마진!$T$7:$T$32)</f>
        <v>8</v>
      </c>
      <c r="AM137" s="44">
        <f>SUMIF([1]헤몬팜마진!$B$7:$B$32,$C137,[1]헤몬팜마진!$U$7:$U$32)</f>
        <v>40</v>
      </c>
      <c r="AN137" s="38"/>
      <c r="AO137" s="52">
        <v>173625</v>
      </c>
      <c r="AP137" s="52">
        <v>673</v>
      </c>
      <c r="AQ137" s="24"/>
      <c r="AR137" s="24"/>
      <c r="AS137" s="24"/>
      <c r="AT137" s="25"/>
      <c r="AU137" s="25"/>
      <c r="AV137" s="25"/>
      <c r="AW137" s="25"/>
      <c r="AX137" s="25"/>
      <c r="AY137" s="25"/>
      <c r="AZ137" s="25"/>
      <c r="BA137" s="25"/>
      <c r="BB137" s="25"/>
      <c r="BC137" s="25"/>
      <c r="BD137" s="25"/>
      <c r="BE137" s="25"/>
      <c r="BF137" s="25"/>
      <c r="BG137" s="25"/>
      <c r="BH137" s="25"/>
      <c r="BI137" s="25"/>
      <c r="BJ137" s="25"/>
      <c r="BK137" s="25"/>
    </row>
    <row r="138" spans="1:63" ht="28.5" customHeight="1">
      <c r="A138" s="47" t="s">
        <v>70</v>
      </c>
      <c r="B138" s="26"/>
      <c r="C138" s="106" t="s">
        <v>69</v>
      </c>
      <c r="D138" s="28" t="e">
        <f t="shared" si="158"/>
        <v>#DIV/0!</v>
      </c>
      <c r="E138" s="29" t="e">
        <f t="shared" si="159"/>
        <v>#DIV/0!</v>
      </c>
      <c r="F138" s="30" t="e">
        <f t="shared" si="160"/>
        <v>#DIV/0!</v>
      </c>
      <c r="G138" s="30" t="e">
        <f t="shared" si="161"/>
        <v>#DIV/0!</v>
      </c>
      <c r="H138" s="31">
        <v>0</v>
      </c>
      <c r="I138" s="31"/>
      <c r="J138" s="31"/>
      <c r="K138" s="48"/>
      <c r="L138" s="48">
        <v>0</v>
      </c>
      <c r="M138" s="49"/>
      <c r="N138" s="34">
        <v>50</v>
      </c>
      <c r="O138" s="45">
        <v>2</v>
      </c>
      <c r="P138" s="36">
        <f t="shared" si="164"/>
        <v>0</v>
      </c>
      <c r="Q138" s="38"/>
      <c r="R138" s="56"/>
      <c r="S138" s="38">
        <v>2</v>
      </c>
      <c r="T138" s="39">
        <f t="shared" si="165"/>
        <v>49600</v>
      </c>
      <c r="U138" s="36">
        <f t="shared" si="166"/>
        <v>49600</v>
      </c>
      <c r="V138" s="39">
        <f t="shared" si="167"/>
        <v>0</v>
      </c>
      <c r="W138" s="51">
        <v>24800</v>
      </c>
      <c r="X138" s="39">
        <f>SUMIF([1]헤몬팜마진!$B$7:$B$32,$C138,[1]헤몬팜마진!$R$7:$R$32)</f>
        <v>28987</v>
      </c>
      <c r="Y138" s="39">
        <f t="shared" si="168"/>
        <v>0</v>
      </c>
      <c r="Z138" s="39">
        <f t="shared" si="169"/>
        <v>0</v>
      </c>
      <c r="AA138" s="32"/>
      <c r="AB138" s="64">
        <f>((75900*0.015)+(75900*0.19)+2100+2200+1900)*2</f>
        <v>43519</v>
      </c>
      <c r="AC138" s="40">
        <f t="shared" si="176"/>
        <v>0</v>
      </c>
      <c r="AD138" s="41">
        <v>0.1</v>
      </c>
      <c r="AE138" s="36">
        <f>1900*(P138)</f>
        <v>0</v>
      </c>
      <c r="AF138" s="28" t="e">
        <f t="shared" si="171"/>
        <v>#DIV/0!</v>
      </c>
      <c r="AG138" s="39">
        <f t="shared" si="172"/>
        <v>0</v>
      </c>
      <c r="AH138" s="39">
        <f t="shared" si="173"/>
        <v>0</v>
      </c>
      <c r="AI138" s="39">
        <f>SUMIF([1]헤몬팜마진!$B$7:$B$32,$C138,[1]헤몬팜마진!$V$7:$V$32)</f>
        <v>29158</v>
      </c>
      <c r="AJ138" s="39">
        <f t="shared" si="174"/>
        <v>0</v>
      </c>
      <c r="AK138" s="60">
        <f t="shared" si="175"/>
        <v>-43519</v>
      </c>
      <c r="AL138" s="43">
        <f>SUMIF([1]헤몬팜마진!$B$7:$B$32,$C138,[1]헤몬팜마진!$T$7:$T$32)</f>
        <v>28</v>
      </c>
      <c r="AM138" s="44">
        <f>SUMIF([1]헤몬팜마진!$B$7:$B$32,$C138,[1]헤몬팜마진!$U$7:$U$32)</f>
        <v>143</v>
      </c>
      <c r="AN138" s="38"/>
      <c r="AO138" s="45"/>
      <c r="AP138" s="46"/>
      <c r="AQ138" s="24"/>
      <c r="AR138" s="24"/>
      <c r="AS138" s="24"/>
      <c r="AT138" s="25"/>
      <c r="AU138" s="25"/>
      <c r="AV138" s="25"/>
      <c r="AW138" s="25"/>
      <c r="AX138" s="25"/>
      <c r="AY138" s="25"/>
      <c r="AZ138" s="25"/>
      <c r="BA138" s="25"/>
      <c r="BB138" s="25"/>
      <c r="BC138" s="25"/>
      <c r="BD138" s="25"/>
      <c r="BE138" s="25"/>
      <c r="BF138" s="25"/>
      <c r="BG138" s="25"/>
      <c r="BH138" s="25"/>
      <c r="BI138" s="25"/>
      <c r="BJ138" s="25"/>
      <c r="BK138" s="25"/>
    </row>
    <row r="139" spans="1:63" ht="28.5" customHeight="1" thickBot="1">
      <c r="A139" s="1"/>
      <c r="B139" s="71"/>
      <c r="C139" s="72"/>
      <c r="D139" s="73">
        <f t="shared" si="158"/>
        <v>0.14695290223967858</v>
      </c>
      <c r="E139" s="74">
        <f t="shared" si="159"/>
        <v>0.41642435285696255</v>
      </c>
      <c r="F139" s="75">
        <f t="shared" si="160"/>
        <v>0.26947145061728395</v>
      </c>
      <c r="G139" s="76"/>
      <c r="H139" s="77"/>
      <c r="I139" s="77"/>
      <c r="J139" s="77"/>
      <c r="K139" s="77"/>
      <c r="L139" s="77"/>
      <c r="M139" s="77"/>
      <c r="N139" s="77"/>
      <c r="O139" s="78">
        <f>SUM(O122:O138)</f>
        <v>283</v>
      </c>
      <c r="P139" s="79">
        <f>SUM(P122:P137)</f>
        <v>279</v>
      </c>
      <c r="Q139" s="78">
        <f>SUM(Q122:Q138)</f>
        <v>43</v>
      </c>
      <c r="R139" s="78">
        <f>SUM(R122:R137)</f>
        <v>212</v>
      </c>
      <c r="S139" s="78">
        <f>SUM(S122:S138)</f>
        <v>4</v>
      </c>
      <c r="T139" s="78">
        <f t="shared" ref="T139:V139" si="180">SUM(T122:T137)</f>
        <v>7763760</v>
      </c>
      <c r="U139" s="78">
        <f t="shared" si="180"/>
        <v>39600</v>
      </c>
      <c r="V139" s="79">
        <f t="shared" si="180"/>
        <v>7724160</v>
      </c>
      <c r="W139" s="77"/>
      <c r="X139" s="78">
        <f t="shared" ref="X139:AC139" si="181">SUM(X122:X137)</f>
        <v>145175</v>
      </c>
      <c r="Y139" s="79">
        <f t="shared" si="181"/>
        <v>2588580</v>
      </c>
      <c r="Z139" s="78">
        <f t="shared" si="181"/>
        <v>2060471.6</v>
      </c>
      <c r="AA139" s="78">
        <f t="shared" si="181"/>
        <v>1873156</v>
      </c>
      <c r="AB139" s="78">
        <f t="shared" si="181"/>
        <v>20969</v>
      </c>
      <c r="AC139" s="78">
        <f t="shared" si="181"/>
        <v>96570</v>
      </c>
      <c r="AD139" s="80">
        <v>0.09</v>
      </c>
      <c r="AE139" s="79">
        <f>SUM(AE122:AE137)</f>
        <v>895650</v>
      </c>
      <c r="AF139" s="75">
        <f t="shared" si="171"/>
        <v>0.20595435620183944</v>
      </c>
      <c r="AG139" s="81">
        <f t="shared" ref="AG139:AI139" si="182">SUM(AG122:AG137)</f>
        <v>1641944.2300000002</v>
      </c>
      <c r="AH139" s="81">
        <f t="shared" si="182"/>
        <v>277107.44063636358</v>
      </c>
      <c r="AI139" s="81">
        <f t="shared" si="182"/>
        <v>224619</v>
      </c>
      <c r="AJ139" s="81">
        <f t="shared" si="174"/>
        <v>3216528.3293636357</v>
      </c>
      <c r="AK139" s="82">
        <f t="shared" si="175"/>
        <v>1135087.7293636356</v>
      </c>
      <c r="AL139" s="83"/>
      <c r="AM139" s="84"/>
      <c r="AN139" s="85"/>
      <c r="AO139" s="86">
        <f t="shared" ref="AO139:AP139" si="183">SUM(AO122:AO123)</f>
        <v>520585</v>
      </c>
      <c r="AP139" s="87">
        <f t="shared" si="183"/>
        <v>2447</v>
      </c>
      <c r="AQ139" s="24"/>
      <c r="AR139" s="24"/>
      <c r="AS139" s="24"/>
      <c r="AT139" s="25"/>
      <c r="AU139" s="25"/>
      <c r="AV139" s="25"/>
      <c r="AW139" s="25"/>
      <c r="AX139" s="25"/>
      <c r="AY139" s="25"/>
      <c r="AZ139" s="25"/>
      <c r="BA139" s="25"/>
      <c r="BB139" s="25"/>
      <c r="BC139" s="25"/>
      <c r="BD139" s="25"/>
      <c r="BE139" s="25"/>
      <c r="BF139" s="25"/>
      <c r="BG139" s="25"/>
      <c r="BH139" s="25"/>
      <c r="BI139" s="25"/>
      <c r="BJ139" s="25"/>
      <c r="BK139" s="25"/>
    </row>
    <row r="140" spans="1:63" ht="28.5" customHeight="1" thickBot="1">
      <c r="A140" s="88"/>
      <c r="B140" s="89"/>
      <c r="C140" s="90"/>
      <c r="D140" s="91"/>
      <c r="E140" s="91"/>
      <c r="F140" s="91"/>
      <c r="G140" s="91"/>
      <c r="H140" s="92"/>
      <c r="I140" s="92"/>
      <c r="J140" s="92"/>
      <c r="K140" s="92"/>
      <c r="L140" s="92"/>
      <c r="M140" s="92"/>
      <c r="N140" s="92"/>
      <c r="O140" s="92"/>
      <c r="P140" s="93"/>
      <c r="Q140" s="92"/>
      <c r="R140" s="92"/>
      <c r="S140" s="92"/>
      <c r="T140" s="92"/>
      <c r="U140" s="92"/>
      <c r="V140" s="92"/>
      <c r="W140" s="92"/>
      <c r="X140" s="92"/>
      <c r="Y140" s="92"/>
      <c r="Z140" s="92"/>
      <c r="AA140" s="94"/>
      <c r="AB140" s="95"/>
      <c r="AC140" s="96"/>
      <c r="AD140" s="96"/>
      <c r="AE140" s="96"/>
      <c r="AF140" s="96"/>
      <c r="AG140" s="95"/>
      <c r="AH140" s="95"/>
      <c r="AI140" s="97"/>
      <c r="AJ140" s="25"/>
      <c r="AK140" s="24"/>
      <c r="AL140" s="24"/>
      <c r="AM140" s="24"/>
      <c r="AN140" s="25"/>
      <c r="AO140" s="25"/>
      <c r="AP140" s="25"/>
      <c r="AQ140" s="24"/>
      <c r="AR140" s="24"/>
      <c r="AS140" s="24"/>
      <c r="AT140" s="25"/>
      <c r="AU140" s="25"/>
      <c r="AV140" s="25"/>
      <c r="AW140" s="25"/>
      <c r="AX140" s="25"/>
      <c r="AY140" s="25"/>
      <c r="AZ140" s="25"/>
      <c r="BA140" s="25"/>
      <c r="BB140" s="25"/>
      <c r="BC140" s="25"/>
      <c r="BD140" s="25"/>
      <c r="BE140" s="25"/>
      <c r="BF140" s="25"/>
      <c r="BG140" s="25"/>
      <c r="BH140" s="25"/>
      <c r="BI140" s="25"/>
      <c r="BJ140" s="25"/>
      <c r="BK140" s="25"/>
    </row>
    <row r="141" spans="1:63" ht="28.5" customHeight="1">
      <c r="A141" s="1"/>
      <c r="B141" s="2"/>
      <c r="C141" s="3">
        <v>45952</v>
      </c>
      <c r="D141" s="4" t="s">
        <v>0</v>
      </c>
      <c r="E141" s="4" t="s">
        <v>1</v>
      </c>
      <c r="F141" s="4" t="s">
        <v>2</v>
      </c>
      <c r="G141" s="5" t="s">
        <v>3</v>
      </c>
      <c r="H141" s="6" t="s">
        <v>4</v>
      </c>
      <c r="I141" s="7" t="s">
        <v>5</v>
      </c>
      <c r="J141" s="7" t="s">
        <v>6</v>
      </c>
      <c r="K141" s="8" t="s">
        <v>7</v>
      </c>
      <c r="L141" s="9" t="s">
        <v>8</v>
      </c>
      <c r="M141" s="10" t="s">
        <v>9</v>
      </c>
      <c r="N141" s="11" t="s">
        <v>10</v>
      </c>
      <c r="O141" s="11" t="s">
        <v>11</v>
      </c>
      <c r="P141" s="11" t="s">
        <v>12</v>
      </c>
      <c r="Q141" s="12" t="s">
        <v>13</v>
      </c>
      <c r="R141" s="11" t="s">
        <v>14</v>
      </c>
      <c r="S141" s="13" t="s">
        <v>15</v>
      </c>
      <c r="T141" s="14" t="s">
        <v>16</v>
      </c>
      <c r="U141" s="14" t="s">
        <v>17</v>
      </c>
      <c r="V141" s="14" t="s">
        <v>18</v>
      </c>
      <c r="W141" s="14" t="s">
        <v>19</v>
      </c>
      <c r="X141" s="10" t="s">
        <v>20</v>
      </c>
      <c r="Y141" s="10" t="s">
        <v>21</v>
      </c>
      <c r="Z141" s="15" t="s">
        <v>22</v>
      </c>
      <c r="AA141" s="15" t="s">
        <v>23</v>
      </c>
      <c r="AB141" s="16" t="s">
        <v>24</v>
      </c>
      <c r="AC141" s="17" t="s">
        <v>25</v>
      </c>
      <c r="AD141" s="18" t="s">
        <v>26</v>
      </c>
      <c r="AE141" s="4" t="s">
        <v>27</v>
      </c>
      <c r="AF141" s="19" t="s">
        <v>28</v>
      </c>
      <c r="AG141" s="19" t="s">
        <v>26</v>
      </c>
      <c r="AH141" s="4" t="s">
        <v>29</v>
      </c>
      <c r="AI141" s="10" t="s">
        <v>30</v>
      </c>
      <c r="AJ141" s="10" t="s">
        <v>31</v>
      </c>
      <c r="AK141" s="4" t="s">
        <v>32</v>
      </c>
      <c r="AL141" s="20" t="s">
        <v>33</v>
      </c>
      <c r="AM141" s="21" t="s">
        <v>34</v>
      </c>
      <c r="AN141" s="22" t="s">
        <v>35</v>
      </c>
      <c r="AO141" s="22" t="s">
        <v>36</v>
      </c>
      <c r="AP141" s="23" t="s">
        <v>37</v>
      </c>
      <c r="AQ141" s="24"/>
      <c r="AR141" s="24"/>
      <c r="AS141" s="24"/>
      <c r="AT141" s="25"/>
      <c r="AU141" s="25"/>
      <c r="AV141" s="25"/>
      <c r="AW141" s="25"/>
      <c r="AX141" s="25"/>
      <c r="AY141" s="25"/>
      <c r="AZ141" s="25"/>
      <c r="BA141" s="25"/>
      <c r="BB141" s="25"/>
      <c r="BC141" s="25"/>
      <c r="BD141" s="25"/>
      <c r="BE141" s="25"/>
      <c r="BF141" s="25"/>
      <c r="BG141" s="25"/>
      <c r="BH141" s="25"/>
      <c r="BI141" s="25"/>
      <c r="BJ141" s="25"/>
      <c r="BK141" s="25"/>
    </row>
    <row r="142" spans="1:63" ht="28.5" customHeight="1">
      <c r="A142" s="1" t="s">
        <v>38</v>
      </c>
      <c r="B142" s="26"/>
      <c r="C142" s="27" t="s">
        <v>39</v>
      </c>
      <c r="D142" s="28">
        <f t="shared" ref="D142:D159" si="184">AK142/V142</f>
        <v>0.20334794210544407</v>
      </c>
      <c r="E142" s="29">
        <f t="shared" ref="E142:E159" si="185">AJ142/V142</f>
        <v>0.42271097591247203</v>
      </c>
      <c r="F142" s="30">
        <f t="shared" ref="F142:F159" si="186">(Z142+AB142)/V142</f>
        <v>0.21936303380702799</v>
      </c>
      <c r="G142" s="30">
        <f t="shared" ref="G142:G158" si="187">R142/AP142</f>
        <v>5.3128689492325853E-2</v>
      </c>
      <c r="H142" s="31">
        <v>7410</v>
      </c>
      <c r="I142" s="31">
        <f t="shared" ref="I142:I157" si="188">N142*7</f>
        <v>1400</v>
      </c>
      <c r="J142" s="31">
        <f t="shared" ref="J142:J157" si="189">N142*14</f>
        <v>2800</v>
      </c>
      <c r="K142" s="32">
        <v>76</v>
      </c>
      <c r="L142" s="32">
        <f>1906+1320</f>
        <v>3226</v>
      </c>
      <c r="M142" s="33"/>
      <c r="N142" s="34">
        <v>200</v>
      </c>
      <c r="O142" s="35">
        <v>199</v>
      </c>
      <c r="P142" s="36">
        <f t="shared" ref="P142:P158" si="190">O142-S142</f>
        <v>199</v>
      </c>
      <c r="Q142" s="35">
        <v>14</v>
      </c>
      <c r="R142" s="37">
        <v>135</v>
      </c>
      <c r="S142" s="38"/>
      <c r="T142" s="39">
        <f t="shared" ref="T142:T158" si="191">W142*O142</f>
        <v>5552100</v>
      </c>
      <c r="U142" s="36">
        <f t="shared" ref="U142:U158" si="192">W142*S142</f>
        <v>0</v>
      </c>
      <c r="V142" s="39">
        <f t="shared" ref="V142:V158" si="193">T142-U142</f>
        <v>5552100</v>
      </c>
      <c r="W142" s="39">
        <v>27900</v>
      </c>
      <c r="X142" s="39">
        <f>SUMIF([1]헤몬팜마진!$B$7:$B$32,$C142,[1]헤몬팜마진!$R$7:$R$32)</f>
        <v>8851</v>
      </c>
      <c r="Y142" s="39">
        <f t="shared" ref="Y142:Y158" si="194">AI142*P142</f>
        <v>1839755</v>
      </c>
      <c r="Z142" s="39">
        <f t="shared" ref="Z142:Z158" si="195">AA142*1.1</f>
        <v>1217925.5</v>
      </c>
      <c r="AA142" s="98">
        <v>1107205</v>
      </c>
      <c r="AB142" s="38"/>
      <c r="AC142" s="40">
        <f t="shared" ref="AC142:AC143" si="196">(1072+1100)*Q142</f>
        <v>30408</v>
      </c>
      <c r="AD142" s="41">
        <v>0.1</v>
      </c>
      <c r="AE142" s="36">
        <f>3050*(P142)</f>
        <v>606950</v>
      </c>
      <c r="AF142" s="28">
        <f t="shared" ref="AF142:AF159" si="197">AD142+(AE142/V142)</f>
        <v>0.20931899641577062</v>
      </c>
      <c r="AG142" s="39">
        <f t="shared" ref="AG142:AG158" si="198">IFERROR(V142*AF142+3%,0)</f>
        <v>1162160.03</v>
      </c>
      <c r="AH142" s="39">
        <f t="shared" ref="AH142:AH158" si="199">V142/1.1*10%-((AI142*P142)+AG142+(AN142*P142)+(AL142*P142))*10%</f>
        <v>203251.36063636356</v>
      </c>
      <c r="AI142" s="39">
        <f>SUMIF([1]헤몬팜마진!$B$7:$B$32,$C142,[1]헤몬팜마진!$V$7:$V$32)</f>
        <v>9245</v>
      </c>
      <c r="AJ142" s="39">
        <f t="shared" ref="AJ142:AJ159" si="200">V142-(Y142+AG142+AH142+(AN142*P142))</f>
        <v>2346933.609363636</v>
      </c>
      <c r="AK142" s="42">
        <f t="shared" ref="AK142:AK159" si="201">AJ142-Z142-AB142</f>
        <v>1129008.109363636</v>
      </c>
      <c r="AL142" s="43">
        <f>SUMIF([1]헤몬팜마진!$B$7:$B$32,$C142,[1]헤몬팜마진!$T$7:$T$32)</f>
        <v>65</v>
      </c>
      <c r="AM142" s="44">
        <f>SUMIF([1]헤몬팜마진!$B$7:$B$32,$C142,[1]헤몬팜마진!$U$7:$U$32)</f>
        <v>330</v>
      </c>
      <c r="AN142" s="38"/>
      <c r="AO142" s="52">
        <v>522043</v>
      </c>
      <c r="AP142" s="52">
        <v>2541</v>
      </c>
      <c r="AQ142" s="24"/>
      <c r="AR142" s="24"/>
      <c r="AS142" s="24"/>
      <c r="AT142" s="25"/>
      <c r="AU142" s="25"/>
      <c r="AV142" s="25"/>
      <c r="AW142" s="25"/>
      <c r="AX142" s="25"/>
      <c r="AY142" s="25"/>
      <c r="AZ142" s="25"/>
      <c r="BA142" s="25"/>
      <c r="BB142" s="25"/>
      <c r="BC142" s="25"/>
      <c r="BD142" s="25"/>
      <c r="BE142" s="25"/>
      <c r="BF142" s="25"/>
      <c r="BG142" s="25"/>
      <c r="BH142" s="25"/>
      <c r="BI142" s="25"/>
      <c r="BJ142" s="25"/>
      <c r="BK142" s="25"/>
    </row>
    <row r="143" spans="1:63" ht="28.5" customHeight="1">
      <c r="A143" s="47" t="s">
        <v>40</v>
      </c>
      <c r="B143" s="26"/>
      <c r="C143" s="27" t="s">
        <v>41</v>
      </c>
      <c r="D143" s="28" t="e">
        <f t="shared" si="184"/>
        <v>#DIV/0!</v>
      </c>
      <c r="E143" s="29" t="e">
        <f t="shared" si="185"/>
        <v>#DIV/0!</v>
      </c>
      <c r="F143" s="30" t="e">
        <f t="shared" si="186"/>
        <v>#DIV/0!</v>
      </c>
      <c r="G143" s="30" t="e">
        <f t="shared" si="187"/>
        <v>#DIV/0!</v>
      </c>
      <c r="H143" s="31">
        <v>1460</v>
      </c>
      <c r="I143" s="31">
        <f t="shared" si="188"/>
        <v>140</v>
      </c>
      <c r="J143" s="31">
        <f t="shared" si="189"/>
        <v>280</v>
      </c>
      <c r="K143" s="48">
        <v>325</v>
      </c>
      <c r="L143" s="48">
        <v>0</v>
      </c>
      <c r="M143" s="49"/>
      <c r="N143" s="34">
        <v>20</v>
      </c>
      <c r="O143" s="45">
        <v>0</v>
      </c>
      <c r="P143" s="36">
        <f t="shared" si="190"/>
        <v>0</v>
      </c>
      <c r="Q143" s="38"/>
      <c r="R143" s="50"/>
      <c r="S143" s="38"/>
      <c r="T143" s="39">
        <f t="shared" si="191"/>
        <v>0</v>
      </c>
      <c r="U143" s="36">
        <f t="shared" si="192"/>
        <v>0</v>
      </c>
      <c r="V143" s="39">
        <f t="shared" si="193"/>
        <v>0</v>
      </c>
      <c r="W143" s="51">
        <v>22700</v>
      </c>
      <c r="X143" s="39">
        <f>SUMIF([1]헤몬팜마진!$B$7:$B$32,$C143,[1]헤몬팜마진!$R$7:$R$32)</f>
        <v>7081</v>
      </c>
      <c r="Y143" s="39">
        <f t="shared" si="194"/>
        <v>0</v>
      </c>
      <c r="Z143" s="39">
        <f t="shared" si="195"/>
        <v>0</v>
      </c>
      <c r="AA143" s="98"/>
      <c r="AB143" s="38"/>
      <c r="AC143" s="40">
        <f t="shared" si="196"/>
        <v>0</v>
      </c>
      <c r="AD143" s="41">
        <v>0.1</v>
      </c>
      <c r="AE143" s="36">
        <f>2950*(P143)</f>
        <v>0</v>
      </c>
      <c r="AF143" s="28" t="e">
        <f t="shared" si="197"/>
        <v>#DIV/0!</v>
      </c>
      <c r="AG143" s="39">
        <f t="shared" si="198"/>
        <v>0</v>
      </c>
      <c r="AH143" s="39">
        <f t="shared" si="199"/>
        <v>0</v>
      </c>
      <c r="AI143" s="39">
        <f>SUMIF([1]헤몬팜마진!$B$7:$B$32,$C143,[1]헤몬팜마진!$V$7:$V$32)</f>
        <v>7377</v>
      </c>
      <c r="AJ143" s="39">
        <f t="shared" si="200"/>
        <v>0</v>
      </c>
      <c r="AK143" s="42">
        <f t="shared" si="201"/>
        <v>0</v>
      </c>
      <c r="AL143" s="43">
        <f>SUMIF([1]헤몬팜마진!$B$7:$B$32,$C143,[1]헤몬팜마진!$T$7:$T$32)</f>
        <v>49</v>
      </c>
      <c r="AM143" s="44">
        <f>SUMIF([1]헤몬팜마진!$B$7:$B$32,$C143,[1]헤몬팜마진!$U$7:$U$32)</f>
        <v>248</v>
      </c>
      <c r="AN143" s="38"/>
      <c r="AO143" s="52"/>
      <c r="AP143" s="52"/>
      <c r="AQ143" s="24"/>
      <c r="AR143" s="24"/>
      <c r="AS143" s="24"/>
      <c r="AT143" s="25"/>
      <c r="AU143" s="25"/>
      <c r="AV143" s="25"/>
      <c r="AW143" s="25"/>
      <c r="AX143" s="25"/>
      <c r="AY143" s="25"/>
      <c r="AZ143" s="25"/>
      <c r="BA143" s="25"/>
      <c r="BB143" s="25"/>
      <c r="BC143" s="25"/>
      <c r="BD143" s="25"/>
      <c r="BE143" s="25"/>
      <c r="BF143" s="25"/>
      <c r="BG143" s="25"/>
      <c r="BH143" s="25"/>
      <c r="BI143" s="25"/>
      <c r="BJ143" s="25"/>
      <c r="BK143" s="25"/>
    </row>
    <row r="144" spans="1:63" ht="28.5" customHeight="1">
      <c r="A144" s="47" t="s">
        <v>42</v>
      </c>
      <c r="B144" s="54"/>
      <c r="C144" s="27" t="s">
        <v>43</v>
      </c>
      <c r="D144" s="28">
        <f t="shared" si="184"/>
        <v>0.11797654591769223</v>
      </c>
      <c r="E144" s="29">
        <f t="shared" si="185"/>
        <v>0.38830915144898775</v>
      </c>
      <c r="F144" s="30">
        <f t="shared" si="186"/>
        <v>0.27033260553129551</v>
      </c>
      <c r="G144" s="30">
        <f t="shared" si="187"/>
        <v>1.5306122448979591E-2</v>
      </c>
      <c r="H144" s="31">
        <v>0</v>
      </c>
      <c r="I144" s="31">
        <f t="shared" si="188"/>
        <v>105</v>
      </c>
      <c r="J144" s="31">
        <f t="shared" si="189"/>
        <v>210</v>
      </c>
      <c r="K144" s="99">
        <v>430</v>
      </c>
      <c r="L144" s="32">
        <f>40+3+3</f>
        <v>46</v>
      </c>
      <c r="M144" s="33"/>
      <c r="N144" s="34">
        <v>15</v>
      </c>
      <c r="O144" s="45">
        <v>6</v>
      </c>
      <c r="P144" s="36">
        <f t="shared" si="190"/>
        <v>6</v>
      </c>
      <c r="Q144" s="38"/>
      <c r="R144" s="56">
        <v>3</v>
      </c>
      <c r="S144" s="38"/>
      <c r="T144" s="39">
        <f t="shared" si="191"/>
        <v>274800</v>
      </c>
      <c r="U144" s="36">
        <f t="shared" si="192"/>
        <v>0</v>
      </c>
      <c r="V144" s="39">
        <f t="shared" si="193"/>
        <v>274800</v>
      </c>
      <c r="W144" s="51">
        <v>45800</v>
      </c>
      <c r="X144" s="39">
        <f>SUMIF([1]헤몬팜마진!$B$7:$B$32,$C144,[1]헤몬팜마진!$R$7:$R$32)</f>
        <v>9990</v>
      </c>
      <c r="Y144" s="39">
        <f t="shared" si="194"/>
        <v>103992</v>
      </c>
      <c r="Z144" s="39">
        <f t="shared" si="195"/>
        <v>74287.400000000009</v>
      </c>
      <c r="AA144" s="98">
        <v>67534</v>
      </c>
      <c r="AB144" s="38"/>
      <c r="AC144" s="40">
        <f t="shared" ref="AC144:AC158" si="202">(1210+1100)*Q144</f>
        <v>0</v>
      </c>
      <c r="AD144" s="41">
        <v>0.11</v>
      </c>
      <c r="AE144" s="36">
        <f t="shared" ref="AE144:AE146" si="203">4150*(P144)</f>
        <v>24900</v>
      </c>
      <c r="AF144" s="28">
        <f t="shared" si="197"/>
        <v>0.2006113537117904</v>
      </c>
      <c r="AG144" s="39">
        <f t="shared" si="198"/>
        <v>55128.03</v>
      </c>
      <c r="AH144" s="39">
        <f t="shared" si="199"/>
        <v>8972.6151818181788</v>
      </c>
      <c r="AI144" s="39">
        <f>SUMIF([1]헤몬팜마진!$B$7:$B$32,$C144,[1]헤몬팜마진!$V$7:$V$32)</f>
        <v>17332</v>
      </c>
      <c r="AJ144" s="39">
        <f t="shared" si="200"/>
        <v>106707.35481818183</v>
      </c>
      <c r="AK144" s="42">
        <f t="shared" si="201"/>
        <v>32419.954818181825</v>
      </c>
      <c r="AL144" s="43">
        <f>SUMIF([1]헤몬팜마진!$B$7:$B$32,$C144,[1]헤몬팜마진!$T$7:$T$32)</f>
        <v>162</v>
      </c>
      <c r="AM144" s="44">
        <f>SUMIF([1]헤몬팜마진!$B$7:$B$32,$C144,[1]헤몬팜마진!$U$7:$U$32)</f>
        <v>827</v>
      </c>
      <c r="AN144" s="38"/>
      <c r="AO144" s="52">
        <v>61598</v>
      </c>
      <c r="AP144" s="52">
        <v>196</v>
      </c>
      <c r="AQ144" s="24"/>
      <c r="AR144" s="24"/>
      <c r="AS144" s="24"/>
      <c r="AT144" s="25"/>
      <c r="AU144" s="25"/>
      <c r="AV144" s="25"/>
      <c r="AW144" s="25"/>
      <c r="AX144" s="25"/>
      <c r="AY144" s="25"/>
      <c r="AZ144" s="25"/>
      <c r="BA144" s="25"/>
      <c r="BB144" s="25"/>
      <c r="BC144" s="25"/>
      <c r="BD144" s="25"/>
      <c r="BE144" s="25"/>
      <c r="BF144" s="25"/>
      <c r="BG144" s="25"/>
      <c r="BH144" s="25"/>
      <c r="BI144" s="25"/>
      <c r="BJ144" s="25"/>
      <c r="BK144" s="25"/>
    </row>
    <row r="145" spans="1:63" ht="28.5" customHeight="1">
      <c r="A145" s="47"/>
      <c r="B145" s="58"/>
      <c r="C145" s="27" t="s">
        <v>44</v>
      </c>
      <c r="D145" s="28">
        <f t="shared" si="184"/>
        <v>0.16007525890775889</v>
      </c>
      <c r="E145" s="29">
        <f t="shared" si="185"/>
        <v>0.31462928821178821</v>
      </c>
      <c r="F145" s="30">
        <f t="shared" si="186"/>
        <v>0.15455402930402931</v>
      </c>
      <c r="G145" s="30">
        <f t="shared" si="187"/>
        <v>2.3529411764705882E-2</v>
      </c>
      <c r="H145" s="31">
        <v>0</v>
      </c>
      <c r="I145" s="31">
        <f t="shared" si="188"/>
        <v>105</v>
      </c>
      <c r="J145" s="31">
        <f t="shared" si="189"/>
        <v>210</v>
      </c>
      <c r="K145" s="100"/>
      <c r="L145" s="32">
        <f>13+2</f>
        <v>15</v>
      </c>
      <c r="M145" s="33"/>
      <c r="N145" s="34">
        <v>15</v>
      </c>
      <c r="O145" s="45">
        <v>7</v>
      </c>
      <c r="P145" s="36">
        <f t="shared" si="190"/>
        <v>7</v>
      </c>
      <c r="Q145" s="45"/>
      <c r="R145" s="37">
        <v>4</v>
      </c>
      <c r="S145" s="38"/>
      <c r="T145" s="39">
        <f t="shared" si="191"/>
        <v>327600</v>
      </c>
      <c r="U145" s="36">
        <f t="shared" si="192"/>
        <v>0</v>
      </c>
      <c r="V145" s="39">
        <f t="shared" si="193"/>
        <v>327600</v>
      </c>
      <c r="W145" s="51">
        <v>46800</v>
      </c>
      <c r="X145" s="39">
        <f>SUMIF([1]헤몬팜마진!$B$7:$B$32,$C145,[1]헤몬팜마진!$R$7:$R$32)</f>
        <v>9990</v>
      </c>
      <c r="Y145" s="39">
        <f t="shared" si="194"/>
        <v>151424</v>
      </c>
      <c r="Z145" s="39">
        <f t="shared" si="195"/>
        <v>50631.9</v>
      </c>
      <c r="AA145" s="98">
        <v>46029</v>
      </c>
      <c r="AB145" s="38"/>
      <c r="AC145" s="40">
        <f t="shared" si="202"/>
        <v>0</v>
      </c>
      <c r="AD145" s="41">
        <v>0.11</v>
      </c>
      <c r="AE145" s="36">
        <f t="shared" si="203"/>
        <v>29050</v>
      </c>
      <c r="AF145" s="28">
        <f t="shared" si="197"/>
        <v>0.19867521367521368</v>
      </c>
      <c r="AG145" s="39">
        <f t="shared" si="198"/>
        <v>65086.03</v>
      </c>
      <c r="AH145" s="39">
        <f t="shared" si="199"/>
        <v>8017.4151818181745</v>
      </c>
      <c r="AI145" s="39">
        <f>SUMIF([1]헤몬팜마진!$B$7:$B$32,$C145,[1]헤몬팜마진!$V$7:$V$32)</f>
        <v>21632</v>
      </c>
      <c r="AJ145" s="39">
        <f t="shared" si="200"/>
        <v>103072.55481818182</v>
      </c>
      <c r="AK145" s="60">
        <f t="shared" si="201"/>
        <v>52440.654818181814</v>
      </c>
      <c r="AL145" s="43">
        <f>SUMIF([1]헤몬팜마진!$B$7:$B$32,$C145,[1]헤몬팜마진!$T$7:$T$32)</f>
        <v>162</v>
      </c>
      <c r="AM145" s="44">
        <f>SUMIF([1]헤몬팜마진!$B$7:$B$32,$C145,[1]헤몬팜마진!$U$7:$U$32)</f>
        <v>827</v>
      </c>
      <c r="AN145" s="38"/>
      <c r="AO145" s="52">
        <v>32461</v>
      </c>
      <c r="AP145" s="52">
        <v>170</v>
      </c>
      <c r="AQ145" s="24"/>
      <c r="AR145" s="24"/>
      <c r="AS145" s="24"/>
      <c r="AT145" s="25"/>
      <c r="AU145" s="25"/>
      <c r="AV145" s="25"/>
      <c r="AW145" s="25"/>
      <c r="AX145" s="25"/>
      <c r="AY145" s="25"/>
      <c r="AZ145" s="25"/>
      <c r="BA145" s="25"/>
      <c r="BB145" s="25"/>
      <c r="BC145" s="25"/>
      <c r="BD145" s="25"/>
      <c r="BE145" s="25"/>
      <c r="BF145" s="25"/>
      <c r="BG145" s="25"/>
      <c r="BH145" s="25"/>
      <c r="BI145" s="25"/>
      <c r="BJ145" s="25"/>
      <c r="BK145" s="25"/>
    </row>
    <row r="146" spans="1:63" ht="28.5" customHeight="1">
      <c r="A146" s="47" t="s">
        <v>50</v>
      </c>
      <c r="B146" s="101"/>
      <c r="C146" s="27" t="s">
        <v>51</v>
      </c>
      <c r="D146" s="65">
        <f t="shared" si="184"/>
        <v>-6.8098596771737518E-2</v>
      </c>
      <c r="E146" s="29">
        <f t="shared" si="185"/>
        <v>0.40132686386477839</v>
      </c>
      <c r="F146" s="30">
        <f t="shared" si="186"/>
        <v>0.46942546063651591</v>
      </c>
      <c r="G146" s="30">
        <f t="shared" si="187"/>
        <v>1.9047619047619049E-2</v>
      </c>
      <c r="H146" s="61">
        <v>0</v>
      </c>
      <c r="I146" s="31">
        <f t="shared" si="188"/>
        <v>140</v>
      </c>
      <c r="J146" s="31">
        <f t="shared" si="189"/>
        <v>280</v>
      </c>
      <c r="K146" s="99">
        <v>343</v>
      </c>
      <c r="L146" s="48">
        <f>97+42+48+31+19+10</f>
        <v>247</v>
      </c>
      <c r="M146" s="49"/>
      <c r="N146" s="34">
        <v>20</v>
      </c>
      <c r="O146" s="45">
        <v>3</v>
      </c>
      <c r="P146" s="36">
        <f t="shared" si="190"/>
        <v>3</v>
      </c>
      <c r="Q146" s="45">
        <v>1</v>
      </c>
      <c r="R146" s="37">
        <v>2</v>
      </c>
      <c r="S146" s="38"/>
      <c r="T146" s="39">
        <f t="shared" si="191"/>
        <v>119400</v>
      </c>
      <c r="U146" s="36">
        <f t="shared" si="192"/>
        <v>0</v>
      </c>
      <c r="V146" s="39">
        <f t="shared" si="193"/>
        <v>119400</v>
      </c>
      <c r="W146" s="51">
        <v>39800</v>
      </c>
      <c r="X146" s="39">
        <f>SUMIF([1]헤몬팜마진!$B$7:$B$32,$C146,[1]헤몬팜마진!$R$7:$R$32)</f>
        <v>7855</v>
      </c>
      <c r="Y146" s="39">
        <f t="shared" si="194"/>
        <v>45420</v>
      </c>
      <c r="Z146" s="39">
        <f t="shared" si="195"/>
        <v>56049.4</v>
      </c>
      <c r="AA146" s="98">
        <v>50954</v>
      </c>
      <c r="AB146" s="63"/>
      <c r="AC146" s="40">
        <f t="shared" si="202"/>
        <v>2310</v>
      </c>
      <c r="AD146" s="41">
        <v>0.08</v>
      </c>
      <c r="AE146" s="36">
        <f t="shared" si="203"/>
        <v>12450</v>
      </c>
      <c r="AF146" s="28">
        <f t="shared" si="197"/>
        <v>0.18427135678391959</v>
      </c>
      <c r="AG146" s="39">
        <f t="shared" si="198"/>
        <v>22002.03</v>
      </c>
      <c r="AH146" s="39">
        <f t="shared" si="199"/>
        <v>4059.5424545454534</v>
      </c>
      <c r="AI146" s="39">
        <f>SUMIF([1]헤몬팜마진!$B$7:$B$32,$C146,[1]헤몬팜마진!$V$7:$V$32)</f>
        <v>15140</v>
      </c>
      <c r="AJ146" s="39">
        <f t="shared" si="200"/>
        <v>47918.427545454542</v>
      </c>
      <c r="AK146" s="42">
        <f t="shared" si="201"/>
        <v>-8130.9724545454592</v>
      </c>
      <c r="AL146" s="43">
        <f>SUMIF([1]헤몬팜마진!$B$7:$B$32,$C146,[1]헤몬팜마진!$T$7:$T$32)</f>
        <v>176</v>
      </c>
      <c r="AM146" s="44">
        <f>SUMIF([1]헤몬팜마진!$B$7:$B$32,$C146,[1]헤몬팜마진!$U$7:$U$32)</f>
        <v>900</v>
      </c>
      <c r="AN146" s="38"/>
      <c r="AO146" s="52">
        <v>42193</v>
      </c>
      <c r="AP146" s="52">
        <v>105</v>
      </c>
      <c r="AQ146" s="24"/>
      <c r="AR146" s="24"/>
      <c r="AS146" s="24"/>
      <c r="AT146" s="25"/>
      <c r="AU146" s="25"/>
      <c r="AV146" s="25"/>
      <c r="AW146" s="25"/>
      <c r="AX146" s="25"/>
      <c r="AY146" s="25"/>
      <c r="AZ146" s="25"/>
      <c r="BA146" s="25"/>
      <c r="BB146" s="25"/>
      <c r="BC146" s="25"/>
      <c r="BD146" s="25"/>
      <c r="BE146" s="25"/>
      <c r="BF146" s="25"/>
      <c r="BG146" s="25"/>
      <c r="BH146" s="25"/>
      <c r="BI146" s="25"/>
      <c r="BJ146" s="25"/>
      <c r="BK146" s="25"/>
    </row>
    <row r="147" spans="1:63" ht="28.5" customHeight="1">
      <c r="A147" s="47"/>
      <c r="B147" s="102"/>
      <c r="C147" s="27" t="s">
        <v>52</v>
      </c>
      <c r="D147" s="28">
        <f t="shared" si="184"/>
        <v>6.0549102564102578E-2</v>
      </c>
      <c r="E147" s="29">
        <f t="shared" si="185"/>
        <v>0.39158756410256412</v>
      </c>
      <c r="F147" s="30">
        <f t="shared" si="186"/>
        <v>0.33103846153846156</v>
      </c>
      <c r="G147" s="30">
        <f t="shared" si="187"/>
        <v>0</v>
      </c>
      <c r="H147" s="103"/>
      <c r="I147" s="31">
        <f t="shared" si="188"/>
        <v>105</v>
      </c>
      <c r="J147" s="31">
        <f t="shared" si="189"/>
        <v>210</v>
      </c>
      <c r="K147" s="100"/>
      <c r="L147" s="48">
        <f>74+42+48+18+8+2</f>
        <v>192</v>
      </c>
      <c r="M147" s="49"/>
      <c r="N147" s="34">
        <v>15</v>
      </c>
      <c r="O147" s="38">
        <v>2</v>
      </c>
      <c r="P147" s="36">
        <f t="shared" si="190"/>
        <v>2</v>
      </c>
      <c r="Q147" s="38">
        <v>2</v>
      </c>
      <c r="R147" s="37"/>
      <c r="S147" s="38"/>
      <c r="T147" s="39">
        <f t="shared" si="191"/>
        <v>85800</v>
      </c>
      <c r="U147" s="36">
        <f t="shared" si="192"/>
        <v>0</v>
      </c>
      <c r="V147" s="39">
        <f t="shared" si="193"/>
        <v>85800</v>
      </c>
      <c r="W147" s="51">
        <v>42900</v>
      </c>
      <c r="X147" s="39">
        <f>SUMIF([1]헤몬팜마진!$B$7:$B$32,$C147,[1]헤몬팜마진!$R$7:$R$32)</f>
        <v>7855</v>
      </c>
      <c r="Y147" s="39">
        <f t="shared" si="194"/>
        <v>38882</v>
      </c>
      <c r="Z147" s="39">
        <f t="shared" si="195"/>
        <v>28403.100000000002</v>
      </c>
      <c r="AA147" s="98">
        <v>25821</v>
      </c>
      <c r="AB147" s="38"/>
      <c r="AC147" s="40">
        <f t="shared" si="202"/>
        <v>4620</v>
      </c>
      <c r="AD147" s="41">
        <v>7.8E-2</v>
      </c>
      <c r="AE147" s="36">
        <f>1900*(P147)</f>
        <v>3800</v>
      </c>
      <c r="AF147" s="28">
        <f t="shared" si="197"/>
        <v>0.12228904428904429</v>
      </c>
      <c r="AG147" s="39">
        <f t="shared" si="198"/>
        <v>10492.43</v>
      </c>
      <c r="AH147" s="39">
        <f t="shared" si="199"/>
        <v>2827.357</v>
      </c>
      <c r="AI147" s="39">
        <f>SUMIF([1]헤몬팜마진!$B$7:$B$32,$C147,[1]헤몬팜마진!$V$7:$V$32)</f>
        <v>19441</v>
      </c>
      <c r="AJ147" s="39">
        <f t="shared" si="200"/>
        <v>33598.213000000003</v>
      </c>
      <c r="AK147" s="60">
        <f t="shared" si="201"/>
        <v>5195.1130000000012</v>
      </c>
      <c r="AL147" s="43">
        <f>SUMIF([1]헤몬팜마진!$B$7:$B$32,$C147,[1]헤몬팜마진!$T$7:$T$32)</f>
        <v>176</v>
      </c>
      <c r="AM147" s="44">
        <f>SUMIF([1]헤몬팜마진!$B$7:$B$32,$C147,[1]헤몬팜마진!$U$7:$U$32)</f>
        <v>900</v>
      </c>
      <c r="AN147" s="38"/>
      <c r="AO147" s="52">
        <v>30934</v>
      </c>
      <c r="AP147" s="52">
        <v>55</v>
      </c>
      <c r="AQ147" s="24"/>
      <c r="AR147" s="24"/>
      <c r="AS147" s="24"/>
      <c r="AT147" s="25"/>
      <c r="AU147" s="25"/>
      <c r="AV147" s="25"/>
      <c r="AW147" s="25"/>
      <c r="AX147" s="25"/>
      <c r="AY147" s="25"/>
      <c r="AZ147" s="25"/>
      <c r="BA147" s="25"/>
      <c r="BB147" s="25"/>
      <c r="BC147" s="25"/>
      <c r="BD147" s="25"/>
      <c r="BE147" s="25"/>
      <c r="BF147" s="25"/>
      <c r="BG147" s="25"/>
      <c r="BH147" s="25"/>
      <c r="BI147" s="25"/>
      <c r="BJ147" s="25"/>
      <c r="BK147" s="25"/>
    </row>
    <row r="148" spans="1:63" ht="28.5" customHeight="1">
      <c r="A148" s="1" t="s">
        <v>45</v>
      </c>
      <c r="B148" s="101"/>
      <c r="C148" s="27" t="s">
        <v>46</v>
      </c>
      <c r="D148" s="28" t="e">
        <f t="shared" si="184"/>
        <v>#DIV/0!</v>
      </c>
      <c r="E148" s="29" t="e">
        <f t="shared" si="185"/>
        <v>#DIV/0!</v>
      </c>
      <c r="F148" s="30" t="e">
        <f t="shared" si="186"/>
        <v>#DIV/0!</v>
      </c>
      <c r="G148" s="30" t="e">
        <f t="shared" si="187"/>
        <v>#DIV/0!</v>
      </c>
      <c r="H148" s="61">
        <v>3504</v>
      </c>
      <c r="I148" s="31">
        <f t="shared" si="188"/>
        <v>210</v>
      </c>
      <c r="J148" s="31">
        <f t="shared" si="189"/>
        <v>420</v>
      </c>
      <c r="K148" s="99">
        <v>626</v>
      </c>
      <c r="L148" s="48">
        <f>30+13+6</f>
        <v>49</v>
      </c>
      <c r="M148" s="49"/>
      <c r="N148" s="62">
        <v>30</v>
      </c>
      <c r="O148" s="45">
        <v>0</v>
      </c>
      <c r="P148" s="36">
        <f t="shared" si="190"/>
        <v>0</v>
      </c>
      <c r="Q148" s="38"/>
      <c r="R148" s="56"/>
      <c r="S148" s="38"/>
      <c r="T148" s="39">
        <f t="shared" si="191"/>
        <v>0</v>
      </c>
      <c r="U148" s="36">
        <f t="shared" si="192"/>
        <v>0</v>
      </c>
      <c r="V148" s="39">
        <f t="shared" si="193"/>
        <v>0</v>
      </c>
      <c r="W148" s="51">
        <v>59800</v>
      </c>
      <c r="X148" s="39">
        <f>SUMIF([1]헤몬팜마진!$B$7:$B$32,$C148,[1]헤몬팜마진!$R$7:$R$32)</f>
        <v>13276</v>
      </c>
      <c r="Y148" s="39">
        <f t="shared" si="194"/>
        <v>0</v>
      </c>
      <c r="Z148" s="39">
        <f t="shared" si="195"/>
        <v>0</v>
      </c>
      <c r="AA148" s="98"/>
      <c r="AB148" s="63"/>
      <c r="AC148" s="40">
        <f t="shared" si="202"/>
        <v>0</v>
      </c>
      <c r="AD148" s="41">
        <v>0.108</v>
      </c>
      <c r="AE148" s="36">
        <f t="shared" ref="AE148:AE149" si="204">4825*(P148)</f>
        <v>0</v>
      </c>
      <c r="AF148" s="28" t="e">
        <f t="shared" si="197"/>
        <v>#DIV/0!</v>
      </c>
      <c r="AG148" s="39">
        <f t="shared" si="198"/>
        <v>0</v>
      </c>
      <c r="AH148" s="39">
        <f t="shared" si="199"/>
        <v>0</v>
      </c>
      <c r="AI148" s="39">
        <f>SUMIF([1]헤몬팜마진!$B$7:$B$32,$C148,[1]헤몬팜마진!$V$7:$V$32)</f>
        <v>21956</v>
      </c>
      <c r="AJ148" s="39">
        <f t="shared" si="200"/>
        <v>0</v>
      </c>
      <c r="AK148" s="42">
        <f t="shared" si="201"/>
        <v>0</v>
      </c>
      <c r="AL148" s="43">
        <f>SUMIF([1]헤몬팜마진!$B$7:$B$32,$C148,[1]헤몬팜마진!$T$7:$T$32)</f>
        <v>372</v>
      </c>
      <c r="AM148" s="44">
        <f>SUMIF([1]헤몬팜마진!$B$7:$B$32,$C148,[1]헤몬팜마진!$U$7:$U$32)</f>
        <v>1896</v>
      </c>
      <c r="AN148" s="38"/>
      <c r="AO148" s="45"/>
      <c r="AP148" s="46"/>
      <c r="AQ148" s="24"/>
      <c r="AR148" s="24"/>
      <c r="AS148" s="24"/>
      <c r="AT148" s="25"/>
      <c r="AU148" s="25"/>
      <c r="AV148" s="25"/>
      <c r="AW148" s="25"/>
      <c r="AX148" s="25"/>
      <c r="AY148" s="25"/>
      <c r="AZ148" s="25"/>
      <c r="BA148" s="25"/>
      <c r="BB148" s="25"/>
      <c r="BC148" s="25"/>
      <c r="BD148" s="25"/>
      <c r="BE148" s="25"/>
      <c r="BF148" s="25"/>
      <c r="BG148" s="25"/>
      <c r="BH148" s="25"/>
      <c r="BI148" s="25"/>
      <c r="BJ148" s="25"/>
      <c r="BK148" s="25"/>
    </row>
    <row r="149" spans="1:63" ht="28.5" customHeight="1">
      <c r="A149" s="1" t="s">
        <v>45</v>
      </c>
      <c r="B149" s="102"/>
      <c r="C149" s="27" t="s">
        <v>47</v>
      </c>
      <c r="D149" s="28" t="e">
        <f t="shared" si="184"/>
        <v>#DIV/0!</v>
      </c>
      <c r="E149" s="29" t="e">
        <f t="shared" si="185"/>
        <v>#DIV/0!</v>
      </c>
      <c r="F149" s="30" t="e">
        <f t="shared" si="186"/>
        <v>#DIV/0!</v>
      </c>
      <c r="G149" s="30">
        <f t="shared" si="187"/>
        <v>0</v>
      </c>
      <c r="H149" s="31">
        <v>0</v>
      </c>
      <c r="I149" s="31">
        <f t="shared" si="188"/>
        <v>210</v>
      </c>
      <c r="J149" s="31">
        <f t="shared" si="189"/>
        <v>420</v>
      </c>
      <c r="K149" s="100"/>
      <c r="L149" s="48">
        <f>4+11+18+38+129</f>
        <v>200</v>
      </c>
      <c r="M149" s="49"/>
      <c r="N149" s="34">
        <v>30</v>
      </c>
      <c r="O149" s="45">
        <v>0</v>
      </c>
      <c r="P149" s="36">
        <f t="shared" si="190"/>
        <v>0</v>
      </c>
      <c r="Q149" s="38">
        <v>3</v>
      </c>
      <c r="R149" s="56"/>
      <c r="S149" s="38"/>
      <c r="T149" s="39">
        <f t="shared" si="191"/>
        <v>0</v>
      </c>
      <c r="U149" s="36">
        <f t="shared" si="192"/>
        <v>0</v>
      </c>
      <c r="V149" s="39">
        <f t="shared" si="193"/>
        <v>0</v>
      </c>
      <c r="W149" s="51">
        <v>69780</v>
      </c>
      <c r="X149" s="39">
        <f>SUMIF([1]헤몬팜마진!$B$7:$B$32,$C149,[1]헤몬팜마진!$R$7:$R$32)</f>
        <v>13276</v>
      </c>
      <c r="Y149" s="39">
        <f t="shared" si="194"/>
        <v>0</v>
      </c>
      <c r="Z149" s="39">
        <f t="shared" si="195"/>
        <v>12331.000000000002</v>
      </c>
      <c r="AA149" s="98">
        <v>11210</v>
      </c>
      <c r="AB149" s="38"/>
      <c r="AC149" s="40">
        <f t="shared" si="202"/>
        <v>6930</v>
      </c>
      <c r="AD149" s="41">
        <v>0.108</v>
      </c>
      <c r="AE149" s="36">
        <f t="shared" si="204"/>
        <v>0</v>
      </c>
      <c r="AF149" s="28" t="e">
        <f t="shared" si="197"/>
        <v>#DIV/0!</v>
      </c>
      <c r="AG149" s="39">
        <f t="shared" si="198"/>
        <v>0</v>
      </c>
      <c r="AH149" s="39">
        <f t="shared" si="199"/>
        <v>0</v>
      </c>
      <c r="AI149" s="39">
        <f>SUMIF([1]헤몬팜마진!$B$7:$B$32,$C149,[1]헤몬팜마진!$V$7:$V$32)</f>
        <v>26257</v>
      </c>
      <c r="AJ149" s="39">
        <f t="shared" si="200"/>
        <v>0</v>
      </c>
      <c r="AK149" s="42">
        <f t="shared" si="201"/>
        <v>-12331.000000000002</v>
      </c>
      <c r="AL149" s="43">
        <f>SUMIF([1]헤몬팜마진!$B$7:$B$32,$C149,[1]헤몬팜마진!$T$7:$T$32)</f>
        <v>372</v>
      </c>
      <c r="AM149" s="44">
        <f>SUMIF([1]헤몬팜마진!$B$7:$B$32,$C149,[1]헤몬팜마진!$U$7:$U$32)</f>
        <v>1896</v>
      </c>
      <c r="AN149" s="38"/>
      <c r="AO149" s="52">
        <v>6283</v>
      </c>
      <c r="AP149" s="52">
        <v>13</v>
      </c>
      <c r="AQ149" s="24"/>
      <c r="AR149" s="24"/>
      <c r="AS149" s="24"/>
      <c r="AT149" s="25"/>
      <c r="AU149" s="25"/>
      <c r="AV149" s="25"/>
      <c r="AW149" s="25"/>
      <c r="AX149" s="25"/>
      <c r="AY149" s="25"/>
      <c r="AZ149" s="25"/>
      <c r="BA149" s="25"/>
      <c r="BB149" s="25"/>
      <c r="BC149" s="25"/>
      <c r="BD149" s="25"/>
      <c r="BE149" s="25"/>
      <c r="BF149" s="25"/>
      <c r="BG149" s="25"/>
      <c r="BH149" s="25"/>
      <c r="BI149" s="25"/>
      <c r="BJ149" s="25"/>
      <c r="BK149" s="25"/>
    </row>
    <row r="150" spans="1:63" ht="28.5" customHeight="1">
      <c r="A150" s="47" t="s">
        <v>48</v>
      </c>
      <c r="B150" s="26"/>
      <c r="C150" s="27" t="s">
        <v>49</v>
      </c>
      <c r="D150" s="28">
        <f t="shared" si="184"/>
        <v>-0.25589045980900821</v>
      </c>
      <c r="E150" s="29">
        <f t="shared" si="185"/>
        <v>0.39082583464922177</v>
      </c>
      <c r="F150" s="30">
        <f t="shared" si="186"/>
        <v>0.64671629445822998</v>
      </c>
      <c r="G150" s="30">
        <f t="shared" si="187"/>
        <v>4.7619047619047616E-2</v>
      </c>
      <c r="H150" s="31">
        <v>500</v>
      </c>
      <c r="I150" s="31">
        <f t="shared" si="188"/>
        <v>105</v>
      </c>
      <c r="J150" s="31">
        <f t="shared" si="189"/>
        <v>210</v>
      </c>
      <c r="K150" s="48">
        <v>577</v>
      </c>
      <c r="L150" s="48">
        <v>211</v>
      </c>
      <c r="M150" s="49"/>
      <c r="N150" s="34">
        <v>15</v>
      </c>
      <c r="O150" s="45">
        <v>3</v>
      </c>
      <c r="P150" s="36">
        <f t="shared" si="190"/>
        <v>3</v>
      </c>
      <c r="Q150" s="45">
        <v>2</v>
      </c>
      <c r="R150" s="37">
        <v>3</v>
      </c>
      <c r="S150" s="45"/>
      <c r="T150" s="39">
        <f t="shared" si="191"/>
        <v>48360</v>
      </c>
      <c r="U150" s="36">
        <f t="shared" si="192"/>
        <v>0</v>
      </c>
      <c r="V150" s="39">
        <f t="shared" si="193"/>
        <v>48360</v>
      </c>
      <c r="W150" s="51">
        <v>16120</v>
      </c>
      <c r="X150" s="39">
        <f>SUMIF([1]헤몬팜마진!$B$7:$B$32,$C150,[1]헤몬팜마진!$R$7:$R$32)</f>
        <v>5089</v>
      </c>
      <c r="Y150" s="39">
        <f t="shared" si="194"/>
        <v>15378</v>
      </c>
      <c r="Z150" s="39">
        <f t="shared" si="195"/>
        <v>31275.200000000001</v>
      </c>
      <c r="AA150" s="98">
        <v>28432</v>
      </c>
      <c r="AB150" s="64"/>
      <c r="AC150" s="40">
        <f t="shared" si="202"/>
        <v>4620</v>
      </c>
      <c r="AD150" s="41">
        <v>7.8E-2</v>
      </c>
      <c r="AE150" s="36">
        <f>2900*(P150)</f>
        <v>8700</v>
      </c>
      <c r="AF150" s="28">
        <f t="shared" si="197"/>
        <v>0.25790074441687344</v>
      </c>
      <c r="AG150" s="39">
        <f t="shared" si="198"/>
        <v>12472.11</v>
      </c>
      <c r="AH150" s="39">
        <f t="shared" si="199"/>
        <v>1609.5526363636359</v>
      </c>
      <c r="AI150" s="39">
        <f>SUMIF([1]헤몬팜마진!$B$7:$B$32,$C150,[1]헤몬팜마진!$V$7:$V$32)</f>
        <v>5126</v>
      </c>
      <c r="AJ150" s="39">
        <f t="shared" si="200"/>
        <v>18900.337363636365</v>
      </c>
      <c r="AK150" s="60">
        <f t="shared" si="201"/>
        <v>-12374.862636363636</v>
      </c>
      <c r="AL150" s="43">
        <f>SUMIF([1]헤몬팜마진!$B$7:$B$32,$C150,[1]헤몬팜마진!$T$7:$T$32)</f>
        <v>6</v>
      </c>
      <c r="AM150" s="44">
        <f>SUMIF([1]헤몬팜마진!$B$7:$B$32,$C150,[1]헤몬팜마진!$U$7:$U$32)</f>
        <v>31</v>
      </c>
      <c r="AN150" s="38"/>
      <c r="AO150" s="52">
        <v>41371</v>
      </c>
      <c r="AP150" s="52">
        <v>63</v>
      </c>
      <c r="AQ150" s="24"/>
      <c r="AR150" s="24"/>
      <c r="AS150" s="24"/>
      <c r="AT150" s="25"/>
      <c r="AU150" s="25"/>
      <c r="AV150" s="25"/>
      <c r="AW150" s="25"/>
      <c r="AX150" s="25"/>
      <c r="AY150" s="25"/>
      <c r="AZ150" s="25"/>
      <c r="BA150" s="25"/>
      <c r="BB150" s="25"/>
      <c r="BC150" s="25"/>
      <c r="BD150" s="25"/>
      <c r="BE150" s="25"/>
      <c r="BF150" s="25"/>
      <c r="BG150" s="25"/>
      <c r="BH150" s="25"/>
      <c r="BI150" s="25"/>
      <c r="BJ150" s="25"/>
      <c r="BK150" s="25"/>
    </row>
    <row r="151" spans="1:63" ht="28.5" customHeight="1">
      <c r="A151" s="47" t="s">
        <v>53</v>
      </c>
      <c r="B151" s="26"/>
      <c r="C151" s="27" t="s">
        <v>54</v>
      </c>
      <c r="D151" s="28">
        <f t="shared" si="184"/>
        <v>0.10253348958333335</v>
      </c>
      <c r="E151" s="29">
        <f t="shared" si="185"/>
        <v>0.36300744791666673</v>
      </c>
      <c r="F151" s="30">
        <f t="shared" si="186"/>
        <v>0.26047395833333337</v>
      </c>
      <c r="G151" s="30">
        <f t="shared" si="187"/>
        <v>7.6923076923076927E-2</v>
      </c>
      <c r="H151" s="31">
        <v>1750</v>
      </c>
      <c r="I151" s="31">
        <f t="shared" si="188"/>
        <v>350</v>
      </c>
      <c r="J151" s="31">
        <f t="shared" si="189"/>
        <v>700</v>
      </c>
      <c r="K151" s="48">
        <v>1449</v>
      </c>
      <c r="L151" s="48">
        <v>1217</v>
      </c>
      <c r="M151" s="49"/>
      <c r="N151" s="34">
        <v>50</v>
      </c>
      <c r="O151" s="45">
        <v>11</v>
      </c>
      <c r="P151" s="36">
        <f t="shared" si="190"/>
        <v>11</v>
      </c>
      <c r="Q151" s="38">
        <v>1</v>
      </c>
      <c r="R151" s="37">
        <v>6</v>
      </c>
      <c r="S151" s="38"/>
      <c r="T151" s="39">
        <f t="shared" si="191"/>
        <v>211200</v>
      </c>
      <c r="U151" s="36">
        <f t="shared" si="192"/>
        <v>0</v>
      </c>
      <c r="V151" s="39">
        <f t="shared" si="193"/>
        <v>211200</v>
      </c>
      <c r="W151" s="51">
        <v>19200</v>
      </c>
      <c r="X151" s="39">
        <f>SUMIF([1]헤몬팜마진!$B$7:$B$32,$C151,[1]헤몬팜마진!$R$7:$R$32)</f>
        <v>6373</v>
      </c>
      <c r="Y151" s="39">
        <f t="shared" si="194"/>
        <v>74481</v>
      </c>
      <c r="Z151" s="39">
        <f t="shared" si="195"/>
        <v>55012.100000000006</v>
      </c>
      <c r="AA151" s="98">
        <v>50011</v>
      </c>
      <c r="AB151" s="38"/>
      <c r="AC151" s="40">
        <f t="shared" si="202"/>
        <v>2310</v>
      </c>
      <c r="AD151" s="41">
        <v>0.08</v>
      </c>
      <c r="AE151" s="36">
        <f>3350*(P151)</f>
        <v>36850</v>
      </c>
      <c r="AF151" s="28">
        <f t="shared" si="197"/>
        <v>0.25447916666666665</v>
      </c>
      <c r="AG151" s="39">
        <f t="shared" si="198"/>
        <v>53746.029999999992</v>
      </c>
      <c r="AH151" s="39">
        <f t="shared" si="199"/>
        <v>6305.796999999995</v>
      </c>
      <c r="AI151" s="39">
        <f>SUMIF([1]헤몬팜마진!$B$7:$B$32,$C151,[1]헤몬팜마진!$V$7:$V$32)</f>
        <v>6771</v>
      </c>
      <c r="AJ151" s="39">
        <f t="shared" si="200"/>
        <v>76667.17300000001</v>
      </c>
      <c r="AK151" s="42">
        <f t="shared" si="201"/>
        <v>21655.073000000004</v>
      </c>
      <c r="AL151" s="43">
        <f>SUMIF([1]헤몬팜마진!$B$7:$B$32,$C151,[1]헤몬팜마진!$T$7:$T$32)</f>
        <v>65</v>
      </c>
      <c r="AM151" s="44">
        <f>SUMIF([1]헤몬팜마진!$B$7:$B$32,$C151,[1]헤몬팜마진!$U$7:$U$32)</f>
        <v>333</v>
      </c>
      <c r="AN151" s="38"/>
      <c r="AO151" s="52">
        <v>27815</v>
      </c>
      <c r="AP151" s="52">
        <v>78</v>
      </c>
      <c r="AQ151" s="24"/>
      <c r="AR151" s="24"/>
      <c r="AS151" s="24"/>
      <c r="AT151" s="25"/>
      <c r="AU151" s="25"/>
      <c r="AV151" s="25"/>
      <c r="AW151" s="25"/>
      <c r="AX151" s="25"/>
      <c r="AY151" s="25"/>
      <c r="AZ151" s="25"/>
      <c r="BA151" s="25"/>
      <c r="BB151" s="25"/>
      <c r="BC151" s="25"/>
      <c r="BD151" s="25"/>
      <c r="BE151" s="25"/>
      <c r="BF151" s="25"/>
      <c r="BG151" s="25"/>
      <c r="BH151" s="25"/>
      <c r="BI151" s="25"/>
      <c r="BJ151" s="25"/>
      <c r="BK151" s="25"/>
    </row>
    <row r="152" spans="1:63" ht="28.5" customHeight="1">
      <c r="A152" s="53" t="s">
        <v>55</v>
      </c>
      <c r="B152" s="67"/>
      <c r="C152" s="27" t="s">
        <v>56</v>
      </c>
      <c r="D152" s="28">
        <f t="shared" si="184"/>
        <v>-0.36044581169481948</v>
      </c>
      <c r="E152" s="29">
        <f t="shared" si="185"/>
        <v>0.4171068040598408</v>
      </c>
      <c r="F152" s="30">
        <f t="shared" si="186"/>
        <v>0.77755261575466028</v>
      </c>
      <c r="G152" s="30">
        <f t="shared" si="187"/>
        <v>3.1578947368421054E-2</v>
      </c>
      <c r="H152" s="31">
        <v>0</v>
      </c>
      <c r="I152" s="31">
        <f t="shared" si="188"/>
        <v>70</v>
      </c>
      <c r="J152" s="31">
        <f t="shared" si="189"/>
        <v>140</v>
      </c>
      <c r="K152" s="68">
        <v>494</v>
      </c>
      <c r="L152" s="48">
        <v>0</v>
      </c>
      <c r="M152" s="49"/>
      <c r="N152" s="34">
        <v>10</v>
      </c>
      <c r="O152" s="38">
        <v>7</v>
      </c>
      <c r="P152" s="36">
        <f t="shared" si="190"/>
        <v>3</v>
      </c>
      <c r="Q152" s="38"/>
      <c r="R152" s="37">
        <v>3</v>
      </c>
      <c r="S152" s="38">
        <v>4</v>
      </c>
      <c r="T152" s="39">
        <f t="shared" si="191"/>
        <v>349230</v>
      </c>
      <c r="U152" s="36">
        <f t="shared" si="192"/>
        <v>199560</v>
      </c>
      <c r="V152" s="39">
        <f t="shared" si="193"/>
        <v>149670</v>
      </c>
      <c r="W152" s="51">
        <v>49890</v>
      </c>
      <c r="X152" s="39">
        <f>SUMIF([1]헤몬팜마진!$B$7:$B$32,$C152,[1]헤몬팜마진!$R$7:$R$32)</f>
        <v>12170</v>
      </c>
      <c r="Y152" s="39">
        <f t="shared" si="194"/>
        <v>55728</v>
      </c>
      <c r="Z152" s="39">
        <f t="shared" si="195"/>
        <v>49756.3</v>
      </c>
      <c r="AA152" s="98">
        <v>45233</v>
      </c>
      <c r="AB152" s="64">
        <f>((51000*0.015)+(51000*0.19)+2100+2200+1900)*4</f>
        <v>66620</v>
      </c>
      <c r="AC152" s="40">
        <f t="shared" si="202"/>
        <v>0</v>
      </c>
      <c r="AD152" s="41">
        <v>7.8E-2</v>
      </c>
      <c r="AE152" s="36">
        <f t="shared" ref="AE152:AE153" si="205">4825*(P152)</f>
        <v>14475</v>
      </c>
      <c r="AF152" s="28">
        <f t="shared" si="197"/>
        <v>0.17471276808979755</v>
      </c>
      <c r="AG152" s="39">
        <f t="shared" si="198"/>
        <v>26149.289999999997</v>
      </c>
      <c r="AH152" s="39">
        <f t="shared" si="199"/>
        <v>5364.3346363636356</v>
      </c>
      <c r="AI152" s="39">
        <f>SUMIF([1]헤몬팜마진!$B$7:$B$32,$C152,[1]헤몬팜마진!$V$7:$V$32)</f>
        <v>18576</v>
      </c>
      <c r="AJ152" s="39">
        <f t="shared" si="200"/>
        <v>62428.375363636369</v>
      </c>
      <c r="AK152" s="60">
        <f t="shared" si="201"/>
        <v>-53947.924636363634</v>
      </c>
      <c r="AL152" s="43">
        <f>SUMIF([1]헤몬팜마진!$B$7:$B$32,$C152,[1]헤몬팜마진!$T$7:$T$32)</f>
        <v>181</v>
      </c>
      <c r="AM152" s="44">
        <f>SUMIF([1]헤몬팜마진!$B$7:$B$32,$C152,[1]헤몬팜마진!$U$7:$U$32)</f>
        <v>926</v>
      </c>
      <c r="AN152" s="38"/>
      <c r="AO152" s="52">
        <v>34185</v>
      </c>
      <c r="AP152" s="52">
        <v>95</v>
      </c>
      <c r="AQ152" s="24"/>
      <c r="AR152" s="24"/>
      <c r="AS152" s="24"/>
      <c r="AT152" s="25"/>
      <c r="AU152" s="25"/>
      <c r="AV152" s="25"/>
      <c r="AW152" s="25"/>
      <c r="AX152" s="25"/>
      <c r="AY152" s="25"/>
      <c r="AZ152" s="25"/>
      <c r="BA152" s="25"/>
      <c r="BB152" s="25"/>
      <c r="BC152" s="25"/>
      <c r="BD152" s="25"/>
      <c r="BE152" s="25"/>
      <c r="BF152" s="25"/>
      <c r="BG152" s="25"/>
      <c r="BH152" s="25"/>
      <c r="BI152" s="25"/>
      <c r="BJ152" s="25"/>
      <c r="BK152" s="25"/>
    </row>
    <row r="153" spans="1:63" ht="28.5" customHeight="1">
      <c r="A153" s="57"/>
      <c r="B153" s="58"/>
      <c r="C153" s="27" t="s">
        <v>57</v>
      </c>
      <c r="D153" s="28">
        <f t="shared" si="184"/>
        <v>0.18870752812210212</v>
      </c>
      <c r="E153" s="29">
        <f t="shared" si="185"/>
        <v>0.4092116428414635</v>
      </c>
      <c r="F153" s="30">
        <f t="shared" si="186"/>
        <v>0.22050411471936138</v>
      </c>
      <c r="G153" s="30">
        <f t="shared" si="187"/>
        <v>3.5714285714285712E-2</v>
      </c>
      <c r="H153" s="31">
        <v>0</v>
      </c>
      <c r="I153" s="31">
        <f t="shared" si="188"/>
        <v>70</v>
      </c>
      <c r="J153" s="31">
        <f t="shared" si="189"/>
        <v>140</v>
      </c>
      <c r="K153" s="59"/>
      <c r="L153" s="48">
        <v>1</v>
      </c>
      <c r="M153" s="49"/>
      <c r="N153" s="34">
        <v>10</v>
      </c>
      <c r="O153" s="45">
        <v>7</v>
      </c>
      <c r="P153" s="36">
        <f t="shared" si="190"/>
        <v>7</v>
      </c>
      <c r="Q153" s="45">
        <v>2</v>
      </c>
      <c r="R153" s="37">
        <v>7</v>
      </c>
      <c r="S153" s="38"/>
      <c r="T153" s="39">
        <f t="shared" si="191"/>
        <v>405860</v>
      </c>
      <c r="U153" s="36">
        <f t="shared" si="192"/>
        <v>0</v>
      </c>
      <c r="V153" s="39">
        <f t="shared" si="193"/>
        <v>405860</v>
      </c>
      <c r="W153" s="51">
        <v>57980</v>
      </c>
      <c r="X153" s="39">
        <f>SUMIF([1]헤몬팜마진!$B$7:$B$32,$C153,[1]헤몬팜마진!$R$7:$R$32)</f>
        <v>12170</v>
      </c>
      <c r="Y153" s="39">
        <f t="shared" si="194"/>
        <v>160132</v>
      </c>
      <c r="Z153" s="39">
        <f t="shared" si="195"/>
        <v>89493.8</v>
      </c>
      <c r="AA153" s="98">
        <v>81358</v>
      </c>
      <c r="AB153" s="38"/>
      <c r="AC153" s="40">
        <f t="shared" si="202"/>
        <v>4620</v>
      </c>
      <c r="AD153" s="41">
        <v>7.8E-2</v>
      </c>
      <c r="AE153" s="36">
        <f t="shared" si="205"/>
        <v>33775</v>
      </c>
      <c r="AF153" s="28">
        <f t="shared" si="197"/>
        <v>0.16121835115557087</v>
      </c>
      <c r="AG153" s="39">
        <f t="shared" si="198"/>
        <v>65432.109999999993</v>
      </c>
      <c r="AH153" s="39">
        <f t="shared" si="199"/>
        <v>14213.252636363639</v>
      </c>
      <c r="AI153" s="39">
        <f>SUMIF([1]헤몬팜마진!$B$7:$B$32,$C153,[1]헤몬팜마진!$V$7:$V$32)</f>
        <v>22876</v>
      </c>
      <c r="AJ153" s="39">
        <f t="shared" si="200"/>
        <v>166082.63736363637</v>
      </c>
      <c r="AK153" s="42">
        <f t="shared" si="201"/>
        <v>76588.837363636369</v>
      </c>
      <c r="AL153" s="43">
        <f>SUMIF([1]헤몬팜마진!$B$7:$B$32,$C153,[1]헤몬팜마진!$T$7:$T$32)</f>
        <v>181</v>
      </c>
      <c r="AM153" s="44">
        <f>SUMIF([1]헤몬팜마진!$B$7:$B$32,$C153,[1]헤몬팜마진!$U$7:$U$32)</f>
        <v>926</v>
      </c>
      <c r="AN153" s="38"/>
      <c r="AO153" s="52">
        <v>32342</v>
      </c>
      <c r="AP153" s="52">
        <v>196</v>
      </c>
      <c r="AQ153" s="24"/>
      <c r="AR153" s="24"/>
      <c r="AS153" s="24"/>
      <c r="AT153" s="25"/>
      <c r="AU153" s="25"/>
      <c r="AV153" s="25"/>
      <c r="AW153" s="25"/>
      <c r="AX153" s="25"/>
      <c r="AY153" s="25"/>
      <c r="AZ153" s="25"/>
      <c r="BA153" s="25"/>
      <c r="BB153" s="25"/>
      <c r="BC153" s="25"/>
      <c r="BD153" s="25"/>
      <c r="BE153" s="25"/>
      <c r="BF153" s="25"/>
      <c r="BG153" s="25"/>
      <c r="BH153" s="25"/>
      <c r="BI153" s="25"/>
      <c r="BJ153" s="25"/>
      <c r="BK153" s="25"/>
    </row>
    <row r="154" spans="1:63" ht="28.5" customHeight="1">
      <c r="A154" s="47" t="s">
        <v>58</v>
      </c>
      <c r="B154" s="26"/>
      <c r="C154" s="27" t="s">
        <v>59</v>
      </c>
      <c r="D154" s="28">
        <f t="shared" si="184"/>
        <v>3.5488034559073893E-2</v>
      </c>
      <c r="E154" s="29">
        <f t="shared" si="185"/>
        <v>0.43836818437180802</v>
      </c>
      <c r="F154" s="30">
        <f t="shared" si="186"/>
        <v>0.40288014981273412</v>
      </c>
      <c r="G154" s="30">
        <f t="shared" si="187"/>
        <v>1.6042780748663103E-2</v>
      </c>
      <c r="H154" s="31">
        <v>2000</v>
      </c>
      <c r="I154" s="31">
        <f t="shared" si="188"/>
        <v>700</v>
      </c>
      <c r="J154" s="31">
        <f t="shared" si="189"/>
        <v>1400</v>
      </c>
      <c r="K154" s="48">
        <v>2373</v>
      </c>
      <c r="L154" s="48">
        <v>3</v>
      </c>
      <c r="M154" s="49"/>
      <c r="N154" s="34">
        <v>100</v>
      </c>
      <c r="O154" s="45">
        <v>6</v>
      </c>
      <c r="P154" s="36">
        <f t="shared" si="190"/>
        <v>6</v>
      </c>
      <c r="Q154" s="45">
        <v>5</v>
      </c>
      <c r="R154" s="37">
        <v>3</v>
      </c>
      <c r="S154" s="38"/>
      <c r="T154" s="39">
        <f t="shared" si="191"/>
        <v>106800</v>
      </c>
      <c r="U154" s="36">
        <f t="shared" si="192"/>
        <v>0</v>
      </c>
      <c r="V154" s="39">
        <f t="shared" si="193"/>
        <v>106800</v>
      </c>
      <c r="W154" s="51">
        <v>17800</v>
      </c>
      <c r="X154" s="39">
        <f>SUMIF([1]헤몬팜마진!$B$7:$B$32,$C154,[1]헤몬팜마진!$R$7:$R$32)</f>
        <v>3983</v>
      </c>
      <c r="Y154" s="39">
        <f t="shared" si="194"/>
        <v>29022</v>
      </c>
      <c r="Z154" s="39">
        <f t="shared" si="195"/>
        <v>43027.600000000006</v>
      </c>
      <c r="AA154" s="98">
        <f>22221+16895</f>
        <v>39116</v>
      </c>
      <c r="AB154" s="38"/>
      <c r="AC154" s="40">
        <f t="shared" si="202"/>
        <v>11550</v>
      </c>
      <c r="AD154" s="41">
        <v>7.8E-2</v>
      </c>
      <c r="AE154" s="36">
        <f>3100*(P154)</f>
        <v>18600</v>
      </c>
      <c r="AF154" s="28">
        <f t="shared" si="197"/>
        <v>0.25215730337078651</v>
      </c>
      <c r="AG154" s="39">
        <f t="shared" si="198"/>
        <v>26930.429999999997</v>
      </c>
      <c r="AH154" s="39">
        <f t="shared" si="199"/>
        <v>4029.8479090909104</v>
      </c>
      <c r="AI154" s="39">
        <f>SUMIF([1]헤몬팜마진!$B$7:$B$32,$C154,[1]헤몬팜마진!$V$7:$V$32)</f>
        <v>4837</v>
      </c>
      <c r="AJ154" s="39">
        <f t="shared" si="200"/>
        <v>46817.722090909097</v>
      </c>
      <c r="AK154" s="42">
        <f t="shared" si="201"/>
        <v>3790.1220909090916</v>
      </c>
      <c r="AL154" s="43">
        <f>SUMIF([1]헤몬팜마진!$B$7:$B$32,$C154,[1]헤몬팜마진!$T$7:$T$32)</f>
        <v>140</v>
      </c>
      <c r="AM154" s="44">
        <f>SUMIF([1]헤몬팜마진!$B$7:$B$32,$C154,[1]헤몬팜마진!$U$7:$U$32)</f>
        <v>714</v>
      </c>
      <c r="AN154" s="38"/>
      <c r="AO154" s="52">
        <v>46128</v>
      </c>
      <c r="AP154" s="52">
        <v>187</v>
      </c>
      <c r="AQ154" s="24"/>
      <c r="AR154" s="24"/>
      <c r="AS154" s="24"/>
      <c r="AT154" s="25"/>
      <c r="AU154" s="25"/>
      <c r="AV154" s="25"/>
      <c r="AW154" s="25"/>
      <c r="AX154" s="25"/>
      <c r="AY154" s="25"/>
      <c r="AZ154" s="25"/>
      <c r="BA154" s="25"/>
      <c r="BB154" s="25"/>
      <c r="BC154" s="25"/>
      <c r="BD154" s="25"/>
      <c r="BE154" s="25"/>
      <c r="BF154" s="25"/>
      <c r="BG154" s="25"/>
      <c r="BH154" s="25"/>
      <c r="BI154" s="25"/>
      <c r="BJ154" s="25"/>
      <c r="BK154" s="25"/>
    </row>
    <row r="155" spans="1:63" ht="28.5" customHeight="1">
      <c r="A155" s="47" t="s">
        <v>64</v>
      </c>
      <c r="B155" s="70" t="s">
        <v>65</v>
      </c>
      <c r="C155" s="27" t="s">
        <v>66</v>
      </c>
      <c r="D155" s="28">
        <f t="shared" si="184"/>
        <v>0.15074232671322219</v>
      </c>
      <c r="E155" s="29">
        <f t="shared" si="185"/>
        <v>0.4344362124966602</v>
      </c>
      <c r="F155" s="30">
        <f t="shared" si="186"/>
        <v>0.28369388578343802</v>
      </c>
      <c r="G155" s="30">
        <f t="shared" si="187"/>
        <v>9.9009900990099015E-2</v>
      </c>
      <c r="H155" s="31">
        <v>2000</v>
      </c>
      <c r="I155" s="31">
        <f t="shared" si="188"/>
        <v>280</v>
      </c>
      <c r="J155" s="31">
        <f t="shared" si="189"/>
        <v>560</v>
      </c>
      <c r="K155" s="104">
        <v>1048</v>
      </c>
      <c r="L155" s="48">
        <f>311+240+1</f>
        <v>552</v>
      </c>
      <c r="M155" s="49"/>
      <c r="N155" s="34">
        <v>40</v>
      </c>
      <c r="O155" s="45">
        <v>14</v>
      </c>
      <c r="P155" s="36">
        <f t="shared" si="190"/>
        <v>14</v>
      </c>
      <c r="Q155" s="45">
        <v>5</v>
      </c>
      <c r="R155" s="37">
        <v>10</v>
      </c>
      <c r="S155" s="38"/>
      <c r="T155" s="39">
        <f t="shared" si="191"/>
        <v>347060</v>
      </c>
      <c r="U155" s="36">
        <f t="shared" si="192"/>
        <v>0</v>
      </c>
      <c r="V155" s="39">
        <f t="shared" si="193"/>
        <v>347060</v>
      </c>
      <c r="W155" s="51">
        <v>24790</v>
      </c>
      <c r="X155" s="39">
        <f>SUMIF([1]헤몬팜마진!$B$7:$B$32,$C155,[1]헤몬팜마진!$R$7:$R$32)</f>
        <v>6859</v>
      </c>
      <c r="Y155" s="39">
        <f t="shared" si="194"/>
        <v>101556</v>
      </c>
      <c r="Z155" s="39">
        <f t="shared" si="195"/>
        <v>98458.8</v>
      </c>
      <c r="AA155" s="98">
        <v>89508</v>
      </c>
      <c r="AB155" s="63"/>
      <c r="AC155" s="40">
        <f t="shared" si="202"/>
        <v>11550</v>
      </c>
      <c r="AD155" s="41">
        <v>0.108</v>
      </c>
      <c r="AE155" s="36">
        <f>3150*(P155)</f>
        <v>44100</v>
      </c>
      <c r="AF155" s="28">
        <f t="shared" si="197"/>
        <v>0.23506736587333604</v>
      </c>
      <c r="AG155" s="39">
        <f t="shared" si="198"/>
        <v>81582.510000000009</v>
      </c>
      <c r="AH155" s="39">
        <f t="shared" si="199"/>
        <v>13146.058090909086</v>
      </c>
      <c r="AI155" s="39">
        <f>SUMIF([1]헤몬팜마진!$B$7:$B$32,$C155,[1]헤몬팜마진!$V$7:$V$32)</f>
        <v>7254</v>
      </c>
      <c r="AJ155" s="39">
        <f t="shared" si="200"/>
        <v>150775.4319090909</v>
      </c>
      <c r="AK155" s="60">
        <f t="shared" si="201"/>
        <v>52316.631909090895</v>
      </c>
      <c r="AL155" s="43">
        <f>SUMIF([1]헤몬팜마진!$B$7:$B$32,$C155,[1]헤몬팜마진!$T$7:$T$32)</f>
        <v>65</v>
      </c>
      <c r="AM155" s="44">
        <f>SUMIF([1]헤몬팜마진!$B$7:$B$32,$C155,[1]헤몬팜마진!$U$7:$U$32)</f>
        <v>330</v>
      </c>
      <c r="AN155" s="38"/>
      <c r="AO155" s="52">
        <v>37946</v>
      </c>
      <c r="AP155" s="52">
        <v>101</v>
      </c>
      <c r="AQ155" s="24"/>
      <c r="AR155" s="24"/>
      <c r="AS155" s="24"/>
      <c r="AT155" s="25"/>
      <c r="AU155" s="25"/>
      <c r="AV155" s="25"/>
      <c r="AW155" s="25"/>
      <c r="AX155" s="25"/>
      <c r="AY155" s="25"/>
      <c r="AZ155" s="25"/>
      <c r="BA155" s="25"/>
      <c r="BB155" s="25"/>
      <c r="BC155" s="25"/>
      <c r="BD155" s="25"/>
      <c r="BE155" s="25"/>
      <c r="BF155" s="25"/>
      <c r="BG155" s="25"/>
      <c r="BH155" s="25"/>
      <c r="BI155" s="25"/>
      <c r="BJ155" s="25"/>
      <c r="BK155" s="25"/>
    </row>
    <row r="156" spans="1:63" ht="28.5" customHeight="1">
      <c r="A156" s="47"/>
      <c r="B156" s="69" t="s">
        <v>67</v>
      </c>
      <c r="C156" s="27" t="s">
        <v>68</v>
      </c>
      <c r="D156" s="28" t="e">
        <f t="shared" si="184"/>
        <v>#DIV/0!</v>
      </c>
      <c r="E156" s="29" t="e">
        <f t="shared" si="185"/>
        <v>#DIV/0!</v>
      </c>
      <c r="F156" s="30" t="e">
        <f t="shared" si="186"/>
        <v>#DIV/0!</v>
      </c>
      <c r="G156" s="30">
        <f t="shared" si="187"/>
        <v>0</v>
      </c>
      <c r="H156" s="31">
        <v>0</v>
      </c>
      <c r="I156" s="31">
        <f t="shared" si="188"/>
        <v>105</v>
      </c>
      <c r="J156" s="31">
        <f t="shared" si="189"/>
        <v>210</v>
      </c>
      <c r="K156" s="105"/>
      <c r="L156" s="48">
        <f>22+3</f>
        <v>25</v>
      </c>
      <c r="M156" s="49"/>
      <c r="N156" s="34">
        <v>15</v>
      </c>
      <c r="O156" s="38"/>
      <c r="P156" s="36">
        <f t="shared" si="190"/>
        <v>0</v>
      </c>
      <c r="Q156" s="38"/>
      <c r="R156" s="50"/>
      <c r="S156" s="38"/>
      <c r="T156" s="39">
        <f t="shared" si="191"/>
        <v>0</v>
      </c>
      <c r="U156" s="36">
        <f t="shared" si="192"/>
        <v>0</v>
      </c>
      <c r="V156" s="39">
        <f t="shared" si="193"/>
        <v>0</v>
      </c>
      <c r="W156" s="51">
        <v>39800</v>
      </c>
      <c r="X156" s="39">
        <f>SUMIF([1]헤몬팜마진!$B$7:$B$32,$C156,[1]헤몬팜마진!$R$7:$R$32)</f>
        <v>13719</v>
      </c>
      <c r="Y156" s="39">
        <f t="shared" si="194"/>
        <v>0</v>
      </c>
      <c r="Z156" s="39">
        <f t="shared" si="195"/>
        <v>28023.600000000002</v>
      </c>
      <c r="AA156" s="98">
        <v>25476</v>
      </c>
      <c r="AB156" s="63"/>
      <c r="AC156" s="40">
        <f t="shared" si="202"/>
        <v>0</v>
      </c>
      <c r="AD156" s="41">
        <v>0.108</v>
      </c>
      <c r="AE156" s="36">
        <f>3550*(P156)</f>
        <v>0</v>
      </c>
      <c r="AF156" s="28" t="e">
        <f t="shared" si="197"/>
        <v>#DIV/0!</v>
      </c>
      <c r="AG156" s="39">
        <f t="shared" si="198"/>
        <v>0</v>
      </c>
      <c r="AH156" s="39">
        <f t="shared" si="199"/>
        <v>0</v>
      </c>
      <c r="AI156" s="39">
        <f>SUMIF([1]헤몬팜마진!$B$7:$B$32,$C156,[1]헤몬팜마진!$V$7:$V$32)</f>
        <v>14113</v>
      </c>
      <c r="AJ156" s="39">
        <f t="shared" si="200"/>
        <v>0</v>
      </c>
      <c r="AK156" s="60">
        <f t="shared" si="201"/>
        <v>-28023.600000000002</v>
      </c>
      <c r="AL156" s="43">
        <f>SUMIF([1]헤몬팜마진!$B$7:$B$32,$C156,[1]헤몬팜마진!$T$7:$T$32)</f>
        <v>65</v>
      </c>
      <c r="AM156" s="44">
        <f>SUMIF([1]헤몬팜마진!$B$7:$B$32,$C156,[1]헤몬팜마진!$U$7:$U$32)</f>
        <v>330</v>
      </c>
      <c r="AN156" s="38"/>
      <c r="AO156" s="52">
        <v>29012</v>
      </c>
      <c r="AP156" s="52">
        <v>109</v>
      </c>
      <c r="AQ156" s="24"/>
      <c r="AR156" s="24"/>
      <c r="AS156" s="24"/>
      <c r="AT156" s="25"/>
      <c r="AU156" s="25"/>
      <c r="AV156" s="25"/>
      <c r="AW156" s="25"/>
      <c r="AX156" s="25"/>
      <c r="AY156" s="25"/>
      <c r="AZ156" s="25"/>
      <c r="BA156" s="25"/>
      <c r="BB156" s="25"/>
      <c r="BC156" s="25"/>
      <c r="BD156" s="25"/>
      <c r="BE156" s="25"/>
      <c r="BF156" s="25"/>
      <c r="BG156" s="25"/>
      <c r="BH156" s="25"/>
      <c r="BI156" s="25"/>
      <c r="BJ156" s="25"/>
      <c r="BK156" s="25"/>
    </row>
    <row r="157" spans="1:63" ht="28.5" customHeight="1">
      <c r="A157" s="1"/>
      <c r="B157" s="69" t="s">
        <v>62</v>
      </c>
      <c r="C157" s="27" t="s">
        <v>63</v>
      </c>
      <c r="D157" s="28">
        <f t="shared" si="184"/>
        <v>8.5239850889851261E-3</v>
      </c>
      <c r="E157" s="29">
        <f t="shared" si="185"/>
        <v>0.37867670274170279</v>
      </c>
      <c r="F157" s="30">
        <f t="shared" si="186"/>
        <v>0.37015271765271768</v>
      </c>
      <c r="G157" s="30">
        <f t="shared" si="187"/>
        <v>1.7150395778364115E-2</v>
      </c>
      <c r="H157" s="31">
        <v>700</v>
      </c>
      <c r="I157" s="31">
        <f t="shared" si="188"/>
        <v>210</v>
      </c>
      <c r="J157" s="31">
        <f t="shared" si="189"/>
        <v>420</v>
      </c>
      <c r="K157" s="48">
        <v>954</v>
      </c>
      <c r="L157" s="48">
        <v>2</v>
      </c>
      <c r="M157" s="49"/>
      <c r="N157" s="34">
        <v>30</v>
      </c>
      <c r="O157" s="38">
        <v>23</v>
      </c>
      <c r="P157" s="36">
        <f t="shared" si="190"/>
        <v>21</v>
      </c>
      <c r="Q157" s="38">
        <v>8</v>
      </c>
      <c r="R157" s="37">
        <v>13</v>
      </c>
      <c r="S157" s="38">
        <v>2</v>
      </c>
      <c r="T157" s="39">
        <f t="shared" si="191"/>
        <v>455400</v>
      </c>
      <c r="U157" s="36">
        <f t="shared" si="192"/>
        <v>39600</v>
      </c>
      <c r="V157" s="39">
        <f t="shared" si="193"/>
        <v>415800</v>
      </c>
      <c r="W157" s="51">
        <v>19800</v>
      </c>
      <c r="X157" s="39">
        <f>SUMIF([1]헤몬팜마진!$B$7:$B$32,$C157,[1]헤몬팜마진!$R$7:$R$32)</f>
        <v>6638</v>
      </c>
      <c r="Y157" s="39">
        <f t="shared" si="194"/>
        <v>140406</v>
      </c>
      <c r="Z157" s="39">
        <f t="shared" si="195"/>
        <v>132940.5</v>
      </c>
      <c r="AA157" s="98">
        <v>120855</v>
      </c>
      <c r="AB157" s="64">
        <f>((20900*0.015)+(20900*0.19)+2100+2200+1900)*2</f>
        <v>20969</v>
      </c>
      <c r="AC157" s="40">
        <f t="shared" si="202"/>
        <v>18480</v>
      </c>
      <c r="AD157" s="41">
        <v>0.08</v>
      </c>
      <c r="AE157" s="36">
        <f>3400*(P157)</f>
        <v>71400</v>
      </c>
      <c r="AF157" s="28">
        <f t="shared" si="197"/>
        <v>0.25171717171717173</v>
      </c>
      <c r="AG157" s="39">
        <f t="shared" si="198"/>
        <v>104664.03</v>
      </c>
      <c r="AH157" s="39">
        <f t="shared" si="199"/>
        <v>13276.196999999993</v>
      </c>
      <c r="AI157" s="39">
        <f>SUMIF([1]헤몬팜마진!$B$7:$B$32,$C157,[1]헤몬팜마진!$V$7:$V$32)</f>
        <v>6686</v>
      </c>
      <c r="AJ157" s="39">
        <f t="shared" si="200"/>
        <v>157453.77300000002</v>
      </c>
      <c r="AK157" s="60">
        <f t="shared" si="201"/>
        <v>3544.2730000000156</v>
      </c>
      <c r="AL157" s="43">
        <f>SUMIF([1]헤몬팜마진!$B$7:$B$32,$C157,[1]헤몬팜마진!$T$7:$T$32)</f>
        <v>8</v>
      </c>
      <c r="AM157" s="44">
        <f>SUMIF([1]헤몬팜마진!$B$7:$B$32,$C157,[1]헤몬팜마진!$U$7:$U$32)</f>
        <v>40</v>
      </c>
      <c r="AN157" s="38"/>
      <c r="AO157" s="52">
        <v>160285</v>
      </c>
      <c r="AP157" s="52">
        <v>758</v>
      </c>
      <c r="AQ157" s="24"/>
      <c r="AR157" s="24"/>
      <c r="AS157" s="24"/>
      <c r="AT157" s="25"/>
      <c r="AU157" s="25"/>
      <c r="AV157" s="25"/>
      <c r="AW157" s="25"/>
      <c r="AX157" s="25"/>
      <c r="AY157" s="25"/>
      <c r="AZ157" s="25"/>
      <c r="BA157" s="25"/>
      <c r="BB157" s="25"/>
      <c r="BC157" s="25"/>
      <c r="BD157" s="25"/>
      <c r="BE157" s="25"/>
      <c r="BF157" s="25"/>
      <c r="BG157" s="25"/>
      <c r="BH157" s="25"/>
      <c r="BI157" s="25"/>
      <c r="BJ157" s="25"/>
      <c r="BK157" s="25"/>
    </row>
    <row r="158" spans="1:63" ht="28.5" customHeight="1">
      <c r="A158" s="47" t="s">
        <v>70</v>
      </c>
      <c r="B158" s="26"/>
      <c r="C158" s="106" t="s">
        <v>69</v>
      </c>
      <c r="D158" s="28" t="e">
        <f t="shared" si="184"/>
        <v>#DIV/0!</v>
      </c>
      <c r="E158" s="29" t="e">
        <f t="shared" si="185"/>
        <v>#DIV/0!</v>
      </c>
      <c r="F158" s="30" t="e">
        <f t="shared" si="186"/>
        <v>#DIV/0!</v>
      </c>
      <c r="G158" s="30" t="e">
        <f t="shared" si="187"/>
        <v>#DIV/0!</v>
      </c>
      <c r="H158" s="31">
        <v>0</v>
      </c>
      <c r="I158" s="31"/>
      <c r="J158" s="31"/>
      <c r="K158" s="48"/>
      <c r="L158" s="48">
        <v>0</v>
      </c>
      <c r="M158" s="49"/>
      <c r="N158" s="34">
        <v>50</v>
      </c>
      <c r="O158" s="45">
        <v>3</v>
      </c>
      <c r="P158" s="36">
        <f t="shared" si="190"/>
        <v>0</v>
      </c>
      <c r="Q158" s="38"/>
      <c r="R158" s="56"/>
      <c r="S158" s="38">
        <v>3</v>
      </c>
      <c r="T158" s="39">
        <f t="shared" si="191"/>
        <v>74400</v>
      </c>
      <c r="U158" s="36">
        <f t="shared" si="192"/>
        <v>74400</v>
      </c>
      <c r="V158" s="39">
        <f t="shared" si="193"/>
        <v>0</v>
      </c>
      <c r="W158" s="51">
        <v>24800</v>
      </c>
      <c r="X158" s="39">
        <f>SUMIF([1]헤몬팜마진!$B$7:$B$32,$C158,[1]헤몬팜마진!$R$7:$R$32)</f>
        <v>28987</v>
      </c>
      <c r="Y158" s="39">
        <f t="shared" si="194"/>
        <v>0</v>
      </c>
      <c r="Z158" s="39">
        <f t="shared" si="195"/>
        <v>9817.5</v>
      </c>
      <c r="AA158" s="32">
        <v>8925</v>
      </c>
      <c r="AB158" s="64">
        <f>((75900*0.015)+(75900*0.19)+2100+2200+1900)*3</f>
        <v>65278.5</v>
      </c>
      <c r="AC158" s="40">
        <f t="shared" si="202"/>
        <v>0</v>
      </c>
      <c r="AD158" s="41">
        <v>0.1</v>
      </c>
      <c r="AE158" s="36">
        <f>1900*(P158)</f>
        <v>0</v>
      </c>
      <c r="AF158" s="28" t="e">
        <f t="shared" si="197"/>
        <v>#DIV/0!</v>
      </c>
      <c r="AG158" s="39">
        <f t="shared" si="198"/>
        <v>0</v>
      </c>
      <c r="AH158" s="39">
        <f t="shared" si="199"/>
        <v>0</v>
      </c>
      <c r="AI158" s="39">
        <f>SUMIF([1]헤몬팜마진!$B$7:$B$32,$C158,[1]헤몬팜마진!$V$7:$V$32)</f>
        <v>29158</v>
      </c>
      <c r="AJ158" s="39">
        <f t="shared" si="200"/>
        <v>0</v>
      </c>
      <c r="AK158" s="60">
        <f t="shared" si="201"/>
        <v>-75096</v>
      </c>
      <c r="AL158" s="43">
        <f>SUMIF([1]헤몬팜마진!$B$7:$B$32,$C158,[1]헤몬팜마진!$T$7:$T$32)</f>
        <v>28</v>
      </c>
      <c r="AM158" s="44">
        <f>SUMIF([1]헤몬팜마진!$B$7:$B$32,$C158,[1]헤몬팜마진!$U$7:$U$32)</f>
        <v>143</v>
      </c>
      <c r="AN158" s="38"/>
      <c r="AO158" s="45"/>
      <c r="AP158" s="46"/>
      <c r="AQ158" s="24"/>
      <c r="AR158" s="24"/>
      <c r="AS158" s="24"/>
      <c r="AT158" s="25"/>
      <c r="AU158" s="25"/>
      <c r="AV158" s="25"/>
      <c r="AW158" s="25"/>
      <c r="AX158" s="25"/>
      <c r="AY158" s="25"/>
      <c r="AZ158" s="25"/>
      <c r="BA158" s="25"/>
      <c r="BB158" s="25"/>
      <c r="BC158" s="25"/>
      <c r="BD158" s="25"/>
      <c r="BE158" s="25"/>
      <c r="BF158" s="25"/>
      <c r="BG158" s="25"/>
      <c r="BH158" s="25"/>
      <c r="BI158" s="25"/>
      <c r="BJ158" s="25"/>
      <c r="BK158" s="25"/>
    </row>
    <row r="159" spans="1:63" ht="28.5" customHeight="1" thickBot="1">
      <c r="A159" s="1"/>
      <c r="B159" s="71"/>
      <c r="C159" s="72"/>
      <c r="D159" s="73">
        <f t="shared" si="184"/>
        <v>0.15689704201485041</v>
      </c>
      <c r="E159" s="74">
        <f t="shared" si="185"/>
        <v>0.41237817496986912</v>
      </c>
      <c r="F159" s="75">
        <f t="shared" si="186"/>
        <v>0.25548113295501867</v>
      </c>
      <c r="G159" s="76"/>
      <c r="H159" s="77"/>
      <c r="I159" s="77"/>
      <c r="J159" s="77"/>
      <c r="K159" s="77"/>
      <c r="L159" s="77"/>
      <c r="M159" s="77"/>
      <c r="N159" s="77"/>
      <c r="O159" s="78">
        <f>SUM(O142:O158)</f>
        <v>291</v>
      </c>
      <c r="P159" s="79">
        <f>SUM(P142:P157)</f>
        <v>282</v>
      </c>
      <c r="Q159" s="78">
        <f>SUM(Q142:Q158)</f>
        <v>43</v>
      </c>
      <c r="R159" s="78">
        <f>SUM(R142:R157)</f>
        <v>189</v>
      </c>
      <c r="S159" s="78">
        <f>SUM(S142:S158)</f>
        <v>9</v>
      </c>
      <c r="T159" s="78">
        <f t="shared" ref="T159:V159" si="206">SUM(T142:T157)</f>
        <v>8283610</v>
      </c>
      <c r="U159" s="78">
        <f t="shared" si="206"/>
        <v>239160</v>
      </c>
      <c r="V159" s="79">
        <f t="shared" si="206"/>
        <v>8044450</v>
      </c>
      <c r="W159" s="77"/>
      <c r="X159" s="78">
        <f t="shared" ref="X159:AC159" si="207">SUM(X142:X157)</f>
        <v>145175</v>
      </c>
      <c r="Y159" s="79">
        <f t="shared" si="207"/>
        <v>2756176</v>
      </c>
      <c r="Z159" s="78">
        <f t="shared" si="207"/>
        <v>1967616.2000000002</v>
      </c>
      <c r="AA159" s="78">
        <f t="shared" si="207"/>
        <v>1788742</v>
      </c>
      <c r="AB159" s="78">
        <f t="shared" si="207"/>
        <v>87589</v>
      </c>
      <c r="AC159" s="78">
        <f t="shared" si="207"/>
        <v>97398</v>
      </c>
      <c r="AD159" s="80">
        <v>0.09</v>
      </c>
      <c r="AE159" s="79">
        <f>SUM(AE142:AE157)</f>
        <v>905050</v>
      </c>
      <c r="AF159" s="75">
        <f t="shared" si="197"/>
        <v>0.2025061377720043</v>
      </c>
      <c r="AG159" s="81">
        <f t="shared" ref="AG159:AI159" si="208">SUM(AG142:AG157)</f>
        <v>1685845.0600000003</v>
      </c>
      <c r="AH159" s="81">
        <f t="shared" si="208"/>
        <v>285073.33036363625</v>
      </c>
      <c r="AI159" s="81">
        <f t="shared" si="208"/>
        <v>224619</v>
      </c>
      <c r="AJ159" s="81">
        <f t="shared" si="200"/>
        <v>3317355.6096363636</v>
      </c>
      <c r="AK159" s="82">
        <f t="shared" si="201"/>
        <v>1262150.4096363634</v>
      </c>
      <c r="AL159" s="83"/>
      <c r="AM159" s="84"/>
      <c r="AN159" s="85"/>
      <c r="AO159" s="86">
        <f t="shared" ref="AO159:AP159" si="209">SUM(AO142:AO143)</f>
        <v>522043</v>
      </c>
      <c r="AP159" s="87">
        <f t="shared" si="209"/>
        <v>2541</v>
      </c>
      <c r="AQ159" s="24"/>
      <c r="AR159" s="24"/>
      <c r="AS159" s="24"/>
      <c r="AT159" s="25"/>
      <c r="AU159" s="25"/>
      <c r="AV159" s="25"/>
      <c r="AW159" s="25"/>
      <c r="AX159" s="25"/>
      <c r="AY159" s="25"/>
      <c r="AZ159" s="25"/>
      <c r="BA159" s="25"/>
      <c r="BB159" s="25"/>
      <c r="BC159" s="25"/>
      <c r="BD159" s="25"/>
      <c r="BE159" s="25"/>
      <c r="BF159" s="25"/>
      <c r="BG159" s="25"/>
      <c r="BH159" s="25"/>
      <c r="BI159" s="25"/>
      <c r="BJ159" s="25"/>
      <c r="BK159" s="25"/>
    </row>
    <row r="160" spans="1:63" ht="28.5" customHeight="1" thickBot="1">
      <c r="A160" s="88"/>
      <c r="B160" s="89"/>
      <c r="C160" s="90"/>
      <c r="D160" s="91"/>
      <c r="E160" s="91"/>
      <c r="F160" s="91"/>
      <c r="G160" s="91"/>
      <c r="H160" s="92"/>
      <c r="I160" s="92"/>
      <c r="J160" s="92"/>
      <c r="K160" s="92"/>
      <c r="L160" s="92"/>
      <c r="M160" s="92"/>
      <c r="N160" s="92"/>
      <c r="O160" s="92"/>
      <c r="P160" s="93"/>
      <c r="Q160" s="92"/>
      <c r="R160" s="92"/>
      <c r="S160" s="92"/>
      <c r="T160" s="92"/>
      <c r="U160" s="92"/>
      <c r="V160" s="92"/>
      <c r="W160" s="92"/>
      <c r="X160" s="92"/>
      <c r="Y160" s="92"/>
      <c r="Z160" s="92"/>
      <c r="AA160" s="94"/>
      <c r="AB160" s="95"/>
      <c r="AC160" s="96"/>
      <c r="AD160" s="96"/>
      <c r="AE160" s="96"/>
      <c r="AF160" s="96"/>
      <c r="AG160" s="95"/>
      <c r="AH160" s="95"/>
      <c r="AI160" s="97"/>
      <c r="AJ160" s="25"/>
      <c r="AK160" s="24"/>
      <c r="AL160" s="24"/>
      <c r="AM160" s="24"/>
      <c r="AN160" s="25"/>
      <c r="AO160" s="25"/>
      <c r="AP160" s="25"/>
      <c r="AQ160" s="24"/>
      <c r="AR160" s="24"/>
      <c r="AS160" s="24"/>
      <c r="AT160" s="25"/>
      <c r="AU160" s="25"/>
      <c r="AV160" s="25"/>
      <c r="AW160" s="25"/>
      <c r="AX160" s="25"/>
      <c r="AY160" s="25"/>
      <c r="AZ160" s="25"/>
      <c r="BA160" s="25"/>
      <c r="BB160" s="25"/>
      <c r="BC160" s="25"/>
      <c r="BD160" s="25"/>
      <c r="BE160" s="25"/>
      <c r="BF160" s="25"/>
      <c r="BG160" s="25"/>
      <c r="BH160" s="25"/>
      <c r="BI160" s="25"/>
      <c r="BJ160" s="25"/>
      <c r="BK160" s="25"/>
    </row>
    <row r="161" spans="1:63" ht="28.5" customHeight="1">
      <c r="A161" s="1"/>
      <c r="B161" s="2"/>
      <c r="C161" s="3">
        <v>45953</v>
      </c>
      <c r="D161" s="4" t="s">
        <v>0</v>
      </c>
      <c r="E161" s="4" t="s">
        <v>1</v>
      </c>
      <c r="F161" s="4" t="s">
        <v>2</v>
      </c>
      <c r="G161" s="5" t="s">
        <v>3</v>
      </c>
      <c r="H161" s="6" t="s">
        <v>4</v>
      </c>
      <c r="I161" s="7" t="s">
        <v>5</v>
      </c>
      <c r="J161" s="7" t="s">
        <v>6</v>
      </c>
      <c r="K161" s="8" t="s">
        <v>7</v>
      </c>
      <c r="L161" s="9" t="s">
        <v>8</v>
      </c>
      <c r="M161" s="10" t="s">
        <v>9</v>
      </c>
      <c r="N161" s="11" t="s">
        <v>10</v>
      </c>
      <c r="O161" s="11" t="s">
        <v>11</v>
      </c>
      <c r="P161" s="11" t="s">
        <v>12</v>
      </c>
      <c r="Q161" s="12" t="s">
        <v>13</v>
      </c>
      <c r="R161" s="11" t="s">
        <v>14</v>
      </c>
      <c r="S161" s="13" t="s">
        <v>15</v>
      </c>
      <c r="T161" s="14" t="s">
        <v>16</v>
      </c>
      <c r="U161" s="14" t="s">
        <v>17</v>
      </c>
      <c r="V161" s="14" t="s">
        <v>18</v>
      </c>
      <c r="W161" s="14" t="s">
        <v>19</v>
      </c>
      <c r="X161" s="10" t="s">
        <v>20</v>
      </c>
      <c r="Y161" s="10" t="s">
        <v>21</v>
      </c>
      <c r="Z161" s="15" t="s">
        <v>22</v>
      </c>
      <c r="AA161" s="15" t="s">
        <v>23</v>
      </c>
      <c r="AB161" s="16" t="s">
        <v>24</v>
      </c>
      <c r="AC161" s="17" t="s">
        <v>25</v>
      </c>
      <c r="AD161" s="18" t="s">
        <v>26</v>
      </c>
      <c r="AE161" s="4" t="s">
        <v>27</v>
      </c>
      <c r="AF161" s="19" t="s">
        <v>28</v>
      </c>
      <c r="AG161" s="19" t="s">
        <v>26</v>
      </c>
      <c r="AH161" s="4" t="s">
        <v>29</v>
      </c>
      <c r="AI161" s="10" t="s">
        <v>30</v>
      </c>
      <c r="AJ161" s="10" t="s">
        <v>31</v>
      </c>
      <c r="AK161" s="4" t="s">
        <v>32</v>
      </c>
      <c r="AL161" s="20" t="s">
        <v>33</v>
      </c>
      <c r="AM161" s="21" t="s">
        <v>34</v>
      </c>
      <c r="AN161" s="22" t="s">
        <v>35</v>
      </c>
      <c r="AO161" s="22" t="s">
        <v>36</v>
      </c>
      <c r="AP161" s="23" t="s">
        <v>37</v>
      </c>
      <c r="AQ161" s="24"/>
      <c r="AR161" s="24"/>
      <c r="AS161" s="24"/>
      <c r="AT161" s="25"/>
      <c r="AU161" s="25"/>
      <c r="AV161" s="25"/>
      <c r="AW161" s="25"/>
      <c r="AX161" s="25"/>
      <c r="AY161" s="25"/>
      <c r="AZ161" s="25"/>
      <c r="BA161" s="25"/>
      <c r="BB161" s="25"/>
      <c r="BC161" s="25"/>
      <c r="BD161" s="25"/>
      <c r="BE161" s="25"/>
      <c r="BF161" s="25"/>
      <c r="BG161" s="25"/>
      <c r="BH161" s="25"/>
      <c r="BI161" s="25"/>
      <c r="BJ161" s="25"/>
      <c r="BK161" s="25"/>
    </row>
    <row r="162" spans="1:63" ht="28.5" customHeight="1">
      <c r="A162" s="1" t="s">
        <v>38</v>
      </c>
      <c r="B162" s="26"/>
      <c r="C162" s="27" t="s">
        <v>39</v>
      </c>
      <c r="D162" s="28">
        <f t="shared" ref="D162:D179" si="210">AK162/V162</f>
        <v>0.20517157834292149</v>
      </c>
      <c r="E162" s="29">
        <f t="shared" ref="E162:E179" si="211">AJ162/V162</f>
        <v>0.42271097548728959</v>
      </c>
      <c r="F162" s="30">
        <f t="shared" ref="F162:F179" si="212">(Z162+AB162)/V162</f>
        <v>0.2175393971443681</v>
      </c>
      <c r="G162" s="30">
        <f t="shared" ref="G162:G178" si="213">R162/AP162</f>
        <v>7.7732320280537698E-2</v>
      </c>
      <c r="H162" s="31">
        <v>7410</v>
      </c>
      <c r="I162" s="31">
        <f t="shared" ref="I162:I177" si="214">N162*7</f>
        <v>1400</v>
      </c>
      <c r="J162" s="31">
        <f t="shared" ref="J162:J177" si="215">N162*14</f>
        <v>2800</v>
      </c>
      <c r="K162" s="32">
        <v>76</v>
      </c>
      <c r="L162" s="32">
        <f>1906+1320</f>
        <v>3226</v>
      </c>
      <c r="M162" s="33"/>
      <c r="N162" s="34">
        <v>200</v>
      </c>
      <c r="O162" s="35">
        <v>183</v>
      </c>
      <c r="P162" s="36">
        <f t="shared" ref="P162:P178" si="216">O162-S162</f>
        <v>183</v>
      </c>
      <c r="Q162" s="35">
        <v>26</v>
      </c>
      <c r="R162" s="37">
        <v>133</v>
      </c>
      <c r="S162" s="38"/>
      <c r="T162" s="39">
        <f t="shared" ref="T162:T178" si="217">W162*O162</f>
        <v>5105700</v>
      </c>
      <c r="U162" s="36">
        <f t="shared" ref="U162:U178" si="218">W162*S162</f>
        <v>0</v>
      </c>
      <c r="V162" s="39">
        <f t="shared" ref="V162:V178" si="219">T162-U162</f>
        <v>5105700</v>
      </c>
      <c r="W162" s="39">
        <v>27900</v>
      </c>
      <c r="X162" s="39">
        <f>SUMIF([1]헤몬팜마진!$B$7:$B$32,$C162,[1]헤몬팜마진!$R$7:$R$32)</f>
        <v>8851</v>
      </c>
      <c r="Y162" s="39">
        <f t="shared" ref="Y162:Y178" si="220">AI162*P162</f>
        <v>1691835</v>
      </c>
      <c r="Z162" s="39">
        <f t="shared" ref="Z162:Z178" si="221">AA162*1.1</f>
        <v>1110690.9000000001</v>
      </c>
      <c r="AA162" s="98">
        <v>1009719</v>
      </c>
      <c r="AB162" s="38"/>
      <c r="AC162" s="40">
        <f t="shared" ref="AC162:AC163" si="222">(1072+1100)*Q162</f>
        <v>56472</v>
      </c>
      <c r="AD162" s="41">
        <v>0.1</v>
      </c>
      <c r="AE162" s="36">
        <f>3050*(P162)</f>
        <v>558150</v>
      </c>
      <c r="AF162" s="28">
        <f t="shared" ref="AF162:AF179" si="223">AD162+(AE162/V162)</f>
        <v>0.20931899641577062</v>
      </c>
      <c r="AG162" s="39">
        <f t="shared" ref="AG162:AG178" si="224">IFERROR(V162*AF162+3%,0)</f>
        <v>1068720.03</v>
      </c>
      <c r="AH162" s="39">
        <f t="shared" ref="AH162:AH178" si="225">V162/1.1*10%-((AI162*P162)+AG162+(AN162*P162)+(AL162*P162))*10%</f>
        <v>186909.54245454539</v>
      </c>
      <c r="AI162" s="39">
        <f>SUMIF([1]헤몬팜마진!$B$7:$B$32,$C162,[1]헤몬팜마진!$V$7:$V$32)</f>
        <v>9245</v>
      </c>
      <c r="AJ162" s="39">
        <f t="shared" ref="AJ162:AJ179" si="226">V162-(Y162+AG162+AH162+(AN162*P162))</f>
        <v>2158235.4275454544</v>
      </c>
      <c r="AK162" s="42">
        <f t="shared" ref="AK162:AK179" si="227">AJ162-Z162-AB162</f>
        <v>1047544.5275454542</v>
      </c>
      <c r="AL162" s="43">
        <f>SUMIF([1]헤몬팜마진!$B$7:$B$32,$C162,[1]헤몬팜마진!$T$7:$T$32)</f>
        <v>65</v>
      </c>
      <c r="AM162" s="44">
        <f>SUMIF([1]헤몬팜마진!$B$7:$B$32,$C162,[1]헤몬팜마진!$U$7:$U$32)</f>
        <v>330</v>
      </c>
      <c r="AN162" s="38"/>
      <c r="AO162" s="52">
        <v>510455</v>
      </c>
      <c r="AP162" s="52">
        <v>1711</v>
      </c>
      <c r="AQ162" s="24"/>
      <c r="AR162" s="24"/>
      <c r="AS162" s="24"/>
      <c r="AT162" s="25"/>
      <c r="AU162" s="25"/>
      <c r="AV162" s="25"/>
      <c r="AW162" s="25"/>
      <c r="AX162" s="25"/>
      <c r="AY162" s="25"/>
      <c r="AZ162" s="25"/>
      <c r="BA162" s="25"/>
      <c r="BB162" s="25"/>
      <c r="BC162" s="25"/>
      <c r="BD162" s="25"/>
      <c r="BE162" s="25"/>
      <c r="BF162" s="25"/>
      <c r="BG162" s="25"/>
      <c r="BH162" s="25"/>
      <c r="BI162" s="25"/>
      <c r="BJ162" s="25"/>
      <c r="BK162" s="25"/>
    </row>
    <row r="163" spans="1:63" ht="28.5" customHeight="1">
      <c r="A163" s="47" t="s">
        <v>40</v>
      </c>
      <c r="B163" s="26"/>
      <c r="C163" s="27" t="s">
        <v>41</v>
      </c>
      <c r="D163" s="28" t="e">
        <f t="shared" si="210"/>
        <v>#DIV/0!</v>
      </c>
      <c r="E163" s="29" t="e">
        <f t="shared" si="211"/>
        <v>#DIV/0!</v>
      </c>
      <c r="F163" s="30" t="e">
        <f t="shared" si="212"/>
        <v>#DIV/0!</v>
      </c>
      <c r="G163" s="30" t="e">
        <f t="shared" si="213"/>
        <v>#DIV/0!</v>
      </c>
      <c r="H163" s="31">
        <v>1460</v>
      </c>
      <c r="I163" s="31">
        <f t="shared" si="214"/>
        <v>140</v>
      </c>
      <c r="J163" s="31">
        <f t="shared" si="215"/>
        <v>280</v>
      </c>
      <c r="K163" s="48">
        <v>325</v>
      </c>
      <c r="L163" s="48">
        <v>0</v>
      </c>
      <c r="M163" s="49"/>
      <c r="N163" s="34">
        <v>20</v>
      </c>
      <c r="O163" s="45">
        <v>0</v>
      </c>
      <c r="P163" s="36">
        <f t="shared" si="216"/>
        <v>0</v>
      </c>
      <c r="Q163" s="38"/>
      <c r="R163" s="50"/>
      <c r="S163" s="38"/>
      <c r="T163" s="39">
        <f t="shared" si="217"/>
        <v>0</v>
      </c>
      <c r="U163" s="36">
        <f t="shared" si="218"/>
        <v>0</v>
      </c>
      <c r="V163" s="39">
        <f t="shared" si="219"/>
        <v>0</v>
      </c>
      <c r="W163" s="51">
        <v>22700</v>
      </c>
      <c r="X163" s="39">
        <f>SUMIF([1]헤몬팜마진!$B$7:$B$32,$C163,[1]헤몬팜마진!$R$7:$R$32)</f>
        <v>7081</v>
      </c>
      <c r="Y163" s="39">
        <f t="shared" si="220"/>
        <v>0</v>
      </c>
      <c r="Z163" s="39">
        <f t="shared" si="221"/>
        <v>0</v>
      </c>
      <c r="AA163" s="98"/>
      <c r="AB163" s="38"/>
      <c r="AC163" s="40">
        <f t="shared" si="222"/>
        <v>0</v>
      </c>
      <c r="AD163" s="41">
        <v>0.1</v>
      </c>
      <c r="AE163" s="36">
        <f>2950*(P163)</f>
        <v>0</v>
      </c>
      <c r="AF163" s="28" t="e">
        <f t="shared" si="223"/>
        <v>#DIV/0!</v>
      </c>
      <c r="AG163" s="39">
        <f t="shared" si="224"/>
        <v>0</v>
      </c>
      <c r="AH163" s="39">
        <f t="shared" si="225"/>
        <v>0</v>
      </c>
      <c r="AI163" s="39">
        <f>SUMIF([1]헤몬팜마진!$B$7:$B$32,$C163,[1]헤몬팜마진!$V$7:$V$32)</f>
        <v>7377</v>
      </c>
      <c r="AJ163" s="39">
        <f t="shared" si="226"/>
        <v>0</v>
      </c>
      <c r="AK163" s="42">
        <f t="shared" si="227"/>
        <v>0</v>
      </c>
      <c r="AL163" s="43">
        <f>SUMIF([1]헤몬팜마진!$B$7:$B$32,$C163,[1]헤몬팜마진!$T$7:$T$32)</f>
        <v>49</v>
      </c>
      <c r="AM163" s="44">
        <f>SUMIF([1]헤몬팜마진!$B$7:$B$32,$C163,[1]헤몬팜마진!$U$7:$U$32)</f>
        <v>248</v>
      </c>
      <c r="AN163" s="38"/>
      <c r="AO163" s="52"/>
      <c r="AP163" s="52"/>
      <c r="AQ163" s="24"/>
      <c r="AR163" s="24"/>
      <c r="AS163" s="24"/>
      <c r="AT163" s="25"/>
      <c r="AU163" s="25"/>
      <c r="AV163" s="25"/>
      <c r="AW163" s="25"/>
      <c r="AX163" s="25"/>
      <c r="AY163" s="25"/>
      <c r="AZ163" s="25"/>
      <c r="BA163" s="25"/>
      <c r="BB163" s="25"/>
      <c r="BC163" s="25"/>
      <c r="BD163" s="25"/>
      <c r="BE163" s="25"/>
      <c r="BF163" s="25"/>
      <c r="BG163" s="25"/>
      <c r="BH163" s="25"/>
      <c r="BI163" s="25"/>
      <c r="BJ163" s="25"/>
      <c r="BK163" s="25"/>
    </row>
    <row r="164" spans="1:63" ht="28.5" customHeight="1">
      <c r="A164" s="47" t="s">
        <v>42</v>
      </c>
      <c r="B164" s="54"/>
      <c r="C164" s="27" t="s">
        <v>43</v>
      </c>
      <c r="D164" s="28">
        <f t="shared" si="210"/>
        <v>-1.6857613470954044E-2</v>
      </c>
      <c r="E164" s="29">
        <f t="shared" si="211"/>
        <v>0.38830905319571263</v>
      </c>
      <c r="F164" s="30">
        <f t="shared" si="212"/>
        <v>0.40516666666666667</v>
      </c>
      <c r="G164" s="30">
        <f t="shared" si="213"/>
        <v>9.0909090909090905E-3</v>
      </c>
      <c r="H164" s="31">
        <v>0</v>
      </c>
      <c r="I164" s="31">
        <f t="shared" si="214"/>
        <v>105</v>
      </c>
      <c r="J164" s="31">
        <f t="shared" si="215"/>
        <v>210</v>
      </c>
      <c r="K164" s="99">
        <v>430</v>
      </c>
      <c r="L164" s="32">
        <f>40+3+3</f>
        <v>46</v>
      </c>
      <c r="M164" s="33"/>
      <c r="N164" s="34">
        <v>15</v>
      </c>
      <c r="O164" s="45">
        <v>3</v>
      </c>
      <c r="P164" s="36">
        <f t="shared" si="216"/>
        <v>3</v>
      </c>
      <c r="Q164" s="38"/>
      <c r="R164" s="56">
        <v>1</v>
      </c>
      <c r="S164" s="38"/>
      <c r="T164" s="39">
        <f t="shared" si="217"/>
        <v>137400</v>
      </c>
      <c r="U164" s="36">
        <f t="shared" si="218"/>
        <v>0</v>
      </c>
      <c r="V164" s="39">
        <f t="shared" si="219"/>
        <v>137400</v>
      </c>
      <c r="W164" s="51">
        <v>45800</v>
      </c>
      <c r="X164" s="39">
        <f>SUMIF([1]헤몬팜마진!$B$7:$B$32,$C164,[1]헤몬팜마진!$R$7:$R$32)</f>
        <v>9990</v>
      </c>
      <c r="Y164" s="39">
        <f t="shared" si="220"/>
        <v>51996</v>
      </c>
      <c r="Z164" s="39">
        <f t="shared" si="221"/>
        <v>55669.9</v>
      </c>
      <c r="AA164" s="98">
        <v>50609</v>
      </c>
      <c r="AB164" s="38"/>
      <c r="AC164" s="40">
        <f t="shared" ref="AC164:AC178" si="228">(1210+1100)*Q164</f>
        <v>0</v>
      </c>
      <c r="AD164" s="41">
        <v>0.11</v>
      </c>
      <c r="AE164" s="36">
        <f t="shared" ref="AE164:AE166" si="229">4150*(P164)</f>
        <v>12450</v>
      </c>
      <c r="AF164" s="28">
        <f t="shared" si="223"/>
        <v>0.2006113537117904</v>
      </c>
      <c r="AG164" s="39">
        <f t="shared" si="224"/>
        <v>27564.03</v>
      </c>
      <c r="AH164" s="39">
        <f t="shared" si="225"/>
        <v>4486.30609090909</v>
      </c>
      <c r="AI164" s="39">
        <f>SUMIF([1]헤몬팜마진!$B$7:$B$32,$C164,[1]헤몬팜마진!$V$7:$V$32)</f>
        <v>17332</v>
      </c>
      <c r="AJ164" s="39">
        <f t="shared" si="226"/>
        <v>53353.663909090916</v>
      </c>
      <c r="AK164" s="42">
        <f t="shared" si="227"/>
        <v>-2316.2360909090858</v>
      </c>
      <c r="AL164" s="43">
        <f>SUMIF([1]헤몬팜마진!$B$7:$B$32,$C164,[1]헤몬팜마진!$T$7:$T$32)</f>
        <v>162</v>
      </c>
      <c r="AM164" s="44">
        <f>SUMIF([1]헤몬팜마진!$B$7:$B$32,$C164,[1]헤몬팜마진!$U$7:$U$32)</f>
        <v>827</v>
      </c>
      <c r="AN164" s="38"/>
      <c r="AO164" s="52">
        <v>51229</v>
      </c>
      <c r="AP164" s="52">
        <v>110</v>
      </c>
      <c r="AQ164" s="24"/>
      <c r="AR164" s="24"/>
      <c r="AS164" s="24"/>
      <c r="AT164" s="25"/>
      <c r="AU164" s="25"/>
      <c r="AV164" s="25"/>
      <c r="AW164" s="25"/>
      <c r="AX164" s="25"/>
      <c r="AY164" s="25"/>
      <c r="AZ164" s="25"/>
      <c r="BA164" s="25"/>
      <c r="BB164" s="25"/>
      <c r="BC164" s="25"/>
      <c r="BD164" s="25"/>
      <c r="BE164" s="25"/>
      <c r="BF164" s="25"/>
      <c r="BG164" s="25"/>
      <c r="BH164" s="25"/>
      <c r="BI164" s="25"/>
      <c r="BJ164" s="25"/>
      <c r="BK164" s="25"/>
    </row>
    <row r="165" spans="1:63" ht="28.5" customHeight="1">
      <c r="A165" s="47"/>
      <c r="B165" s="58"/>
      <c r="C165" s="27" t="s">
        <v>44</v>
      </c>
      <c r="D165" s="28">
        <f t="shared" si="210"/>
        <v>-2.0541713772338835E-2</v>
      </c>
      <c r="E165" s="29">
        <f t="shared" si="211"/>
        <v>0.31462922639860136</v>
      </c>
      <c r="F165" s="30">
        <f t="shared" si="212"/>
        <v>0.33517094017094023</v>
      </c>
      <c r="G165" s="30">
        <f t="shared" si="213"/>
        <v>6.9444444444444441E-3</v>
      </c>
      <c r="H165" s="31">
        <v>0</v>
      </c>
      <c r="I165" s="31">
        <f t="shared" si="214"/>
        <v>105</v>
      </c>
      <c r="J165" s="31">
        <f t="shared" si="215"/>
        <v>210</v>
      </c>
      <c r="K165" s="100"/>
      <c r="L165" s="32">
        <f>13+2</f>
        <v>15</v>
      </c>
      <c r="M165" s="33"/>
      <c r="N165" s="34">
        <v>15</v>
      </c>
      <c r="O165" s="45">
        <v>4</v>
      </c>
      <c r="P165" s="36">
        <f t="shared" si="216"/>
        <v>4</v>
      </c>
      <c r="Q165" s="45"/>
      <c r="R165" s="37">
        <v>1</v>
      </c>
      <c r="S165" s="38"/>
      <c r="T165" s="39">
        <f t="shared" si="217"/>
        <v>187200</v>
      </c>
      <c r="U165" s="36">
        <f t="shared" si="218"/>
        <v>0</v>
      </c>
      <c r="V165" s="39">
        <f t="shared" si="219"/>
        <v>187200</v>
      </c>
      <c r="W165" s="51">
        <v>46800</v>
      </c>
      <c r="X165" s="39">
        <f>SUMIF([1]헤몬팜마진!$B$7:$B$32,$C165,[1]헤몬팜마진!$R$7:$R$32)</f>
        <v>9990</v>
      </c>
      <c r="Y165" s="39">
        <f t="shared" si="220"/>
        <v>86528</v>
      </c>
      <c r="Z165" s="39">
        <f t="shared" si="221"/>
        <v>62744.000000000007</v>
      </c>
      <c r="AA165" s="98">
        <v>57040</v>
      </c>
      <c r="AB165" s="38"/>
      <c r="AC165" s="40">
        <f t="shared" si="228"/>
        <v>0</v>
      </c>
      <c r="AD165" s="41">
        <v>0.11</v>
      </c>
      <c r="AE165" s="36">
        <f t="shared" si="229"/>
        <v>16600</v>
      </c>
      <c r="AF165" s="28">
        <f t="shared" si="223"/>
        <v>0.19867521367521368</v>
      </c>
      <c r="AG165" s="39">
        <f t="shared" si="224"/>
        <v>37192.03</v>
      </c>
      <c r="AH165" s="39">
        <f t="shared" si="225"/>
        <v>4581.37881818182</v>
      </c>
      <c r="AI165" s="39">
        <f>SUMIF([1]헤몬팜마진!$B$7:$B$32,$C165,[1]헤몬팜마진!$V$7:$V$32)</f>
        <v>21632</v>
      </c>
      <c r="AJ165" s="39">
        <f t="shared" si="226"/>
        <v>58898.591181818178</v>
      </c>
      <c r="AK165" s="60">
        <f t="shared" si="227"/>
        <v>-3845.4088181818297</v>
      </c>
      <c r="AL165" s="43">
        <f>SUMIF([1]헤몬팜마진!$B$7:$B$32,$C165,[1]헤몬팜마진!$T$7:$T$32)</f>
        <v>162</v>
      </c>
      <c r="AM165" s="44">
        <f>SUMIF([1]헤몬팜마진!$B$7:$B$32,$C165,[1]헤몬팜마진!$U$7:$U$32)</f>
        <v>827</v>
      </c>
      <c r="AN165" s="38"/>
      <c r="AO165" s="52">
        <v>44425</v>
      </c>
      <c r="AP165" s="52">
        <v>144</v>
      </c>
      <c r="AQ165" s="24"/>
      <c r="AR165" s="24"/>
      <c r="AS165" s="24"/>
      <c r="AT165" s="25"/>
      <c r="AU165" s="25"/>
      <c r="AV165" s="25"/>
      <c r="AW165" s="25"/>
      <c r="AX165" s="25"/>
      <c r="AY165" s="25"/>
      <c r="AZ165" s="25"/>
      <c r="BA165" s="25"/>
      <c r="BB165" s="25"/>
      <c r="BC165" s="25"/>
      <c r="BD165" s="25"/>
      <c r="BE165" s="25"/>
      <c r="BF165" s="25"/>
      <c r="BG165" s="25"/>
      <c r="BH165" s="25"/>
      <c r="BI165" s="25"/>
      <c r="BJ165" s="25"/>
      <c r="BK165" s="25"/>
    </row>
    <row r="166" spans="1:63" ht="28.5" customHeight="1">
      <c r="A166" s="47" t="s">
        <v>50</v>
      </c>
      <c r="B166" s="101"/>
      <c r="C166" s="27" t="s">
        <v>51</v>
      </c>
      <c r="D166" s="65">
        <f t="shared" si="210"/>
        <v>0.13208257366377343</v>
      </c>
      <c r="E166" s="29">
        <f t="shared" si="211"/>
        <v>0.40132692039744178</v>
      </c>
      <c r="F166" s="30">
        <f t="shared" si="212"/>
        <v>0.26924434673366837</v>
      </c>
      <c r="G166" s="30">
        <f t="shared" si="213"/>
        <v>1.4492753623188406E-2</v>
      </c>
      <c r="H166" s="61">
        <v>0</v>
      </c>
      <c r="I166" s="31">
        <f t="shared" si="214"/>
        <v>140</v>
      </c>
      <c r="J166" s="31">
        <f t="shared" si="215"/>
        <v>280</v>
      </c>
      <c r="K166" s="99">
        <v>343</v>
      </c>
      <c r="L166" s="48">
        <f>97+42+48+31+19+10</f>
        <v>247</v>
      </c>
      <c r="M166" s="49"/>
      <c r="N166" s="34">
        <v>20</v>
      </c>
      <c r="O166" s="45">
        <v>4</v>
      </c>
      <c r="P166" s="36">
        <f t="shared" si="216"/>
        <v>4</v>
      </c>
      <c r="Q166" s="45"/>
      <c r="R166" s="37">
        <v>1</v>
      </c>
      <c r="S166" s="38"/>
      <c r="T166" s="39">
        <f t="shared" si="217"/>
        <v>159200</v>
      </c>
      <c r="U166" s="36">
        <f t="shared" si="218"/>
        <v>0</v>
      </c>
      <c r="V166" s="39">
        <f t="shared" si="219"/>
        <v>159200</v>
      </c>
      <c r="W166" s="51">
        <v>39800</v>
      </c>
      <c r="X166" s="39">
        <f>SUMIF([1]헤몬팜마진!$B$7:$B$32,$C166,[1]헤몬팜마진!$R$7:$R$32)</f>
        <v>7855</v>
      </c>
      <c r="Y166" s="39">
        <f t="shared" si="220"/>
        <v>60560</v>
      </c>
      <c r="Z166" s="39">
        <f t="shared" si="221"/>
        <v>42863.700000000004</v>
      </c>
      <c r="AA166" s="98">
        <v>38967</v>
      </c>
      <c r="AB166" s="63"/>
      <c r="AC166" s="40">
        <f t="shared" si="228"/>
        <v>0</v>
      </c>
      <c r="AD166" s="41">
        <v>0.08</v>
      </c>
      <c r="AE166" s="36">
        <f t="shared" si="229"/>
        <v>16600</v>
      </c>
      <c r="AF166" s="28">
        <f t="shared" si="223"/>
        <v>0.18427135678391959</v>
      </c>
      <c r="AG166" s="39">
        <f t="shared" si="224"/>
        <v>29336.03</v>
      </c>
      <c r="AH166" s="39">
        <f t="shared" si="225"/>
        <v>5412.7242727272715</v>
      </c>
      <c r="AI166" s="39">
        <f>SUMIF([1]헤몬팜마진!$B$7:$B$32,$C166,[1]헤몬팜마진!$V$7:$V$32)</f>
        <v>15140</v>
      </c>
      <c r="AJ166" s="39">
        <f t="shared" si="226"/>
        <v>63891.245727272733</v>
      </c>
      <c r="AK166" s="42">
        <f t="shared" si="227"/>
        <v>21027.545727272729</v>
      </c>
      <c r="AL166" s="43">
        <f>SUMIF([1]헤몬팜마진!$B$7:$B$32,$C166,[1]헤몬팜마진!$T$7:$T$32)</f>
        <v>176</v>
      </c>
      <c r="AM166" s="44">
        <f>SUMIF([1]헤몬팜마진!$B$7:$B$32,$C166,[1]헤몬팜마진!$U$7:$U$32)</f>
        <v>900</v>
      </c>
      <c r="AN166" s="38"/>
      <c r="AO166" s="52">
        <v>35832</v>
      </c>
      <c r="AP166" s="52">
        <v>69</v>
      </c>
      <c r="AQ166" s="24"/>
      <c r="AR166" s="24"/>
      <c r="AS166" s="24"/>
      <c r="AT166" s="25"/>
      <c r="AU166" s="25"/>
      <c r="AV166" s="25"/>
      <c r="AW166" s="25"/>
      <c r="AX166" s="25"/>
      <c r="AY166" s="25"/>
      <c r="AZ166" s="25"/>
      <c r="BA166" s="25"/>
      <c r="BB166" s="25"/>
      <c r="BC166" s="25"/>
      <c r="BD166" s="25"/>
      <c r="BE166" s="25"/>
      <c r="BF166" s="25"/>
      <c r="BG166" s="25"/>
      <c r="BH166" s="25"/>
      <c r="BI166" s="25"/>
      <c r="BJ166" s="25"/>
      <c r="BK166" s="25"/>
    </row>
    <row r="167" spans="1:63" ht="28.5" customHeight="1">
      <c r="A167" s="47"/>
      <c r="B167" s="102"/>
      <c r="C167" s="27" t="s">
        <v>52</v>
      </c>
      <c r="D167" s="28">
        <f t="shared" si="210"/>
        <v>0.27865166666666669</v>
      </c>
      <c r="E167" s="29">
        <f t="shared" si="211"/>
        <v>0.39158756410256412</v>
      </c>
      <c r="F167" s="30">
        <f t="shared" si="212"/>
        <v>0.11293589743589745</v>
      </c>
      <c r="G167" s="30">
        <f t="shared" si="213"/>
        <v>0</v>
      </c>
      <c r="H167" s="103"/>
      <c r="I167" s="31">
        <f t="shared" si="214"/>
        <v>105</v>
      </c>
      <c r="J167" s="31">
        <f t="shared" si="215"/>
        <v>210</v>
      </c>
      <c r="K167" s="100"/>
      <c r="L167" s="48">
        <f>74+42+48+18+8+2</f>
        <v>192</v>
      </c>
      <c r="M167" s="49"/>
      <c r="N167" s="34">
        <v>15</v>
      </c>
      <c r="O167" s="38">
        <v>2</v>
      </c>
      <c r="P167" s="36">
        <f t="shared" si="216"/>
        <v>2</v>
      </c>
      <c r="Q167" s="38">
        <v>1</v>
      </c>
      <c r="R167" s="37"/>
      <c r="S167" s="38"/>
      <c r="T167" s="39">
        <f t="shared" si="217"/>
        <v>85800</v>
      </c>
      <c r="U167" s="36">
        <f t="shared" si="218"/>
        <v>0</v>
      </c>
      <c r="V167" s="39">
        <f t="shared" si="219"/>
        <v>85800</v>
      </c>
      <c r="W167" s="51">
        <v>42900</v>
      </c>
      <c r="X167" s="39">
        <f>SUMIF([1]헤몬팜마진!$B$7:$B$32,$C167,[1]헤몬팜마진!$R$7:$R$32)</f>
        <v>7855</v>
      </c>
      <c r="Y167" s="39">
        <f t="shared" si="220"/>
        <v>38882</v>
      </c>
      <c r="Z167" s="39">
        <f t="shared" si="221"/>
        <v>9689.9000000000015</v>
      </c>
      <c r="AA167" s="98">
        <v>8809</v>
      </c>
      <c r="AB167" s="38"/>
      <c r="AC167" s="40">
        <f t="shared" si="228"/>
        <v>2310</v>
      </c>
      <c r="AD167" s="41">
        <v>7.8E-2</v>
      </c>
      <c r="AE167" s="36">
        <f>1900*(P167)</f>
        <v>3800</v>
      </c>
      <c r="AF167" s="28">
        <f t="shared" si="223"/>
        <v>0.12228904428904429</v>
      </c>
      <c r="AG167" s="39">
        <f t="shared" si="224"/>
        <v>10492.43</v>
      </c>
      <c r="AH167" s="39">
        <f t="shared" si="225"/>
        <v>2827.357</v>
      </c>
      <c r="AI167" s="39">
        <f>SUMIF([1]헤몬팜마진!$B$7:$B$32,$C167,[1]헤몬팜마진!$V$7:$V$32)</f>
        <v>19441</v>
      </c>
      <c r="AJ167" s="39">
        <f t="shared" si="226"/>
        <v>33598.213000000003</v>
      </c>
      <c r="AK167" s="60">
        <f t="shared" si="227"/>
        <v>23908.313000000002</v>
      </c>
      <c r="AL167" s="43">
        <f>SUMIF([1]헤몬팜마진!$B$7:$B$32,$C167,[1]헤몬팜마진!$T$7:$T$32)</f>
        <v>176</v>
      </c>
      <c r="AM167" s="44">
        <f>SUMIF([1]헤몬팜마진!$B$7:$B$32,$C167,[1]헤몬팜마진!$U$7:$U$32)</f>
        <v>900</v>
      </c>
      <c r="AN167" s="38"/>
      <c r="AO167" s="52">
        <v>23140</v>
      </c>
      <c r="AP167" s="52">
        <v>27</v>
      </c>
      <c r="AQ167" s="24"/>
      <c r="AR167" s="24"/>
      <c r="AS167" s="24"/>
      <c r="AT167" s="25"/>
      <c r="AU167" s="25"/>
      <c r="AV167" s="25"/>
      <c r="AW167" s="25"/>
      <c r="AX167" s="25"/>
      <c r="AY167" s="25"/>
      <c r="AZ167" s="25"/>
      <c r="BA167" s="25"/>
      <c r="BB167" s="25"/>
      <c r="BC167" s="25"/>
      <c r="BD167" s="25"/>
      <c r="BE167" s="25"/>
      <c r="BF167" s="25"/>
      <c r="BG167" s="25"/>
      <c r="BH167" s="25"/>
      <c r="BI167" s="25"/>
      <c r="BJ167" s="25"/>
      <c r="BK167" s="25"/>
    </row>
    <row r="168" spans="1:63" ht="28.5" customHeight="1">
      <c r="A168" s="1" t="s">
        <v>45</v>
      </c>
      <c r="B168" s="101"/>
      <c r="C168" s="27" t="s">
        <v>46</v>
      </c>
      <c r="D168" s="28" t="e">
        <f t="shared" si="210"/>
        <v>#DIV/0!</v>
      </c>
      <c r="E168" s="29" t="e">
        <f t="shared" si="211"/>
        <v>#DIV/0!</v>
      </c>
      <c r="F168" s="30" t="e">
        <f t="shared" si="212"/>
        <v>#DIV/0!</v>
      </c>
      <c r="G168" s="30" t="e">
        <f t="shared" si="213"/>
        <v>#DIV/0!</v>
      </c>
      <c r="H168" s="61">
        <v>3504</v>
      </c>
      <c r="I168" s="31">
        <f t="shared" si="214"/>
        <v>210</v>
      </c>
      <c r="J168" s="31">
        <f t="shared" si="215"/>
        <v>420</v>
      </c>
      <c r="K168" s="99">
        <v>626</v>
      </c>
      <c r="L168" s="48">
        <f>30+13+6</f>
        <v>49</v>
      </c>
      <c r="M168" s="49"/>
      <c r="N168" s="62">
        <v>30</v>
      </c>
      <c r="O168" s="45">
        <v>0</v>
      </c>
      <c r="P168" s="36">
        <f t="shared" si="216"/>
        <v>0</v>
      </c>
      <c r="Q168" s="38"/>
      <c r="R168" s="56"/>
      <c r="S168" s="38"/>
      <c r="T168" s="39">
        <f t="shared" si="217"/>
        <v>0</v>
      </c>
      <c r="U168" s="36">
        <f t="shared" si="218"/>
        <v>0</v>
      </c>
      <c r="V168" s="39">
        <f t="shared" si="219"/>
        <v>0</v>
      </c>
      <c r="W168" s="51">
        <v>59800</v>
      </c>
      <c r="X168" s="39">
        <f>SUMIF([1]헤몬팜마진!$B$7:$B$32,$C168,[1]헤몬팜마진!$R$7:$R$32)</f>
        <v>13276</v>
      </c>
      <c r="Y168" s="39">
        <f t="shared" si="220"/>
        <v>0</v>
      </c>
      <c r="Z168" s="39">
        <f t="shared" si="221"/>
        <v>0</v>
      </c>
      <c r="AA168" s="98"/>
      <c r="AB168" s="63"/>
      <c r="AC168" s="40">
        <f t="shared" si="228"/>
        <v>0</v>
      </c>
      <c r="AD168" s="41">
        <v>0.108</v>
      </c>
      <c r="AE168" s="36">
        <f t="shared" ref="AE168:AE169" si="230">4825*(P168)</f>
        <v>0</v>
      </c>
      <c r="AF168" s="28" t="e">
        <f t="shared" si="223"/>
        <v>#DIV/0!</v>
      </c>
      <c r="AG168" s="39">
        <f t="shared" si="224"/>
        <v>0</v>
      </c>
      <c r="AH168" s="39">
        <f t="shared" si="225"/>
        <v>0</v>
      </c>
      <c r="AI168" s="39">
        <f>SUMIF([1]헤몬팜마진!$B$7:$B$32,$C168,[1]헤몬팜마진!$V$7:$V$32)</f>
        <v>21956</v>
      </c>
      <c r="AJ168" s="39">
        <f t="shared" si="226"/>
        <v>0</v>
      </c>
      <c r="AK168" s="42">
        <f t="shared" si="227"/>
        <v>0</v>
      </c>
      <c r="AL168" s="43">
        <f>SUMIF([1]헤몬팜마진!$B$7:$B$32,$C168,[1]헤몬팜마진!$T$7:$T$32)</f>
        <v>372</v>
      </c>
      <c r="AM168" s="44">
        <f>SUMIF([1]헤몬팜마진!$B$7:$B$32,$C168,[1]헤몬팜마진!$U$7:$U$32)</f>
        <v>1896</v>
      </c>
      <c r="AN168" s="38"/>
      <c r="AO168" s="45"/>
      <c r="AP168" s="46"/>
      <c r="AQ168" s="24"/>
      <c r="AR168" s="24"/>
      <c r="AS168" s="24"/>
      <c r="AT168" s="25"/>
      <c r="AU168" s="25"/>
      <c r="AV168" s="25"/>
      <c r="AW168" s="25"/>
      <c r="AX168" s="25"/>
      <c r="AY168" s="25"/>
      <c r="AZ168" s="25"/>
      <c r="BA168" s="25"/>
      <c r="BB168" s="25"/>
      <c r="BC168" s="25"/>
      <c r="BD168" s="25"/>
      <c r="BE168" s="25"/>
      <c r="BF168" s="25"/>
      <c r="BG168" s="25"/>
      <c r="BH168" s="25"/>
      <c r="BI168" s="25"/>
      <c r="BJ168" s="25"/>
      <c r="BK168" s="25"/>
    </row>
    <row r="169" spans="1:63" ht="28.5" customHeight="1">
      <c r="A169" s="1" t="s">
        <v>45</v>
      </c>
      <c r="B169" s="102"/>
      <c r="C169" s="27" t="s">
        <v>47</v>
      </c>
      <c r="D169" s="28" t="e">
        <f t="shared" si="210"/>
        <v>#DIV/0!</v>
      </c>
      <c r="E169" s="29" t="e">
        <f t="shared" si="211"/>
        <v>#DIV/0!</v>
      </c>
      <c r="F169" s="30" t="e">
        <f t="shared" si="212"/>
        <v>#DIV/0!</v>
      </c>
      <c r="G169" s="30" t="e">
        <f t="shared" si="213"/>
        <v>#DIV/0!</v>
      </c>
      <c r="H169" s="31">
        <v>0</v>
      </c>
      <c r="I169" s="31">
        <f t="shared" si="214"/>
        <v>210</v>
      </c>
      <c r="J169" s="31">
        <f t="shared" si="215"/>
        <v>420</v>
      </c>
      <c r="K169" s="100"/>
      <c r="L169" s="48">
        <f>4+11+18+38+129</f>
        <v>200</v>
      </c>
      <c r="M169" s="49"/>
      <c r="N169" s="34">
        <v>30</v>
      </c>
      <c r="O169" s="45">
        <v>0</v>
      </c>
      <c r="P169" s="36">
        <f t="shared" si="216"/>
        <v>0</v>
      </c>
      <c r="Q169" s="38"/>
      <c r="R169" s="56"/>
      <c r="S169" s="38"/>
      <c r="T169" s="39">
        <f t="shared" si="217"/>
        <v>0</v>
      </c>
      <c r="U169" s="36">
        <f t="shared" si="218"/>
        <v>0</v>
      </c>
      <c r="V169" s="39">
        <f t="shared" si="219"/>
        <v>0</v>
      </c>
      <c r="W169" s="51">
        <v>69780</v>
      </c>
      <c r="X169" s="39">
        <f>SUMIF([1]헤몬팜마진!$B$7:$B$32,$C169,[1]헤몬팜마진!$R$7:$R$32)</f>
        <v>13276</v>
      </c>
      <c r="Y169" s="39">
        <f t="shared" si="220"/>
        <v>0</v>
      </c>
      <c r="Z169" s="39">
        <f t="shared" si="221"/>
        <v>0</v>
      </c>
      <c r="AA169" s="98"/>
      <c r="AB169" s="38"/>
      <c r="AC169" s="40">
        <f t="shared" si="228"/>
        <v>0</v>
      </c>
      <c r="AD169" s="41">
        <v>0.108</v>
      </c>
      <c r="AE169" s="36">
        <f t="shared" si="230"/>
        <v>0</v>
      </c>
      <c r="AF169" s="28" t="e">
        <f t="shared" si="223"/>
        <v>#DIV/0!</v>
      </c>
      <c r="AG169" s="39">
        <f t="shared" si="224"/>
        <v>0</v>
      </c>
      <c r="AH169" s="39">
        <f t="shared" si="225"/>
        <v>0</v>
      </c>
      <c r="AI169" s="39">
        <f>SUMIF([1]헤몬팜마진!$B$7:$B$32,$C169,[1]헤몬팜마진!$V$7:$V$32)</f>
        <v>26257</v>
      </c>
      <c r="AJ169" s="39">
        <f t="shared" si="226"/>
        <v>0</v>
      </c>
      <c r="AK169" s="42">
        <f t="shared" si="227"/>
        <v>0</v>
      </c>
      <c r="AL169" s="43">
        <f>SUMIF([1]헤몬팜마진!$B$7:$B$32,$C169,[1]헤몬팜마진!$T$7:$T$32)</f>
        <v>372</v>
      </c>
      <c r="AM169" s="44">
        <f>SUMIF([1]헤몬팜마진!$B$7:$B$32,$C169,[1]헤몬팜마진!$U$7:$U$32)</f>
        <v>1896</v>
      </c>
      <c r="AN169" s="38"/>
      <c r="AO169" s="52"/>
      <c r="AP169" s="52"/>
      <c r="AQ169" s="24"/>
      <c r="AR169" s="24"/>
      <c r="AS169" s="24"/>
      <c r="AT169" s="25"/>
      <c r="AU169" s="25"/>
      <c r="AV169" s="25"/>
      <c r="AW169" s="25"/>
      <c r="AX169" s="25"/>
      <c r="AY169" s="25"/>
      <c r="AZ169" s="25"/>
      <c r="BA169" s="25"/>
      <c r="BB169" s="25"/>
      <c r="BC169" s="25"/>
      <c r="BD169" s="25"/>
      <c r="BE169" s="25"/>
      <c r="BF169" s="25"/>
      <c r="BG169" s="25"/>
      <c r="BH169" s="25"/>
      <c r="BI169" s="25"/>
      <c r="BJ169" s="25"/>
      <c r="BK169" s="25"/>
    </row>
    <row r="170" spans="1:63" ht="28.5" customHeight="1">
      <c r="A170" s="47" t="s">
        <v>48</v>
      </c>
      <c r="B170" s="26"/>
      <c r="C170" s="27" t="s">
        <v>49</v>
      </c>
      <c r="D170" s="28">
        <f t="shared" si="210"/>
        <v>-0.146370621616287</v>
      </c>
      <c r="E170" s="29">
        <f t="shared" si="211"/>
        <v>0.39082618359463117</v>
      </c>
      <c r="F170" s="30">
        <f t="shared" si="212"/>
        <v>0.53719680521091817</v>
      </c>
      <c r="G170" s="30">
        <f t="shared" si="213"/>
        <v>8.3333333333333329E-2</v>
      </c>
      <c r="H170" s="31">
        <v>500</v>
      </c>
      <c r="I170" s="31">
        <f t="shared" si="214"/>
        <v>105</v>
      </c>
      <c r="J170" s="31">
        <f t="shared" si="215"/>
        <v>210</v>
      </c>
      <c r="K170" s="48">
        <v>577</v>
      </c>
      <c r="L170" s="48">
        <v>211</v>
      </c>
      <c r="M170" s="49"/>
      <c r="N170" s="34">
        <v>15</v>
      </c>
      <c r="O170" s="45">
        <v>8</v>
      </c>
      <c r="P170" s="36">
        <f t="shared" si="216"/>
        <v>8</v>
      </c>
      <c r="Q170" s="45">
        <v>1</v>
      </c>
      <c r="R170" s="37">
        <v>8</v>
      </c>
      <c r="S170" s="45"/>
      <c r="T170" s="39">
        <f t="shared" si="217"/>
        <v>128960</v>
      </c>
      <c r="U170" s="36">
        <f t="shared" si="218"/>
        <v>0</v>
      </c>
      <c r="V170" s="39">
        <f t="shared" si="219"/>
        <v>128960</v>
      </c>
      <c r="W170" s="51">
        <v>16120</v>
      </c>
      <c r="X170" s="39">
        <f>SUMIF([1]헤몬팜마진!$B$7:$B$32,$C170,[1]헤몬팜마진!$R$7:$R$32)</f>
        <v>5089</v>
      </c>
      <c r="Y170" s="39">
        <f t="shared" si="220"/>
        <v>41008</v>
      </c>
      <c r="Z170" s="39">
        <f t="shared" si="221"/>
        <v>69276.900000000009</v>
      </c>
      <c r="AA170" s="98">
        <v>62979</v>
      </c>
      <c r="AB170" s="64"/>
      <c r="AC170" s="40">
        <f t="shared" si="228"/>
        <v>2310</v>
      </c>
      <c r="AD170" s="41">
        <v>7.8E-2</v>
      </c>
      <c r="AE170" s="36">
        <f>2900*(P170)</f>
        <v>23200</v>
      </c>
      <c r="AF170" s="28">
        <f t="shared" si="223"/>
        <v>0.25790074441687344</v>
      </c>
      <c r="AG170" s="39">
        <f t="shared" si="224"/>
        <v>33258.909999999996</v>
      </c>
      <c r="AH170" s="39">
        <f t="shared" si="225"/>
        <v>4292.1453636363631</v>
      </c>
      <c r="AI170" s="39">
        <f>SUMIF([1]헤몬팜마진!$B$7:$B$32,$C170,[1]헤몬팜마진!$V$7:$V$32)</f>
        <v>5126</v>
      </c>
      <c r="AJ170" s="39">
        <f t="shared" si="226"/>
        <v>50400.944636363638</v>
      </c>
      <c r="AK170" s="60">
        <f t="shared" si="227"/>
        <v>-18875.955363636371</v>
      </c>
      <c r="AL170" s="43">
        <f>SUMIF([1]헤몬팜마진!$B$7:$B$32,$C170,[1]헤몬팜마진!$T$7:$T$32)</f>
        <v>6</v>
      </c>
      <c r="AM170" s="44">
        <f>SUMIF([1]헤몬팜마진!$B$7:$B$32,$C170,[1]헤몬팜마진!$U$7:$U$32)</f>
        <v>31</v>
      </c>
      <c r="AN170" s="38"/>
      <c r="AO170" s="52">
        <v>48738</v>
      </c>
      <c r="AP170" s="52">
        <v>96</v>
      </c>
      <c r="AQ170" s="24"/>
      <c r="AR170" s="24"/>
      <c r="AS170" s="24"/>
      <c r="AT170" s="25"/>
      <c r="AU170" s="25"/>
      <c r="AV170" s="25"/>
      <c r="AW170" s="25"/>
      <c r="AX170" s="25"/>
      <c r="AY170" s="25"/>
      <c r="AZ170" s="25"/>
      <c r="BA170" s="25"/>
      <c r="BB170" s="25"/>
      <c r="BC170" s="25"/>
      <c r="BD170" s="25"/>
      <c r="BE170" s="25"/>
      <c r="BF170" s="25"/>
      <c r="BG170" s="25"/>
      <c r="BH170" s="25"/>
      <c r="BI170" s="25"/>
      <c r="BJ170" s="25"/>
      <c r="BK170" s="25"/>
    </row>
    <row r="171" spans="1:63" ht="28.5" customHeight="1">
      <c r="A171" s="47" t="s">
        <v>53</v>
      </c>
      <c r="B171" s="26"/>
      <c r="C171" s="27" t="s">
        <v>54</v>
      </c>
      <c r="D171" s="28">
        <f t="shared" si="210"/>
        <v>7.5241822916666687E-2</v>
      </c>
      <c r="E171" s="29">
        <f t="shared" si="211"/>
        <v>0.36300744791666673</v>
      </c>
      <c r="F171" s="30">
        <f t="shared" si="212"/>
        <v>0.28776562500000002</v>
      </c>
      <c r="G171" s="30">
        <f t="shared" si="213"/>
        <v>8.1081081081081086E-2</v>
      </c>
      <c r="H171" s="31">
        <v>1750</v>
      </c>
      <c r="I171" s="31">
        <f t="shared" si="214"/>
        <v>350</v>
      </c>
      <c r="J171" s="31">
        <f t="shared" si="215"/>
        <v>700</v>
      </c>
      <c r="K171" s="48">
        <v>1449</v>
      </c>
      <c r="L171" s="48">
        <v>1217</v>
      </c>
      <c r="M171" s="49"/>
      <c r="N171" s="34">
        <v>50</v>
      </c>
      <c r="O171" s="45">
        <v>11</v>
      </c>
      <c r="P171" s="36">
        <f t="shared" si="216"/>
        <v>11</v>
      </c>
      <c r="Q171" s="38"/>
      <c r="R171" s="37">
        <v>6</v>
      </c>
      <c r="S171" s="38"/>
      <c r="T171" s="39">
        <f t="shared" si="217"/>
        <v>211200</v>
      </c>
      <c r="U171" s="36">
        <f t="shared" si="218"/>
        <v>0</v>
      </c>
      <c r="V171" s="39">
        <f t="shared" si="219"/>
        <v>211200</v>
      </c>
      <c r="W171" s="51">
        <v>19200</v>
      </c>
      <c r="X171" s="39">
        <f>SUMIF([1]헤몬팜마진!$B$7:$B$32,$C171,[1]헤몬팜마진!$R$7:$R$32)</f>
        <v>6373</v>
      </c>
      <c r="Y171" s="39">
        <f t="shared" si="220"/>
        <v>74481</v>
      </c>
      <c r="Z171" s="39">
        <f t="shared" si="221"/>
        <v>60776.100000000006</v>
      </c>
      <c r="AA171" s="98">
        <v>55251</v>
      </c>
      <c r="AB171" s="38"/>
      <c r="AC171" s="40">
        <f t="shared" si="228"/>
        <v>0</v>
      </c>
      <c r="AD171" s="41">
        <v>0.08</v>
      </c>
      <c r="AE171" s="36">
        <f>3350*(P171)</f>
        <v>36850</v>
      </c>
      <c r="AF171" s="28">
        <f t="shared" si="223"/>
        <v>0.25447916666666665</v>
      </c>
      <c r="AG171" s="39">
        <f t="shared" si="224"/>
        <v>53746.029999999992</v>
      </c>
      <c r="AH171" s="39">
        <f t="shared" si="225"/>
        <v>6305.796999999995</v>
      </c>
      <c r="AI171" s="39">
        <f>SUMIF([1]헤몬팜마진!$B$7:$B$32,$C171,[1]헤몬팜마진!$V$7:$V$32)</f>
        <v>6771</v>
      </c>
      <c r="AJ171" s="39">
        <f t="shared" si="226"/>
        <v>76667.17300000001</v>
      </c>
      <c r="AK171" s="42">
        <f t="shared" si="227"/>
        <v>15891.073000000004</v>
      </c>
      <c r="AL171" s="43">
        <f>SUMIF([1]헤몬팜마진!$B$7:$B$32,$C171,[1]헤몬팜마진!$T$7:$T$32)</f>
        <v>65</v>
      </c>
      <c r="AM171" s="44">
        <f>SUMIF([1]헤몬팜마진!$B$7:$B$32,$C171,[1]헤몬팜마진!$U$7:$U$32)</f>
        <v>333</v>
      </c>
      <c r="AN171" s="38"/>
      <c r="AO171" s="52">
        <v>25360</v>
      </c>
      <c r="AP171" s="52">
        <v>74</v>
      </c>
      <c r="AQ171" s="24"/>
      <c r="AR171" s="24"/>
      <c r="AS171" s="24"/>
      <c r="AT171" s="25"/>
      <c r="AU171" s="25"/>
      <c r="AV171" s="25"/>
      <c r="AW171" s="25"/>
      <c r="AX171" s="25"/>
      <c r="AY171" s="25"/>
      <c r="AZ171" s="25"/>
      <c r="BA171" s="25"/>
      <c r="BB171" s="25"/>
      <c r="BC171" s="25"/>
      <c r="BD171" s="25"/>
      <c r="BE171" s="25"/>
      <c r="BF171" s="25"/>
      <c r="BG171" s="25"/>
      <c r="BH171" s="25"/>
      <c r="BI171" s="25"/>
      <c r="BJ171" s="25"/>
      <c r="BK171" s="25"/>
    </row>
    <row r="172" spans="1:63" ht="28.5" customHeight="1">
      <c r="A172" s="53" t="s">
        <v>55</v>
      </c>
      <c r="B172" s="67"/>
      <c r="C172" s="27" t="s">
        <v>56</v>
      </c>
      <c r="D172" s="28">
        <f t="shared" si="210"/>
        <v>0.23394507937664885</v>
      </c>
      <c r="E172" s="29">
        <f t="shared" si="211"/>
        <v>0.41710692432442281</v>
      </c>
      <c r="F172" s="30">
        <f t="shared" si="212"/>
        <v>0.18316184494777399</v>
      </c>
      <c r="G172" s="30">
        <f t="shared" si="213"/>
        <v>5.185185185185185E-2</v>
      </c>
      <c r="H172" s="31">
        <v>0</v>
      </c>
      <c r="I172" s="31">
        <f t="shared" si="214"/>
        <v>70</v>
      </c>
      <c r="J172" s="31">
        <f t="shared" si="215"/>
        <v>140</v>
      </c>
      <c r="K172" s="68">
        <v>494</v>
      </c>
      <c r="L172" s="48">
        <v>0</v>
      </c>
      <c r="M172" s="49"/>
      <c r="N172" s="34">
        <v>10</v>
      </c>
      <c r="O172" s="38">
        <v>9</v>
      </c>
      <c r="P172" s="36">
        <f t="shared" si="216"/>
        <v>9</v>
      </c>
      <c r="Q172" s="38">
        <v>1</v>
      </c>
      <c r="R172" s="37">
        <v>7</v>
      </c>
      <c r="S172" s="38"/>
      <c r="T172" s="39">
        <f t="shared" si="217"/>
        <v>449010</v>
      </c>
      <c r="U172" s="36">
        <f t="shared" si="218"/>
        <v>0</v>
      </c>
      <c r="V172" s="39">
        <f t="shared" si="219"/>
        <v>449010</v>
      </c>
      <c r="W172" s="51">
        <v>49890</v>
      </c>
      <c r="X172" s="39">
        <f>SUMIF([1]헤몬팜마진!$B$7:$B$32,$C172,[1]헤몬팜마진!$R$7:$R$32)</f>
        <v>12170</v>
      </c>
      <c r="Y172" s="39">
        <f t="shared" si="220"/>
        <v>167184</v>
      </c>
      <c r="Z172" s="39">
        <f t="shared" si="221"/>
        <v>82241.5</v>
      </c>
      <c r="AA172" s="98">
        <v>74765</v>
      </c>
      <c r="AB172" s="64"/>
      <c r="AC172" s="40">
        <f t="shared" si="228"/>
        <v>2310</v>
      </c>
      <c r="AD172" s="41">
        <v>7.8E-2</v>
      </c>
      <c r="AE172" s="36">
        <f t="shared" ref="AE172:AE173" si="231">4825*(P172)</f>
        <v>43425</v>
      </c>
      <c r="AF172" s="28">
        <f t="shared" si="223"/>
        <v>0.17471276808979755</v>
      </c>
      <c r="AG172" s="39">
        <f t="shared" si="224"/>
        <v>78447.81</v>
      </c>
      <c r="AH172" s="39">
        <f t="shared" si="225"/>
        <v>16093.00990909091</v>
      </c>
      <c r="AI172" s="39">
        <f>SUMIF([1]헤몬팜마진!$B$7:$B$32,$C172,[1]헤몬팜마진!$V$7:$V$32)</f>
        <v>18576</v>
      </c>
      <c r="AJ172" s="39">
        <f t="shared" si="226"/>
        <v>187285.1800909091</v>
      </c>
      <c r="AK172" s="60">
        <f t="shared" si="227"/>
        <v>105043.6800909091</v>
      </c>
      <c r="AL172" s="43">
        <f>SUMIF([1]헤몬팜마진!$B$7:$B$32,$C172,[1]헤몬팜마진!$T$7:$T$32)</f>
        <v>181</v>
      </c>
      <c r="AM172" s="44">
        <f>SUMIF([1]헤몬팜마진!$B$7:$B$32,$C172,[1]헤몬팜마진!$U$7:$U$32)</f>
        <v>926</v>
      </c>
      <c r="AN172" s="38"/>
      <c r="AO172" s="52">
        <v>34368</v>
      </c>
      <c r="AP172" s="52">
        <v>135</v>
      </c>
      <c r="AQ172" s="24"/>
      <c r="AR172" s="24"/>
      <c r="AS172" s="24"/>
      <c r="AT172" s="25"/>
      <c r="AU172" s="25"/>
      <c r="AV172" s="25"/>
      <c r="AW172" s="25"/>
      <c r="AX172" s="25"/>
      <c r="AY172" s="25"/>
      <c r="AZ172" s="25"/>
      <c r="BA172" s="25"/>
      <c r="BB172" s="25"/>
      <c r="BC172" s="25"/>
      <c r="BD172" s="25"/>
      <c r="BE172" s="25"/>
      <c r="BF172" s="25"/>
      <c r="BG172" s="25"/>
      <c r="BH172" s="25"/>
      <c r="BI172" s="25"/>
      <c r="BJ172" s="25"/>
      <c r="BK172" s="25"/>
    </row>
    <row r="173" spans="1:63" ht="28.5" customHeight="1">
      <c r="A173" s="57"/>
      <c r="B173" s="58"/>
      <c r="C173" s="27" t="s">
        <v>57</v>
      </c>
      <c r="D173" s="28">
        <f t="shared" si="210"/>
        <v>0.3213786169211954</v>
      </c>
      <c r="E173" s="29">
        <f t="shared" si="211"/>
        <v>0.40921166279908433</v>
      </c>
      <c r="F173" s="30">
        <f t="shared" si="212"/>
        <v>8.7833045877888941E-2</v>
      </c>
      <c r="G173" s="30">
        <f t="shared" si="213"/>
        <v>4.0404040404040407E-2</v>
      </c>
      <c r="H173" s="31">
        <v>0</v>
      </c>
      <c r="I173" s="31">
        <f t="shared" si="214"/>
        <v>70</v>
      </c>
      <c r="J173" s="31">
        <f t="shared" si="215"/>
        <v>140</v>
      </c>
      <c r="K173" s="59"/>
      <c r="L173" s="48">
        <v>1</v>
      </c>
      <c r="M173" s="49"/>
      <c r="N173" s="34">
        <v>10</v>
      </c>
      <c r="O173" s="45">
        <v>10</v>
      </c>
      <c r="P173" s="36">
        <f t="shared" si="216"/>
        <v>10</v>
      </c>
      <c r="Q173" s="45">
        <v>2</v>
      </c>
      <c r="R173" s="37">
        <v>4</v>
      </c>
      <c r="S173" s="38"/>
      <c r="T173" s="39">
        <f t="shared" si="217"/>
        <v>579800</v>
      </c>
      <c r="U173" s="36">
        <f t="shared" si="218"/>
        <v>0</v>
      </c>
      <c r="V173" s="39">
        <f t="shared" si="219"/>
        <v>579800</v>
      </c>
      <c r="W173" s="51">
        <v>57980</v>
      </c>
      <c r="X173" s="39">
        <f>SUMIF([1]헤몬팜마진!$B$7:$B$32,$C173,[1]헤몬팜마진!$R$7:$R$32)</f>
        <v>12170</v>
      </c>
      <c r="Y173" s="39">
        <f t="shared" si="220"/>
        <v>228760</v>
      </c>
      <c r="Z173" s="39">
        <f t="shared" si="221"/>
        <v>50925.600000000006</v>
      </c>
      <c r="AA173" s="98">
        <v>46296</v>
      </c>
      <c r="AB173" s="38"/>
      <c r="AC173" s="40">
        <f t="shared" si="228"/>
        <v>4620</v>
      </c>
      <c r="AD173" s="41">
        <v>7.8E-2</v>
      </c>
      <c r="AE173" s="36">
        <f t="shared" si="231"/>
        <v>48250</v>
      </c>
      <c r="AF173" s="28">
        <f t="shared" si="223"/>
        <v>0.16121835115557087</v>
      </c>
      <c r="AG173" s="39">
        <f t="shared" si="224"/>
        <v>93474.43</v>
      </c>
      <c r="AH173" s="39">
        <f t="shared" si="225"/>
        <v>20304.647909090912</v>
      </c>
      <c r="AI173" s="39">
        <f>SUMIF([1]헤몬팜마진!$B$7:$B$32,$C173,[1]헤몬팜마진!$V$7:$V$32)</f>
        <v>22876</v>
      </c>
      <c r="AJ173" s="39">
        <f t="shared" si="226"/>
        <v>237260.92209090909</v>
      </c>
      <c r="AK173" s="42">
        <f t="shared" si="227"/>
        <v>186335.32209090909</v>
      </c>
      <c r="AL173" s="43">
        <f>SUMIF([1]헤몬팜마진!$B$7:$B$32,$C173,[1]헤몬팜마진!$T$7:$T$32)</f>
        <v>181</v>
      </c>
      <c r="AM173" s="44">
        <f>SUMIF([1]헤몬팜마진!$B$7:$B$32,$C173,[1]헤몬팜마진!$U$7:$U$32)</f>
        <v>926</v>
      </c>
      <c r="AN173" s="38"/>
      <c r="AO173" s="52">
        <v>31079</v>
      </c>
      <c r="AP173" s="52">
        <v>99</v>
      </c>
      <c r="AQ173" s="24"/>
      <c r="AR173" s="24"/>
      <c r="AS173" s="24"/>
      <c r="AT173" s="25"/>
      <c r="AU173" s="25"/>
      <c r="AV173" s="25"/>
      <c r="AW173" s="25"/>
      <c r="AX173" s="25"/>
      <c r="AY173" s="25"/>
      <c r="AZ173" s="25"/>
      <c r="BA173" s="25"/>
      <c r="BB173" s="25"/>
      <c r="BC173" s="25"/>
      <c r="BD173" s="25"/>
      <c r="BE173" s="25"/>
      <c r="BF173" s="25"/>
      <c r="BG173" s="25"/>
      <c r="BH173" s="25"/>
      <c r="BI173" s="25"/>
      <c r="BJ173" s="25"/>
      <c r="BK173" s="25"/>
    </row>
    <row r="174" spans="1:63" ht="28.5" customHeight="1">
      <c r="A174" s="47" t="s">
        <v>58</v>
      </c>
      <c r="B174" s="26"/>
      <c r="C174" s="27" t="s">
        <v>59</v>
      </c>
      <c r="D174" s="28">
        <f t="shared" si="210"/>
        <v>0.21095253830439226</v>
      </c>
      <c r="E174" s="29">
        <f t="shared" si="211"/>
        <v>0.43836826864147094</v>
      </c>
      <c r="F174" s="30">
        <f t="shared" si="212"/>
        <v>0.22741573033707865</v>
      </c>
      <c r="G174" s="30">
        <f t="shared" si="213"/>
        <v>6.5789473684210523E-2</v>
      </c>
      <c r="H174" s="31">
        <v>2000</v>
      </c>
      <c r="I174" s="31">
        <f t="shared" si="214"/>
        <v>700</v>
      </c>
      <c r="J174" s="31">
        <f t="shared" si="215"/>
        <v>1400</v>
      </c>
      <c r="K174" s="48">
        <v>2373</v>
      </c>
      <c r="L174" s="48">
        <v>3</v>
      </c>
      <c r="M174" s="49"/>
      <c r="N174" s="34">
        <v>100</v>
      </c>
      <c r="O174" s="45">
        <v>9</v>
      </c>
      <c r="P174" s="36">
        <f t="shared" si="216"/>
        <v>9</v>
      </c>
      <c r="Q174" s="45">
        <v>9</v>
      </c>
      <c r="R174" s="37">
        <v>5</v>
      </c>
      <c r="S174" s="38"/>
      <c r="T174" s="39">
        <f t="shared" si="217"/>
        <v>160200</v>
      </c>
      <c r="U174" s="36">
        <f t="shared" si="218"/>
        <v>0</v>
      </c>
      <c r="V174" s="39">
        <f t="shared" si="219"/>
        <v>160200</v>
      </c>
      <c r="W174" s="51">
        <v>17800</v>
      </c>
      <c r="X174" s="39">
        <f>SUMIF([1]헤몬팜마진!$B$7:$B$32,$C174,[1]헤몬팜마진!$R$7:$R$32)</f>
        <v>3983</v>
      </c>
      <c r="Y174" s="39">
        <f t="shared" si="220"/>
        <v>43533</v>
      </c>
      <c r="Z174" s="39">
        <f t="shared" si="221"/>
        <v>36432</v>
      </c>
      <c r="AA174" s="98">
        <f>13584+10729+8807</f>
        <v>33120</v>
      </c>
      <c r="AB174" s="38"/>
      <c r="AC174" s="40">
        <f t="shared" si="228"/>
        <v>20790</v>
      </c>
      <c r="AD174" s="41">
        <v>7.8E-2</v>
      </c>
      <c r="AE174" s="36">
        <f>3100*(P174)</f>
        <v>27900</v>
      </c>
      <c r="AF174" s="28">
        <f t="shared" si="223"/>
        <v>0.25215730337078651</v>
      </c>
      <c r="AG174" s="39">
        <f t="shared" si="224"/>
        <v>40395.629999999997</v>
      </c>
      <c r="AH174" s="39">
        <f t="shared" si="225"/>
        <v>6044.773363636361</v>
      </c>
      <c r="AI174" s="39">
        <f>SUMIF([1]헤몬팜마진!$B$7:$B$32,$C174,[1]헤몬팜마진!$V$7:$V$32)</f>
        <v>4837</v>
      </c>
      <c r="AJ174" s="39">
        <f t="shared" si="226"/>
        <v>70226.59663636364</v>
      </c>
      <c r="AK174" s="42">
        <f t="shared" si="227"/>
        <v>33794.59663636364</v>
      </c>
      <c r="AL174" s="43">
        <f>SUMIF([1]헤몬팜마진!$B$7:$B$32,$C174,[1]헤몬팜마진!$T$7:$T$32)</f>
        <v>140</v>
      </c>
      <c r="AM174" s="44">
        <f>SUMIF([1]헤몬팜마진!$B$7:$B$32,$C174,[1]헤몬팜마진!$U$7:$U$32)</f>
        <v>714</v>
      </c>
      <c r="AN174" s="38"/>
      <c r="AO174" s="52">
        <v>17118</v>
      </c>
      <c r="AP174" s="52">
        <v>76</v>
      </c>
      <c r="AQ174" s="24"/>
      <c r="AR174" s="24"/>
      <c r="AS174" s="24"/>
      <c r="AT174" s="25"/>
      <c r="AU174" s="25"/>
      <c r="AV174" s="25"/>
      <c r="AW174" s="25"/>
      <c r="AX174" s="25"/>
      <c r="AY174" s="25"/>
      <c r="AZ174" s="25"/>
      <c r="BA174" s="25"/>
      <c r="BB174" s="25"/>
      <c r="BC174" s="25"/>
      <c r="BD174" s="25"/>
      <c r="BE174" s="25"/>
      <c r="BF174" s="25"/>
      <c r="BG174" s="25"/>
      <c r="BH174" s="25"/>
      <c r="BI174" s="25"/>
      <c r="BJ174" s="25"/>
      <c r="BK174" s="25"/>
    </row>
    <row r="175" spans="1:63" ht="28.5" customHeight="1">
      <c r="A175" s="47" t="s">
        <v>64</v>
      </c>
      <c r="B175" s="70" t="s">
        <v>65</v>
      </c>
      <c r="C175" s="27" t="s">
        <v>66</v>
      </c>
      <c r="D175" s="28">
        <f t="shared" si="210"/>
        <v>0.25212199622281717</v>
      </c>
      <c r="E175" s="29">
        <f t="shared" si="211"/>
        <v>0.43443623583556423</v>
      </c>
      <c r="F175" s="30">
        <f t="shared" si="212"/>
        <v>0.18231423961274709</v>
      </c>
      <c r="G175" s="30">
        <f t="shared" si="213"/>
        <v>0.14285714285714285</v>
      </c>
      <c r="H175" s="31">
        <v>2000</v>
      </c>
      <c r="I175" s="31">
        <f t="shared" si="214"/>
        <v>280</v>
      </c>
      <c r="J175" s="31">
        <f t="shared" si="215"/>
        <v>560</v>
      </c>
      <c r="K175" s="104">
        <v>1048</v>
      </c>
      <c r="L175" s="48">
        <f>311+240+1</f>
        <v>552</v>
      </c>
      <c r="M175" s="49"/>
      <c r="N175" s="34">
        <v>40</v>
      </c>
      <c r="O175" s="45">
        <v>20</v>
      </c>
      <c r="P175" s="36">
        <f t="shared" si="216"/>
        <v>20</v>
      </c>
      <c r="Q175" s="45">
        <v>5</v>
      </c>
      <c r="R175" s="37">
        <v>14</v>
      </c>
      <c r="S175" s="38"/>
      <c r="T175" s="39">
        <f t="shared" si="217"/>
        <v>495800</v>
      </c>
      <c r="U175" s="36">
        <f t="shared" si="218"/>
        <v>0</v>
      </c>
      <c r="V175" s="39">
        <f t="shared" si="219"/>
        <v>495800</v>
      </c>
      <c r="W175" s="51">
        <v>24790</v>
      </c>
      <c r="X175" s="39">
        <f>SUMIF([1]헤몬팜마진!$B$7:$B$32,$C175,[1]헤몬팜마진!$R$7:$R$32)</f>
        <v>6859</v>
      </c>
      <c r="Y175" s="39">
        <f t="shared" si="220"/>
        <v>145080</v>
      </c>
      <c r="Z175" s="39">
        <f t="shared" si="221"/>
        <v>90391.400000000009</v>
      </c>
      <c r="AA175" s="98">
        <v>82174</v>
      </c>
      <c r="AB175" s="63"/>
      <c r="AC175" s="40">
        <f t="shared" si="228"/>
        <v>11550</v>
      </c>
      <c r="AD175" s="41">
        <v>0.108</v>
      </c>
      <c r="AE175" s="36">
        <f>3150*(P175)</f>
        <v>63000</v>
      </c>
      <c r="AF175" s="28">
        <f t="shared" si="223"/>
        <v>0.23506736587333604</v>
      </c>
      <c r="AG175" s="39">
        <f t="shared" si="224"/>
        <v>116546.43000000001</v>
      </c>
      <c r="AH175" s="39">
        <f t="shared" si="225"/>
        <v>18780.084272727272</v>
      </c>
      <c r="AI175" s="39">
        <f>SUMIF([1]헤몬팜마진!$B$7:$B$32,$C175,[1]헤몬팜마진!$V$7:$V$32)</f>
        <v>7254</v>
      </c>
      <c r="AJ175" s="39">
        <f t="shared" si="226"/>
        <v>215393.48572727275</v>
      </c>
      <c r="AK175" s="60">
        <f t="shared" si="227"/>
        <v>125002.08572727274</v>
      </c>
      <c r="AL175" s="43">
        <f>SUMIF([1]헤몬팜마진!$B$7:$B$32,$C175,[1]헤몬팜마진!$T$7:$T$32)</f>
        <v>65</v>
      </c>
      <c r="AM175" s="44">
        <f>SUMIF([1]헤몬팜마진!$B$7:$B$32,$C175,[1]헤몬팜마진!$U$7:$U$32)</f>
        <v>330</v>
      </c>
      <c r="AN175" s="38"/>
      <c r="AO175" s="52">
        <v>30375</v>
      </c>
      <c r="AP175" s="52">
        <v>98</v>
      </c>
      <c r="AQ175" s="24"/>
      <c r="AR175" s="24"/>
      <c r="AS175" s="24"/>
      <c r="AT175" s="25"/>
      <c r="AU175" s="25"/>
      <c r="AV175" s="25"/>
      <c r="AW175" s="25"/>
      <c r="AX175" s="25"/>
      <c r="AY175" s="25"/>
      <c r="AZ175" s="25"/>
      <c r="BA175" s="25"/>
      <c r="BB175" s="25"/>
      <c r="BC175" s="25"/>
      <c r="BD175" s="25"/>
      <c r="BE175" s="25"/>
      <c r="BF175" s="25"/>
      <c r="BG175" s="25"/>
      <c r="BH175" s="25"/>
      <c r="BI175" s="25"/>
      <c r="BJ175" s="25"/>
      <c r="BK175" s="25"/>
    </row>
    <row r="176" spans="1:63" ht="28.5" customHeight="1">
      <c r="A176" s="47"/>
      <c r="B176" s="69" t="s">
        <v>67</v>
      </c>
      <c r="C176" s="27" t="s">
        <v>68</v>
      </c>
      <c r="D176" s="28">
        <f t="shared" si="210"/>
        <v>-7.0172583371402558E-2</v>
      </c>
      <c r="E176" s="29">
        <f t="shared" si="211"/>
        <v>0.41263897441754221</v>
      </c>
      <c r="F176" s="30">
        <f t="shared" si="212"/>
        <v>0.48281155778894475</v>
      </c>
      <c r="G176" s="30">
        <f t="shared" si="213"/>
        <v>2.6315789473684209E-2</v>
      </c>
      <c r="H176" s="31">
        <v>0</v>
      </c>
      <c r="I176" s="31">
        <f t="shared" si="214"/>
        <v>105</v>
      </c>
      <c r="J176" s="31">
        <f t="shared" si="215"/>
        <v>210</v>
      </c>
      <c r="K176" s="105"/>
      <c r="L176" s="48">
        <f>22+3</f>
        <v>25</v>
      </c>
      <c r="M176" s="49"/>
      <c r="N176" s="34">
        <v>15</v>
      </c>
      <c r="O176" s="38">
        <v>1</v>
      </c>
      <c r="P176" s="36">
        <f t="shared" si="216"/>
        <v>1</v>
      </c>
      <c r="Q176" s="38"/>
      <c r="R176" s="50">
        <v>1</v>
      </c>
      <c r="S176" s="38"/>
      <c r="T176" s="39">
        <f t="shared" si="217"/>
        <v>39800</v>
      </c>
      <c r="U176" s="36">
        <f t="shared" si="218"/>
        <v>0</v>
      </c>
      <c r="V176" s="39">
        <f t="shared" si="219"/>
        <v>39800</v>
      </c>
      <c r="W176" s="51">
        <v>39800</v>
      </c>
      <c r="X176" s="39">
        <f>SUMIF([1]헤몬팜마진!$B$7:$B$32,$C176,[1]헤몬팜마진!$R$7:$R$32)</f>
        <v>13719</v>
      </c>
      <c r="Y176" s="39">
        <f t="shared" si="220"/>
        <v>14113</v>
      </c>
      <c r="Z176" s="39">
        <f t="shared" si="221"/>
        <v>19215.900000000001</v>
      </c>
      <c r="AA176" s="98">
        <v>17469</v>
      </c>
      <c r="AB176" s="63"/>
      <c r="AC176" s="40">
        <f t="shared" si="228"/>
        <v>0</v>
      </c>
      <c r="AD176" s="41">
        <v>0.108</v>
      </c>
      <c r="AE176" s="36">
        <f>3550*(P176)</f>
        <v>3550</v>
      </c>
      <c r="AF176" s="28">
        <f t="shared" si="223"/>
        <v>0.1971959798994975</v>
      </c>
      <c r="AG176" s="39">
        <f t="shared" si="224"/>
        <v>7848.43</v>
      </c>
      <c r="AH176" s="39">
        <f t="shared" si="225"/>
        <v>1415.538818181818</v>
      </c>
      <c r="AI176" s="39">
        <f>SUMIF([1]헤몬팜마진!$B$7:$B$32,$C176,[1]헤몬팜마진!$V$7:$V$32)</f>
        <v>14113</v>
      </c>
      <c r="AJ176" s="39">
        <f t="shared" si="226"/>
        <v>16423.03118181818</v>
      </c>
      <c r="AK176" s="60">
        <f t="shared" si="227"/>
        <v>-2792.8688181818216</v>
      </c>
      <c r="AL176" s="43">
        <f>SUMIF([1]헤몬팜마진!$B$7:$B$32,$C176,[1]헤몬팜마진!$T$7:$T$32)</f>
        <v>65</v>
      </c>
      <c r="AM176" s="44">
        <f>SUMIF([1]헤몬팜마진!$B$7:$B$32,$C176,[1]헤몬팜마진!$U$7:$U$32)</f>
        <v>330</v>
      </c>
      <c r="AN176" s="38"/>
      <c r="AO176" s="52">
        <v>23379</v>
      </c>
      <c r="AP176" s="52">
        <v>38</v>
      </c>
      <c r="AQ176" s="24"/>
      <c r="AR176" s="24"/>
      <c r="AS176" s="24"/>
      <c r="AT176" s="25"/>
      <c r="AU176" s="25"/>
      <c r="AV176" s="25"/>
      <c r="AW176" s="25"/>
      <c r="AX176" s="25"/>
      <c r="AY176" s="25"/>
      <c r="AZ176" s="25"/>
      <c r="BA176" s="25"/>
      <c r="BB176" s="25"/>
      <c r="BC176" s="25"/>
      <c r="BD176" s="25"/>
      <c r="BE176" s="25"/>
      <c r="BF176" s="25"/>
      <c r="BG176" s="25"/>
      <c r="BH176" s="25"/>
      <c r="BI176" s="25"/>
      <c r="BJ176" s="25"/>
      <c r="BK176" s="25"/>
    </row>
    <row r="177" spans="1:63" ht="28.5" customHeight="1">
      <c r="A177" s="1"/>
      <c r="B177" s="69" t="s">
        <v>62</v>
      </c>
      <c r="C177" s="27" t="s">
        <v>63</v>
      </c>
      <c r="D177" s="28">
        <f t="shared" si="210"/>
        <v>3.5187787878787832E-2</v>
      </c>
      <c r="E177" s="29">
        <f t="shared" si="211"/>
        <v>0.37867667676767675</v>
      </c>
      <c r="F177" s="30">
        <f t="shared" si="212"/>
        <v>0.34348888888888895</v>
      </c>
      <c r="G177" s="30">
        <f t="shared" si="213"/>
        <v>2.1428571428571429E-2</v>
      </c>
      <c r="H177" s="31">
        <v>700</v>
      </c>
      <c r="I177" s="31">
        <f t="shared" si="214"/>
        <v>210</v>
      </c>
      <c r="J177" s="31">
        <f t="shared" si="215"/>
        <v>420</v>
      </c>
      <c r="K177" s="48">
        <v>954</v>
      </c>
      <c r="L177" s="48">
        <v>2</v>
      </c>
      <c r="M177" s="49"/>
      <c r="N177" s="34">
        <v>30</v>
      </c>
      <c r="O177" s="38">
        <v>15</v>
      </c>
      <c r="P177" s="36">
        <f t="shared" si="216"/>
        <v>15</v>
      </c>
      <c r="Q177" s="38">
        <v>1</v>
      </c>
      <c r="R177" s="37">
        <v>9</v>
      </c>
      <c r="S177" s="38"/>
      <c r="T177" s="39">
        <f t="shared" si="217"/>
        <v>297000</v>
      </c>
      <c r="U177" s="36">
        <f t="shared" si="218"/>
        <v>0</v>
      </c>
      <c r="V177" s="39">
        <f t="shared" si="219"/>
        <v>297000</v>
      </c>
      <c r="W177" s="51">
        <v>19800</v>
      </c>
      <c r="X177" s="39">
        <f>SUMIF([1]헤몬팜마진!$B$7:$B$32,$C177,[1]헤몬팜마진!$R$7:$R$32)</f>
        <v>6638</v>
      </c>
      <c r="Y177" s="39">
        <f t="shared" si="220"/>
        <v>100290</v>
      </c>
      <c r="Z177" s="39">
        <f t="shared" si="221"/>
        <v>102016.20000000001</v>
      </c>
      <c r="AA177" s="98">
        <v>92742</v>
      </c>
      <c r="AB177" s="64"/>
      <c r="AC177" s="40">
        <f t="shared" si="228"/>
        <v>2310</v>
      </c>
      <c r="AD177" s="41">
        <v>0.08</v>
      </c>
      <c r="AE177" s="36">
        <f>3400*(P177)</f>
        <v>51000</v>
      </c>
      <c r="AF177" s="28">
        <f t="shared" si="223"/>
        <v>0.25171717171717173</v>
      </c>
      <c r="AG177" s="39">
        <f t="shared" si="224"/>
        <v>74760.03</v>
      </c>
      <c r="AH177" s="39">
        <f t="shared" si="225"/>
        <v>9482.9969999999994</v>
      </c>
      <c r="AI177" s="39">
        <f>SUMIF([1]헤몬팜마진!$B$7:$B$32,$C177,[1]헤몬팜마진!$V$7:$V$32)</f>
        <v>6686</v>
      </c>
      <c r="AJ177" s="39">
        <f t="shared" si="226"/>
        <v>112466.973</v>
      </c>
      <c r="AK177" s="60">
        <f t="shared" si="227"/>
        <v>10450.772999999986</v>
      </c>
      <c r="AL177" s="43">
        <f>SUMIF([1]헤몬팜마진!$B$7:$B$32,$C177,[1]헤몬팜마진!$T$7:$T$32)</f>
        <v>8</v>
      </c>
      <c r="AM177" s="44">
        <f>SUMIF([1]헤몬팜마진!$B$7:$B$32,$C177,[1]헤몬팜마진!$U$7:$U$32)</f>
        <v>40</v>
      </c>
      <c r="AN177" s="38"/>
      <c r="AO177" s="52">
        <v>153637</v>
      </c>
      <c r="AP177" s="52">
        <v>420</v>
      </c>
      <c r="AQ177" s="24"/>
      <c r="AR177" s="24"/>
      <c r="AS177" s="24"/>
      <c r="AT177" s="25"/>
      <c r="AU177" s="25"/>
      <c r="AV177" s="25"/>
      <c r="AW177" s="25"/>
      <c r="AX177" s="25"/>
      <c r="AY177" s="25"/>
      <c r="AZ177" s="25"/>
      <c r="BA177" s="25"/>
      <c r="BB177" s="25"/>
      <c r="BC177" s="25"/>
      <c r="BD177" s="25"/>
      <c r="BE177" s="25"/>
      <c r="BF177" s="25"/>
      <c r="BG177" s="25"/>
      <c r="BH177" s="25"/>
      <c r="BI177" s="25"/>
      <c r="BJ177" s="25"/>
      <c r="BK177" s="25"/>
    </row>
    <row r="178" spans="1:63" ht="28.5" customHeight="1">
      <c r="A178" s="47" t="s">
        <v>70</v>
      </c>
      <c r="B178" s="26"/>
      <c r="C178" s="106" t="s">
        <v>69</v>
      </c>
      <c r="D178" s="28">
        <f t="shared" si="210"/>
        <v>-3.248765018328446</v>
      </c>
      <c r="E178" s="29">
        <f t="shared" si="211"/>
        <v>-0.30790211510263921</v>
      </c>
      <c r="F178" s="30">
        <f t="shared" si="212"/>
        <v>2.9408629032258062</v>
      </c>
      <c r="G178" s="30">
        <f t="shared" si="213"/>
        <v>0.14285714285714285</v>
      </c>
      <c r="H178" s="31">
        <v>0</v>
      </c>
      <c r="I178" s="31"/>
      <c r="J178" s="31"/>
      <c r="K178" s="48"/>
      <c r="L178" s="48">
        <v>0</v>
      </c>
      <c r="M178" s="49"/>
      <c r="N178" s="34">
        <v>50</v>
      </c>
      <c r="O178" s="45">
        <v>4</v>
      </c>
      <c r="P178" s="36">
        <f t="shared" si="216"/>
        <v>1</v>
      </c>
      <c r="Q178" s="38"/>
      <c r="R178" s="56">
        <v>1</v>
      </c>
      <c r="S178" s="38">
        <v>3</v>
      </c>
      <c r="T178" s="39">
        <f t="shared" si="217"/>
        <v>99200</v>
      </c>
      <c r="U178" s="36">
        <f t="shared" si="218"/>
        <v>74400</v>
      </c>
      <c r="V178" s="39">
        <f t="shared" si="219"/>
        <v>24800</v>
      </c>
      <c r="W178" s="51">
        <v>24800</v>
      </c>
      <c r="X178" s="39">
        <f>SUMIF([1]헤몬팜마진!$B$7:$B$32,$C178,[1]헤몬팜마진!$R$7:$R$32)</f>
        <v>28987</v>
      </c>
      <c r="Y178" s="39">
        <f t="shared" si="220"/>
        <v>29158</v>
      </c>
      <c r="Z178" s="39">
        <f t="shared" si="221"/>
        <v>7654.9000000000005</v>
      </c>
      <c r="AA178" s="32">
        <v>6959</v>
      </c>
      <c r="AB178" s="64">
        <f>((75900*0.015)+(75900*0.19)+2100+2200+1900)*3</f>
        <v>65278.5</v>
      </c>
      <c r="AC178" s="40">
        <f t="shared" si="228"/>
        <v>0</v>
      </c>
      <c r="AD178" s="41">
        <v>0.1</v>
      </c>
      <c r="AE178" s="36">
        <f>1900*(P178)</f>
        <v>1900</v>
      </c>
      <c r="AF178" s="28">
        <f t="shared" si="223"/>
        <v>0.17661290322580647</v>
      </c>
      <c r="AG178" s="39">
        <f t="shared" si="224"/>
        <v>4380.0300000000007</v>
      </c>
      <c r="AH178" s="39">
        <f t="shared" si="225"/>
        <v>-1102.0575454545456</v>
      </c>
      <c r="AI178" s="39">
        <f>SUMIF([1]헤몬팜마진!$B$7:$B$32,$C178,[1]헤몬팜마진!$V$7:$V$32)</f>
        <v>29158</v>
      </c>
      <c r="AJ178" s="39">
        <f t="shared" si="226"/>
        <v>-7635.9724545454519</v>
      </c>
      <c r="AK178" s="60">
        <f t="shared" si="227"/>
        <v>-80569.372454545461</v>
      </c>
      <c r="AL178" s="43">
        <f>SUMIF([1]헤몬팜마진!$B$7:$B$32,$C178,[1]헤몬팜마진!$T$7:$T$32)</f>
        <v>28</v>
      </c>
      <c r="AM178" s="44">
        <f>SUMIF([1]헤몬팜마진!$B$7:$B$32,$C178,[1]헤몬팜마진!$U$7:$U$32)</f>
        <v>143</v>
      </c>
      <c r="AN178" s="38"/>
      <c r="AO178" s="45">
        <v>6750</v>
      </c>
      <c r="AP178" s="46">
        <v>7</v>
      </c>
      <c r="AQ178" s="24"/>
      <c r="AR178" s="24"/>
      <c r="AS178" s="24"/>
      <c r="AT178" s="25"/>
      <c r="AU178" s="25"/>
      <c r="AV178" s="25"/>
      <c r="AW178" s="25"/>
      <c r="AX178" s="25"/>
      <c r="AY178" s="25"/>
      <c r="AZ178" s="25"/>
      <c r="BA178" s="25"/>
      <c r="BB178" s="25"/>
      <c r="BC178" s="25"/>
      <c r="BD178" s="25"/>
      <c r="BE178" s="25"/>
      <c r="BF178" s="25"/>
      <c r="BG178" s="25"/>
      <c r="BH178" s="25"/>
      <c r="BI178" s="25"/>
      <c r="BJ178" s="25"/>
      <c r="BK178" s="25"/>
    </row>
    <row r="179" spans="1:63" ht="28.5" customHeight="1" thickBot="1">
      <c r="A179" s="1"/>
      <c r="B179" s="71"/>
      <c r="C179" s="72"/>
      <c r="D179" s="73">
        <f t="shared" si="210"/>
        <v>0.18117360801808122</v>
      </c>
      <c r="E179" s="74">
        <f t="shared" si="211"/>
        <v>0.41261710685892083</v>
      </c>
      <c r="F179" s="75">
        <f t="shared" si="212"/>
        <v>0.23144349884083962</v>
      </c>
      <c r="G179" s="76"/>
      <c r="H179" s="77"/>
      <c r="I179" s="77"/>
      <c r="J179" s="77"/>
      <c r="K179" s="77"/>
      <c r="L179" s="77"/>
      <c r="M179" s="77"/>
      <c r="N179" s="77"/>
      <c r="O179" s="78">
        <f t="shared" ref="O179:V179" si="232">SUM(O162:O178)</f>
        <v>283</v>
      </c>
      <c r="P179" s="78">
        <f t="shared" si="232"/>
        <v>280</v>
      </c>
      <c r="Q179" s="78">
        <f t="shared" si="232"/>
        <v>46</v>
      </c>
      <c r="R179" s="78">
        <f t="shared" si="232"/>
        <v>191</v>
      </c>
      <c r="S179" s="78">
        <f t="shared" si="232"/>
        <v>3</v>
      </c>
      <c r="T179" s="78">
        <f t="shared" si="232"/>
        <v>8136270</v>
      </c>
      <c r="U179" s="78">
        <f t="shared" si="232"/>
        <v>74400</v>
      </c>
      <c r="V179" s="78">
        <f t="shared" si="232"/>
        <v>8061870</v>
      </c>
      <c r="W179" s="77"/>
      <c r="X179" s="78">
        <f t="shared" ref="X179:AC179" si="233">SUM(X162:X178)</f>
        <v>174162</v>
      </c>
      <c r="Y179" s="78">
        <f t="shared" si="233"/>
        <v>2773408</v>
      </c>
      <c r="Z179" s="78">
        <f t="shared" si="233"/>
        <v>1800588.8999999997</v>
      </c>
      <c r="AA179" s="78">
        <f t="shared" si="233"/>
        <v>1636899</v>
      </c>
      <c r="AB179" s="78">
        <f t="shared" si="233"/>
        <v>65278.5</v>
      </c>
      <c r="AC179" s="78">
        <f t="shared" si="233"/>
        <v>102672</v>
      </c>
      <c r="AD179" s="80">
        <v>0.09</v>
      </c>
      <c r="AE179" s="78">
        <f>SUM(AE162:AE178)</f>
        <v>906675</v>
      </c>
      <c r="AF179" s="75">
        <f t="shared" si="223"/>
        <v>0.20246460188517057</v>
      </c>
      <c r="AG179" s="78">
        <f t="shared" ref="AG179:AI179" si="234">SUM(AG162:AG178)</f>
        <v>1676162.2799999998</v>
      </c>
      <c r="AH179" s="78">
        <f t="shared" si="234"/>
        <v>285834.24472727266</v>
      </c>
      <c r="AI179" s="78">
        <f t="shared" si="234"/>
        <v>253777</v>
      </c>
      <c r="AJ179" s="81">
        <f t="shared" si="226"/>
        <v>3326465.4752727281</v>
      </c>
      <c r="AK179" s="82">
        <f t="shared" si="227"/>
        <v>1460598.0752727285</v>
      </c>
      <c r="AL179" s="83"/>
      <c r="AM179" s="84"/>
      <c r="AN179" s="85"/>
      <c r="AO179" s="86">
        <f t="shared" ref="AO179:AP179" si="235">SUM(AO162:AO163)</f>
        <v>510455</v>
      </c>
      <c r="AP179" s="87">
        <f t="shared" si="235"/>
        <v>1711</v>
      </c>
      <c r="AQ179" s="24"/>
      <c r="AR179" s="24"/>
      <c r="AS179" s="24"/>
      <c r="AT179" s="25"/>
      <c r="AU179" s="25"/>
      <c r="AV179" s="25"/>
      <c r="AW179" s="25"/>
      <c r="AX179" s="25"/>
      <c r="AY179" s="25"/>
      <c r="AZ179" s="25"/>
      <c r="BA179" s="25"/>
      <c r="BB179" s="25"/>
      <c r="BC179" s="25"/>
      <c r="BD179" s="25"/>
      <c r="BE179" s="25"/>
      <c r="BF179" s="25"/>
      <c r="BG179" s="25"/>
      <c r="BH179" s="25"/>
      <c r="BI179" s="25"/>
      <c r="BJ179" s="25"/>
      <c r="BK179" s="25"/>
    </row>
    <row r="180" spans="1:63" ht="28.5" customHeight="1">
      <c r="A180" s="88"/>
      <c r="B180" s="89"/>
      <c r="C180" s="90"/>
      <c r="D180" s="91"/>
      <c r="E180" s="91"/>
      <c r="F180" s="91"/>
      <c r="G180" s="91"/>
      <c r="H180" s="92"/>
      <c r="I180" s="92"/>
      <c r="J180" s="92"/>
      <c r="K180" s="92"/>
      <c r="L180" s="92"/>
      <c r="M180" s="92"/>
      <c r="N180" s="92"/>
      <c r="O180" s="92"/>
      <c r="P180" s="93"/>
      <c r="Q180" s="92"/>
      <c r="R180" s="92"/>
      <c r="S180" s="92"/>
      <c r="T180" s="92"/>
      <c r="U180" s="92"/>
      <c r="V180" s="92"/>
      <c r="W180" s="92"/>
      <c r="X180" s="92"/>
      <c r="Y180" s="92"/>
      <c r="Z180" s="92"/>
      <c r="AA180" s="94"/>
      <c r="AB180" s="95"/>
      <c r="AC180" s="96"/>
      <c r="AD180" s="96"/>
      <c r="AE180" s="96"/>
      <c r="AF180" s="96"/>
      <c r="AG180" s="95"/>
      <c r="AH180" s="95"/>
      <c r="AI180" s="97"/>
      <c r="AJ180" s="25"/>
      <c r="AK180" s="24"/>
      <c r="AL180" s="24"/>
      <c r="AM180" s="24"/>
      <c r="AN180" s="25"/>
      <c r="AO180" s="25"/>
      <c r="AP180" s="25"/>
      <c r="AQ180" s="24"/>
      <c r="AR180" s="24"/>
      <c r="AS180" s="24"/>
      <c r="AT180" s="25"/>
      <c r="AU180" s="25"/>
      <c r="AV180" s="25"/>
      <c r="AW180" s="25"/>
      <c r="AX180" s="25"/>
      <c r="AY180" s="25"/>
      <c r="AZ180" s="25"/>
      <c r="BA180" s="25"/>
      <c r="BB180" s="25"/>
      <c r="BC180" s="25"/>
      <c r="BD180" s="25"/>
      <c r="BE180" s="25"/>
      <c r="BF180" s="25"/>
      <c r="BG180" s="25"/>
      <c r="BH180" s="25"/>
      <c r="BI180" s="25"/>
      <c r="BJ180" s="25"/>
      <c r="BK180" s="25"/>
    </row>
    <row r="181" spans="1:63" ht="28.5" customHeight="1">
      <c r="A181" s="88"/>
      <c r="B181" s="89"/>
      <c r="C181" s="90"/>
      <c r="D181" s="91"/>
      <c r="E181" s="91"/>
      <c r="F181" s="91"/>
      <c r="G181" s="91"/>
      <c r="H181" s="92"/>
      <c r="I181" s="92"/>
      <c r="J181" s="92"/>
      <c r="K181" s="92"/>
      <c r="L181" s="92"/>
      <c r="M181" s="92"/>
      <c r="N181" s="92"/>
      <c r="O181" s="92"/>
      <c r="P181" s="93"/>
      <c r="Q181" s="92"/>
      <c r="R181" s="92"/>
      <c r="S181" s="92"/>
      <c r="T181" s="92"/>
      <c r="U181" s="92"/>
      <c r="V181" s="92"/>
      <c r="W181" s="92"/>
      <c r="X181" s="92"/>
      <c r="Y181" s="92"/>
      <c r="Z181" s="92"/>
      <c r="AA181" s="94"/>
      <c r="AB181" s="95"/>
      <c r="AC181" s="96"/>
      <c r="AD181" s="96"/>
      <c r="AE181" s="96"/>
      <c r="AF181" s="96"/>
      <c r="AG181" s="95"/>
      <c r="AH181" s="95"/>
      <c r="AI181" s="97"/>
      <c r="AJ181" s="25"/>
      <c r="AK181" s="24"/>
      <c r="AL181" s="24"/>
      <c r="AM181" s="24"/>
      <c r="AN181" s="25"/>
      <c r="AO181" s="25"/>
      <c r="AP181" s="25"/>
      <c r="AQ181" s="24"/>
      <c r="AR181" s="24"/>
      <c r="AS181" s="24"/>
      <c r="AT181" s="25"/>
      <c r="AU181" s="25"/>
      <c r="AV181" s="25"/>
      <c r="AW181" s="25"/>
      <c r="AX181" s="25"/>
      <c r="AY181" s="25"/>
      <c r="AZ181" s="25"/>
      <c r="BA181" s="25"/>
      <c r="BB181" s="25"/>
      <c r="BC181" s="25"/>
      <c r="BD181" s="25"/>
      <c r="BE181" s="25"/>
      <c r="BF181" s="25"/>
      <c r="BG181" s="25"/>
      <c r="BH181" s="25"/>
      <c r="BI181" s="25"/>
      <c r="BJ181" s="25"/>
      <c r="BK181" s="25"/>
    </row>
    <row r="182" spans="1:63" ht="28.5" customHeight="1">
      <c r="A182" s="88"/>
      <c r="B182" s="89"/>
      <c r="C182" s="90"/>
      <c r="D182" s="91"/>
      <c r="E182" s="91"/>
      <c r="F182" s="91"/>
      <c r="G182" s="91"/>
      <c r="H182" s="92"/>
      <c r="I182" s="92"/>
      <c r="J182" s="92"/>
      <c r="K182" s="92"/>
      <c r="L182" s="92"/>
      <c r="M182" s="92"/>
      <c r="N182" s="92"/>
      <c r="O182" s="92"/>
      <c r="P182" s="93"/>
      <c r="Q182" s="92"/>
      <c r="R182" s="92"/>
      <c r="S182" s="92"/>
      <c r="T182" s="92"/>
      <c r="U182" s="92"/>
      <c r="V182" s="92"/>
      <c r="W182" s="92"/>
      <c r="X182" s="92"/>
      <c r="Y182" s="92"/>
      <c r="Z182" s="92"/>
      <c r="AA182" s="94"/>
      <c r="AB182" s="95"/>
      <c r="AC182" s="96"/>
      <c r="AD182" s="96"/>
      <c r="AE182" s="96"/>
      <c r="AF182" s="96"/>
      <c r="AG182" s="95"/>
      <c r="AH182" s="95"/>
      <c r="AI182" s="97"/>
      <c r="AJ182" s="25"/>
      <c r="AK182" s="24"/>
      <c r="AL182" s="24"/>
      <c r="AM182" s="24"/>
      <c r="AN182" s="25"/>
      <c r="AO182" s="25"/>
      <c r="AP182" s="25"/>
      <c r="AQ182" s="24"/>
      <c r="AR182" s="24"/>
      <c r="AS182" s="24"/>
      <c r="AT182" s="25"/>
      <c r="AU182" s="25"/>
      <c r="AV182" s="25"/>
      <c r="AW182" s="25"/>
      <c r="AX182" s="25"/>
      <c r="AY182" s="25"/>
      <c r="AZ182" s="25"/>
      <c r="BA182" s="25"/>
      <c r="BB182" s="25"/>
      <c r="BC182" s="25"/>
      <c r="BD182" s="25"/>
      <c r="BE182" s="25"/>
      <c r="BF182" s="25"/>
      <c r="BG182" s="25"/>
      <c r="BH182" s="25"/>
      <c r="BI182" s="25"/>
      <c r="BJ182" s="25"/>
      <c r="BK182" s="25"/>
    </row>
    <row r="183" spans="1:63" ht="28.5" customHeight="1">
      <c r="A183" s="88"/>
      <c r="B183" s="89"/>
      <c r="C183" s="90"/>
      <c r="D183" s="91"/>
      <c r="E183" s="91"/>
      <c r="F183" s="91"/>
      <c r="G183" s="91"/>
      <c r="H183" s="92"/>
      <c r="I183" s="92"/>
      <c r="J183" s="92"/>
      <c r="K183" s="92"/>
      <c r="L183" s="92"/>
      <c r="M183" s="92"/>
      <c r="N183" s="92"/>
      <c r="O183" s="92"/>
      <c r="P183" s="93"/>
      <c r="Q183" s="92"/>
      <c r="R183" s="92"/>
      <c r="S183" s="92"/>
      <c r="T183" s="92"/>
      <c r="U183" s="92"/>
      <c r="V183" s="92"/>
      <c r="W183" s="92"/>
      <c r="X183" s="92"/>
      <c r="Y183" s="92"/>
      <c r="Z183" s="92"/>
      <c r="AA183" s="94"/>
      <c r="AB183" s="95"/>
      <c r="AC183" s="96"/>
      <c r="AD183" s="96"/>
      <c r="AE183" s="96"/>
      <c r="AF183" s="96"/>
      <c r="AG183" s="95"/>
      <c r="AH183" s="95"/>
      <c r="AI183" s="97"/>
      <c r="AJ183" s="25"/>
      <c r="AK183" s="24"/>
      <c r="AL183" s="24"/>
      <c r="AM183" s="24"/>
      <c r="AN183" s="25"/>
      <c r="AO183" s="25"/>
      <c r="AP183" s="25"/>
      <c r="AQ183" s="24"/>
      <c r="AR183" s="24"/>
      <c r="AS183" s="24"/>
      <c r="AT183" s="25"/>
      <c r="AU183" s="25"/>
      <c r="AV183" s="25"/>
      <c r="AW183" s="25"/>
      <c r="AX183" s="25"/>
      <c r="AY183" s="25"/>
      <c r="AZ183" s="25"/>
      <c r="BA183" s="25"/>
      <c r="BB183" s="25"/>
      <c r="BC183" s="25"/>
      <c r="BD183" s="25"/>
      <c r="BE183" s="25"/>
      <c r="BF183" s="25"/>
      <c r="BG183" s="25"/>
      <c r="BH183" s="25"/>
      <c r="BI183" s="25"/>
      <c r="BJ183" s="25"/>
      <c r="BK183" s="25"/>
    </row>
    <row r="184" spans="1:63" ht="28.5" customHeight="1">
      <c r="A184" s="88"/>
      <c r="B184" s="89"/>
      <c r="C184" s="90"/>
      <c r="D184" s="91"/>
      <c r="E184" s="91"/>
      <c r="F184" s="91"/>
      <c r="G184" s="91"/>
      <c r="H184" s="92"/>
      <c r="I184" s="92"/>
      <c r="J184" s="92"/>
      <c r="K184" s="92"/>
      <c r="L184" s="92"/>
      <c r="M184" s="92"/>
      <c r="N184" s="92"/>
      <c r="O184" s="92"/>
      <c r="P184" s="93"/>
      <c r="Q184" s="92"/>
      <c r="R184" s="92"/>
      <c r="S184" s="92"/>
      <c r="T184" s="92"/>
      <c r="U184" s="92"/>
      <c r="V184" s="92"/>
      <c r="W184" s="92"/>
      <c r="X184" s="92"/>
      <c r="Y184" s="92"/>
      <c r="Z184" s="92"/>
      <c r="AA184" s="94"/>
      <c r="AB184" s="95"/>
      <c r="AC184" s="96"/>
      <c r="AD184" s="96"/>
      <c r="AE184" s="96"/>
      <c r="AF184" s="96"/>
      <c r="AG184" s="95"/>
      <c r="AH184" s="95"/>
      <c r="AI184" s="97"/>
      <c r="AJ184" s="25"/>
      <c r="AK184" s="24"/>
      <c r="AL184" s="24"/>
      <c r="AM184" s="24"/>
      <c r="AN184" s="25"/>
      <c r="AO184" s="25"/>
      <c r="AP184" s="25"/>
      <c r="AQ184" s="24"/>
      <c r="AR184" s="24"/>
      <c r="AS184" s="24"/>
      <c r="AT184" s="25"/>
      <c r="AU184" s="25"/>
      <c r="AV184" s="25"/>
      <c r="AW184" s="25"/>
      <c r="AX184" s="25"/>
      <c r="AY184" s="25"/>
      <c r="AZ184" s="25"/>
      <c r="BA184" s="25"/>
      <c r="BB184" s="25"/>
      <c r="BC184" s="25"/>
      <c r="BD184" s="25"/>
      <c r="BE184" s="25"/>
      <c r="BF184" s="25"/>
      <c r="BG184" s="25"/>
      <c r="BH184" s="25"/>
      <c r="BI184" s="25"/>
      <c r="BJ184" s="25"/>
      <c r="BK184" s="25"/>
    </row>
    <row r="185" spans="1:63" ht="28.5" customHeight="1">
      <c r="A185" s="88"/>
      <c r="B185" s="89"/>
      <c r="C185" s="90"/>
      <c r="D185" s="91"/>
      <c r="E185" s="91"/>
      <c r="F185" s="91"/>
      <c r="G185" s="91"/>
      <c r="H185" s="92"/>
      <c r="I185" s="92"/>
      <c r="J185" s="92"/>
      <c r="K185" s="92"/>
      <c r="L185" s="92"/>
      <c r="M185" s="92"/>
      <c r="N185" s="92"/>
      <c r="O185" s="92"/>
      <c r="P185" s="93"/>
      <c r="Q185" s="92"/>
      <c r="R185" s="92"/>
      <c r="S185" s="92"/>
      <c r="T185" s="92"/>
      <c r="U185" s="92"/>
      <c r="V185" s="92"/>
      <c r="W185" s="92"/>
      <c r="X185" s="92"/>
      <c r="Y185" s="92"/>
      <c r="Z185" s="92"/>
      <c r="AA185" s="94"/>
      <c r="AB185" s="95"/>
      <c r="AC185" s="96"/>
      <c r="AD185" s="96"/>
      <c r="AE185" s="96"/>
      <c r="AF185" s="96"/>
      <c r="AG185" s="95"/>
      <c r="AH185" s="95"/>
      <c r="AI185" s="97"/>
      <c r="AJ185" s="25"/>
      <c r="AK185" s="24"/>
      <c r="AL185" s="24"/>
      <c r="AM185" s="24"/>
      <c r="AN185" s="25"/>
      <c r="AO185" s="25"/>
      <c r="AP185" s="25"/>
      <c r="AQ185" s="24"/>
      <c r="AR185" s="24"/>
      <c r="AS185" s="24"/>
      <c r="AT185" s="25"/>
      <c r="AU185" s="25"/>
      <c r="AV185" s="25"/>
      <c r="AW185" s="25"/>
      <c r="AX185" s="25"/>
      <c r="AY185" s="25"/>
      <c r="AZ185" s="25"/>
      <c r="BA185" s="25"/>
      <c r="BB185" s="25"/>
      <c r="BC185" s="25"/>
      <c r="BD185" s="25"/>
      <c r="BE185" s="25"/>
      <c r="BF185" s="25"/>
      <c r="BG185" s="25"/>
      <c r="BH185" s="25"/>
      <c r="BI185" s="25"/>
      <c r="BJ185" s="25"/>
      <c r="BK185" s="25"/>
    </row>
    <row r="186" spans="1:63" ht="28.5" customHeight="1">
      <c r="A186" s="88"/>
      <c r="B186" s="89"/>
      <c r="C186" s="90"/>
      <c r="D186" s="91"/>
      <c r="E186" s="91"/>
      <c r="F186" s="91"/>
      <c r="G186" s="91"/>
      <c r="H186" s="92"/>
      <c r="I186" s="92"/>
      <c r="J186" s="92"/>
      <c r="K186" s="92"/>
      <c r="L186" s="92"/>
      <c r="M186" s="92"/>
      <c r="N186" s="92"/>
      <c r="O186" s="92"/>
      <c r="P186" s="93"/>
      <c r="Q186" s="92"/>
      <c r="R186" s="92"/>
      <c r="S186" s="92"/>
      <c r="T186" s="92"/>
      <c r="U186" s="92"/>
      <c r="V186" s="92"/>
      <c r="W186" s="92"/>
      <c r="X186" s="92"/>
      <c r="Y186" s="92"/>
      <c r="Z186" s="92"/>
      <c r="AA186" s="94"/>
      <c r="AB186" s="95"/>
      <c r="AC186" s="96"/>
      <c r="AD186" s="96"/>
      <c r="AE186" s="96"/>
      <c r="AF186" s="96"/>
      <c r="AG186" s="95"/>
      <c r="AH186" s="95"/>
      <c r="AI186" s="97"/>
      <c r="AJ186" s="25"/>
      <c r="AK186" s="24"/>
      <c r="AL186" s="24"/>
      <c r="AM186" s="24"/>
      <c r="AN186" s="25"/>
      <c r="AO186" s="25"/>
      <c r="AP186" s="25"/>
      <c r="AQ186" s="24"/>
      <c r="AR186" s="24"/>
      <c r="AS186" s="24"/>
      <c r="AT186" s="25"/>
      <c r="AU186" s="25"/>
      <c r="AV186" s="25"/>
      <c r="AW186" s="25"/>
      <c r="AX186" s="25"/>
      <c r="AY186" s="25"/>
      <c r="AZ186" s="25"/>
      <c r="BA186" s="25"/>
      <c r="BB186" s="25"/>
      <c r="BC186" s="25"/>
      <c r="BD186" s="25"/>
      <c r="BE186" s="25"/>
      <c r="BF186" s="25"/>
      <c r="BG186" s="25"/>
      <c r="BH186" s="25"/>
      <c r="BI186" s="25"/>
      <c r="BJ186" s="25"/>
      <c r="BK186" s="25"/>
    </row>
    <row r="187" spans="1:63" ht="28.5" customHeight="1">
      <c r="A187" s="88"/>
      <c r="B187" s="89"/>
      <c r="C187" s="90"/>
      <c r="D187" s="91"/>
      <c r="E187" s="91"/>
      <c r="F187" s="91"/>
      <c r="G187" s="91"/>
      <c r="H187" s="92"/>
      <c r="I187" s="92"/>
      <c r="J187" s="92"/>
      <c r="K187" s="92"/>
      <c r="L187" s="92"/>
      <c r="M187" s="92"/>
      <c r="N187" s="92"/>
      <c r="O187" s="92"/>
      <c r="P187" s="93"/>
      <c r="Q187" s="92"/>
      <c r="R187" s="92"/>
      <c r="S187" s="92"/>
      <c r="T187" s="92"/>
      <c r="U187" s="92"/>
      <c r="V187" s="92"/>
      <c r="W187" s="92"/>
      <c r="X187" s="92"/>
      <c r="Y187" s="92"/>
      <c r="Z187" s="92"/>
      <c r="AA187" s="94"/>
      <c r="AB187" s="95"/>
      <c r="AC187" s="96"/>
      <c r="AD187" s="96"/>
      <c r="AE187" s="96"/>
      <c r="AF187" s="96"/>
      <c r="AG187" s="95"/>
      <c r="AH187" s="95"/>
      <c r="AI187" s="97"/>
      <c r="AJ187" s="25"/>
      <c r="AK187" s="24"/>
      <c r="AL187" s="24"/>
      <c r="AM187" s="24"/>
      <c r="AN187" s="25"/>
      <c r="AO187" s="25"/>
      <c r="AP187" s="25"/>
      <c r="AQ187" s="24"/>
      <c r="AR187" s="24"/>
      <c r="AS187" s="24"/>
      <c r="AT187" s="25"/>
      <c r="AU187" s="25"/>
      <c r="AV187" s="25"/>
      <c r="AW187" s="25"/>
      <c r="AX187" s="25"/>
      <c r="AY187" s="25"/>
      <c r="AZ187" s="25"/>
      <c r="BA187" s="25"/>
      <c r="BB187" s="25"/>
      <c r="BC187" s="25"/>
      <c r="BD187" s="25"/>
      <c r="BE187" s="25"/>
      <c r="BF187" s="25"/>
      <c r="BG187" s="25"/>
      <c r="BH187" s="25"/>
      <c r="BI187" s="25"/>
      <c r="BJ187" s="25"/>
      <c r="BK187" s="25"/>
    </row>
    <row r="188" spans="1:63" ht="28.5" customHeight="1">
      <c r="A188" s="88"/>
      <c r="B188" s="89"/>
      <c r="C188" s="90"/>
      <c r="D188" s="91"/>
      <c r="E188" s="91"/>
      <c r="F188" s="91"/>
      <c r="G188" s="91"/>
      <c r="H188" s="92"/>
      <c r="I188" s="92"/>
      <c r="J188" s="92"/>
      <c r="K188" s="92"/>
      <c r="L188" s="92"/>
      <c r="M188" s="92"/>
      <c r="N188" s="92"/>
      <c r="O188" s="92"/>
      <c r="P188" s="93"/>
      <c r="Q188" s="92"/>
      <c r="R188" s="92"/>
      <c r="S188" s="92"/>
      <c r="T188" s="92"/>
      <c r="U188" s="92"/>
      <c r="V188" s="92"/>
      <c r="W188" s="92"/>
      <c r="X188" s="92"/>
      <c r="Y188" s="92"/>
      <c r="Z188" s="92"/>
      <c r="AA188" s="94"/>
      <c r="AB188" s="95"/>
      <c r="AC188" s="96"/>
      <c r="AD188" s="96"/>
      <c r="AE188" s="96"/>
      <c r="AF188" s="96"/>
      <c r="AG188" s="95"/>
      <c r="AH188" s="95"/>
      <c r="AI188" s="97"/>
      <c r="AJ188" s="25"/>
      <c r="AK188" s="24"/>
      <c r="AL188" s="24"/>
      <c r="AM188" s="24"/>
      <c r="AN188" s="25"/>
      <c r="AO188" s="25"/>
      <c r="AP188" s="25"/>
      <c r="AQ188" s="24"/>
      <c r="AR188" s="24"/>
      <c r="AS188" s="24"/>
      <c r="AT188" s="25"/>
      <c r="AU188" s="25"/>
      <c r="AV188" s="25"/>
      <c r="AW188" s="25"/>
      <c r="AX188" s="25"/>
      <c r="AY188" s="25"/>
      <c r="AZ188" s="25"/>
      <c r="BA188" s="25"/>
      <c r="BB188" s="25"/>
      <c r="BC188" s="25"/>
      <c r="BD188" s="25"/>
      <c r="BE188" s="25"/>
      <c r="BF188" s="25"/>
      <c r="BG188" s="25"/>
      <c r="BH188" s="25"/>
      <c r="BI188" s="25"/>
      <c r="BJ188" s="25"/>
      <c r="BK188" s="25"/>
    </row>
    <row r="189" spans="1:63" ht="28.5" customHeight="1">
      <c r="A189" s="88"/>
      <c r="B189" s="89"/>
      <c r="C189" s="90"/>
      <c r="D189" s="91"/>
      <c r="E189" s="91"/>
      <c r="F189" s="91"/>
      <c r="G189" s="91"/>
      <c r="H189" s="92"/>
      <c r="I189" s="92"/>
      <c r="J189" s="92"/>
      <c r="K189" s="92"/>
      <c r="L189" s="92"/>
      <c r="M189" s="92"/>
      <c r="N189" s="92"/>
      <c r="O189" s="92"/>
      <c r="P189" s="93"/>
      <c r="Q189" s="92"/>
      <c r="R189" s="92"/>
      <c r="S189" s="92"/>
      <c r="T189" s="92"/>
      <c r="U189" s="92"/>
      <c r="V189" s="92"/>
      <c r="W189" s="92"/>
      <c r="X189" s="92"/>
      <c r="Y189" s="92"/>
      <c r="Z189" s="92"/>
      <c r="AA189" s="94"/>
      <c r="AB189" s="95"/>
      <c r="AC189" s="96"/>
      <c r="AD189" s="96"/>
      <c r="AE189" s="96"/>
      <c r="AF189" s="96"/>
      <c r="AG189" s="95"/>
      <c r="AH189" s="95"/>
      <c r="AI189" s="97"/>
      <c r="AJ189" s="25"/>
      <c r="AK189" s="24"/>
      <c r="AL189" s="24"/>
      <c r="AM189" s="24"/>
      <c r="AN189" s="25"/>
      <c r="AO189" s="25"/>
      <c r="AP189" s="25"/>
      <c r="AQ189" s="24"/>
      <c r="AR189" s="24"/>
      <c r="AS189" s="24"/>
      <c r="AT189" s="25"/>
      <c r="AU189" s="25"/>
      <c r="AV189" s="25"/>
      <c r="AW189" s="25"/>
      <c r="AX189" s="25"/>
      <c r="AY189" s="25"/>
      <c r="AZ189" s="25"/>
      <c r="BA189" s="25"/>
      <c r="BB189" s="25"/>
      <c r="BC189" s="25"/>
      <c r="BD189" s="25"/>
      <c r="BE189" s="25"/>
      <c r="BF189" s="25"/>
      <c r="BG189" s="25"/>
      <c r="BH189" s="25"/>
      <c r="BI189" s="25"/>
      <c r="BJ189" s="25"/>
      <c r="BK189" s="25"/>
    </row>
    <row r="190" spans="1:63" ht="28.5" customHeight="1">
      <c r="A190" s="88"/>
      <c r="B190" s="89"/>
      <c r="C190" s="90"/>
      <c r="D190" s="91"/>
      <c r="E190" s="91"/>
      <c r="F190" s="91"/>
      <c r="G190" s="91"/>
      <c r="H190" s="92"/>
      <c r="I190" s="92"/>
      <c r="J190" s="92"/>
      <c r="K190" s="92"/>
      <c r="L190" s="92"/>
      <c r="M190" s="92"/>
      <c r="N190" s="92"/>
      <c r="O190" s="92"/>
      <c r="P190" s="93"/>
      <c r="Q190" s="92"/>
      <c r="R190" s="92"/>
      <c r="S190" s="92"/>
      <c r="T190" s="92"/>
      <c r="U190" s="92"/>
      <c r="V190" s="92"/>
      <c r="W190" s="92"/>
      <c r="X190" s="92"/>
      <c r="Y190" s="92"/>
      <c r="Z190" s="92"/>
      <c r="AA190" s="94"/>
      <c r="AB190" s="95"/>
      <c r="AC190" s="96"/>
      <c r="AD190" s="96"/>
      <c r="AE190" s="96"/>
      <c r="AF190" s="96"/>
      <c r="AG190" s="95"/>
      <c r="AH190" s="95"/>
      <c r="AI190" s="97"/>
      <c r="AJ190" s="25"/>
      <c r="AK190" s="24"/>
      <c r="AL190" s="24"/>
      <c r="AM190" s="24"/>
      <c r="AN190" s="25"/>
      <c r="AO190" s="25"/>
      <c r="AP190" s="25"/>
      <c r="AQ190" s="24"/>
      <c r="AR190" s="24"/>
      <c r="AS190" s="24"/>
      <c r="AT190" s="25"/>
      <c r="AU190" s="25"/>
      <c r="AV190" s="25"/>
      <c r="AW190" s="25"/>
      <c r="AX190" s="25"/>
      <c r="AY190" s="25"/>
      <c r="AZ190" s="25"/>
      <c r="BA190" s="25"/>
      <c r="BB190" s="25"/>
      <c r="BC190" s="25"/>
      <c r="BD190" s="25"/>
      <c r="BE190" s="25"/>
      <c r="BF190" s="25"/>
      <c r="BG190" s="25"/>
      <c r="BH190" s="25"/>
      <c r="BI190" s="25"/>
      <c r="BJ190" s="25"/>
      <c r="BK190" s="25"/>
    </row>
    <row r="191" spans="1:63" ht="28.5" customHeight="1">
      <c r="A191" s="88"/>
      <c r="B191" s="89"/>
      <c r="C191" s="90"/>
      <c r="D191" s="91"/>
      <c r="E191" s="91"/>
      <c r="F191" s="91"/>
      <c r="G191" s="91"/>
      <c r="H191" s="92"/>
      <c r="I191" s="92"/>
      <c r="J191" s="92"/>
      <c r="K191" s="92"/>
      <c r="L191" s="92"/>
      <c r="M191" s="92"/>
      <c r="N191" s="92"/>
      <c r="O191" s="92"/>
      <c r="P191" s="93"/>
      <c r="Q191" s="92"/>
      <c r="R191" s="92"/>
      <c r="S191" s="92"/>
      <c r="T191" s="92"/>
      <c r="U191" s="92"/>
      <c r="V191" s="92"/>
      <c r="W191" s="92"/>
      <c r="X191" s="92"/>
      <c r="Y191" s="92"/>
      <c r="Z191" s="92"/>
      <c r="AA191" s="94"/>
      <c r="AB191" s="95"/>
      <c r="AC191" s="96"/>
      <c r="AD191" s="96"/>
      <c r="AE191" s="96"/>
      <c r="AF191" s="96"/>
      <c r="AG191" s="95"/>
      <c r="AH191" s="95"/>
      <c r="AI191" s="97"/>
      <c r="AJ191" s="25"/>
      <c r="AK191" s="24"/>
      <c r="AL191" s="24"/>
      <c r="AM191" s="24"/>
      <c r="AN191" s="25"/>
      <c r="AO191" s="25"/>
      <c r="AP191" s="25"/>
      <c r="AQ191" s="24"/>
      <c r="AR191" s="24"/>
      <c r="AS191" s="24"/>
      <c r="AT191" s="25"/>
      <c r="AU191" s="25"/>
      <c r="AV191" s="25"/>
      <c r="AW191" s="25"/>
      <c r="AX191" s="25"/>
      <c r="AY191" s="25"/>
      <c r="AZ191" s="25"/>
      <c r="BA191" s="25"/>
      <c r="BB191" s="25"/>
      <c r="BC191" s="25"/>
      <c r="BD191" s="25"/>
      <c r="BE191" s="25"/>
      <c r="BF191" s="25"/>
      <c r="BG191" s="25"/>
      <c r="BH191" s="25"/>
      <c r="BI191" s="25"/>
      <c r="BJ191" s="25"/>
      <c r="BK191" s="25"/>
    </row>
    <row r="192" spans="1:63" ht="28.5" customHeight="1">
      <c r="A192" s="88"/>
      <c r="B192" s="89"/>
      <c r="C192" s="90"/>
      <c r="D192" s="91"/>
      <c r="E192" s="91"/>
      <c r="F192" s="91"/>
      <c r="G192" s="91"/>
      <c r="H192" s="92"/>
      <c r="I192" s="92"/>
      <c r="J192" s="92"/>
      <c r="K192" s="92"/>
      <c r="L192" s="92"/>
      <c r="M192" s="92"/>
      <c r="N192" s="92"/>
      <c r="O192" s="92"/>
      <c r="P192" s="93"/>
      <c r="Q192" s="92"/>
      <c r="R192" s="92"/>
      <c r="S192" s="92"/>
      <c r="T192" s="92"/>
      <c r="U192" s="92"/>
      <c r="V192" s="92"/>
      <c r="W192" s="92"/>
      <c r="X192" s="92"/>
      <c r="Y192" s="92"/>
      <c r="Z192" s="92"/>
      <c r="AA192" s="94"/>
      <c r="AB192" s="95"/>
      <c r="AC192" s="96"/>
      <c r="AD192" s="96"/>
      <c r="AE192" s="96"/>
      <c r="AF192" s="96"/>
      <c r="AG192" s="95"/>
      <c r="AH192" s="95"/>
      <c r="AI192" s="97"/>
      <c r="AJ192" s="25"/>
      <c r="AK192" s="24"/>
      <c r="AL192" s="24"/>
      <c r="AM192" s="24"/>
      <c r="AN192" s="25"/>
      <c r="AO192" s="25"/>
      <c r="AP192" s="25"/>
      <c r="AQ192" s="24"/>
      <c r="AR192" s="24"/>
      <c r="AS192" s="24"/>
      <c r="AT192" s="25"/>
      <c r="AU192" s="25"/>
      <c r="AV192" s="25"/>
      <c r="AW192" s="25"/>
      <c r="AX192" s="25"/>
      <c r="AY192" s="25"/>
      <c r="AZ192" s="25"/>
      <c r="BA192" s="25"/>
      <c r="BB192" s="25"/>
      <c r="BC192" s="25"/>
      <c r="BD192" s="25"/>
      <c r="BE192" s="25"/>
      <c r="BF192" s="25"/>
      <c r="BG192" s="25"/>
      <c r="BH192" s="25"/>
      <c r="BI192" s="25"/>
      <c r="BJ192" s="25"/>
      <c r="BK192" s="25"/>
    </row>
    <row r="193" spans="1:64" ht="28.5" customHeight="1" thickBot="1">
      <c r="A193" s="88"/>
      <c r="B193" s="89"/>
      <c r="C193" s="90"/>
      <c r="D193" s="91"/>
      <c r="E193" s="91"/>
      <c r="F193" s="91"/>
      <c r="G193" s="91"/>
      <c r="H193" s="92"/>
      <c r="I193" s="92"/>
      <c r="J193" s="92"/>
      <c r="K193" s="92"/>
      <c r="L193" s="92"/>
      <c r="M193" s="92"/>
      <c r="N193" s="92"/>
      <c r="O193" s="92"/>
      <c r="P193" s="93"/>
      <c r="Q193" s="92"/>
      <c r="R193" s="92"/>
      <c r="S193" s="92"/>
      <c r="T193" s="92"/>
      <c r="U193" s="92"/>
      <c r="V193" s="92"/>
      <c r="W193" s="92"/>
      <c r="X193" s="92"/>
      <c r="Y193" s="92"/>
      <c r="Z193" s="92"/>
      <c r="AA193" s="94"/>
      <c r="AB193" s="95"/>
      <c r="AC193" s="96"/>
      <c r="AD193" s="96"/>
      <c r="AE193" s="96"/>
      <c r="AF193" s="96"/>
      <c r="AG193" s="95"/>
      <c r="AH193" s="95"/>
      <c r="AI193" s="97"/>
      <c r="AJ193" s="25"/>
      <c r="AK193" s="24"/>
      <c r="AL193" s="24"/>
      <c r="AM193" s="24"/>
      <c r="AN193" s="25"/>
      <c r="AO193" s="25"/>
      <c r="AP193" s="25"/>
      <c r="AQ193" s="24"/>
      <c r="AR193" s="24"/>
      <c r="AS193" s="24"/>
      <c r="AT193" s="25"/>
      <c r="AU193" s="25"/>
      <c r="AV193" s="25"/>
      <c r="AW193" s="25"/>
      <c r="AX193" s="25"/>
      <c r="AY193" s="25"/>
      <c r="AZ193" s="25"/>
      <c r="BA193" s="25"/>
      <c r="BB193" s="25"/>
      <c r="BC193" s="25"/>
      <c r="BD193" s="25"/>
      <c r="BE193" s="25"/>
      <c r="BF193" s="25"/>
      <c r="BG193" s="25"/>
      <c r="BH193" s="25"/>
      <c r="BI193" s="25"/>
      <c r="BJ193" s="25"/>
      <c r="BK193" s="25"/>
    </row>
    <row r="194" spans="1:64" ht="28.5" customHeight="1">
      <c r="A194" s="107" t="s">
        <v>71</v>
      </c>
      <c r="B194" s="108"/>
      <c r="C194" s="109"/>
      <c r="D194" s="110" t="s">
        <v>0</v>
      </c>
      <c r="E194" s="110" t="s">
        <v>1</v>
      </c>
      <c r="F194" s="110" t="s">
        <v>2</v>
      </c>
      <c r="G194" s="110" t="s">
        <v>11</v>
      </c>
      <c r="H194" s="10" t="s">
        <v>13</v>
      </c>
      <c r="I194" s="111" t="s">
        <v>15</v>
      </c>
      <c r="J194" s="112" t="s">
        <v>16</v>
      </c>
      <c r="K194" s="112" t="s">
        <v>17</v>
      </c>
      <c r="L194" s="112" t="s">
        <v>18</v>
      </c>
      <c r="M194" s="112" t="s">
        <v>21</v>
      </c>
      <c r="N194" s="7" t="s">
        <v>22</v>
      </c>
      <c r="O194" s="7" t="s">
        <v>23</v>
      </c>
      <c r="P194" s="113" t="s">
        <v>24</v>
      </c>
      <c r="Q194" s="114" t="s">
        <v>26</v>
      </c>
      <c r="R194" s="114" t="s">
        <v>72</v>
      </c>
      <c r="S194" s="114" t="s">
        <v>73</v>
      </c>
      <c r="T194" s="114" t="s">
        <v>74</v>
      </c>
      <c r="U194" s="114" t="s">
        <v>27</v>
      </c>
      <c r="V194" s="115" t="s">
        <v>28</v>
      </c>
      <c r="W194" s="115" t="s">
        <v>26</v>
      </c>
      <c r="X194" s="115" t="s">
        <v>29</v>
      </c>
      <c r="Y194" s="115" t="s">
        <v>31</v>
      </c>
      <c r="Z194" s="116" t="s">
        <v>32</v>
      </c>
      <c r="AA194" s="117"/>
      <c r="AB194" s="118"/>
      <c r="AC194" s="119"/>
      <c r="AD194" s="119"/>
      <c r="AE194" s="119"/>
      <c r="AF194" s="119"/>
      <c r="AG194" s="118"/>
      <c r="AH194" s="118"/>
      <c r="AI194" s="119"/>
      <c r="AJ194" s="120"/>
      <c r="AK194" s="121"/>
      <c r="AL194" s="121"/>
      <c r="AM194" s="121"/>
      <c r="AN194" s="120"/>
      <c r="AO194" s="120"/>
      <c r="AP194" s="120"/>
      <c r="AQ194" s="121"/>
      <c r="AR194" s="121"/>
      <c r="AS194" s="121"/>
      <c r="AT194" s="120"/>
      <c r="AU194" s="120"/>
      <c r="AV194" s="120"/>
      <c r="AW194" s="120"/>
      <c r="AX194" s="120"/>
      <c r="AY194" s="120"/>
      <c r="AZ194" s="120"/>
      <c r="BA194" s="120"/>
      <c r="BB194" s="120"/>
      <c r="BC194" s="120"/>
      <c r="BD194" s="120"/>
      <c r="BE194" s="120"/>
      <c r="BF194" s="120"/>
      <c r="BG194" s="120"/>
      <c r="BH194" s="120"/>
      <c r="BI194" s="120"/>
      <c r="BJ194" s="120"/>
      <c r="BK194" s="120"/>
      <c r="BL194" s="122"/>
    </row>
    <row r="195" spans="1:64" ht="28.5" customHeight="1">
      <c r="A195" s="123"/>
      <c r="B195" s="124"/>
      <c r="C195" s="125">
        <v>45931</v>
      </c>
      <c r="D195" s="126" t="e">
        <f t="shared" ref="D195:D226" si="236">Z195/L195</f>
        <v>#REF!</v>
      </c>
      <c r="E195" s="28" t="e">
        <f t="shared" ref="E195:E225" si="237">Y195/L195</f>
        <v>#REF!</v>
      </c>
      <c r="F195" s="30" t="e">
        <f t="shared" ref="F195:F225" si="238">(N195+P195)/L195</f>
        <v>#REF!</v>
      </c>
      <c r="G195" s="36" t="e">
        <f>#REF!</f>
        <v>#REF!</v>
      </c>
      <c r="H195" s="36" t="e">
        <f>#REF!</f>
        <v>#REF!</v>
      </c>
      <c r="I195" s="36" t="e">
        <f t="shared" ref="I195:K195" si="239">#REF!</f>
        <v>#REF!</v>
      </c>
      <c r="J195" s="36" t="e">
        <f t="shared" ref="J195:L195" si="240">#REF!</f>
        <v>#REF!</v>
      </c>
      <c r="K195" s="36" t="e">
        <f t="shared" ref="K195:M195" si="241">#REF!</f>
        <v>#REF!</v>
      </c>
      <c r="L195" s="39" t="e">
        <f t="shared" ref="L195:L224" si="242">J195-K195</f>
        <v>#REF!</v>
      </c>
      <c r="M195" s="36" t="e">
        <f>#REF!</f>
        <v>#REF!</v>
      </c>
      <c r="N195" s="39">
        <f t="shared" ref="N195:N224" si="243">O195*1.1</f>
        <v>1334943.5</v>
      </c>
      <c r="O195" s="127">
        <v>1213585</v>
      </c>
      <c r="P195" s="36" t="e">
        <f>#REF!</f>
        <v>#REF!</v>
      </c>
      <c r="Q195" s="128">
        <v>0.09</v>
      </c>
      <c r="R195" s="36"/>
      <c r="S195" s="36"/>
      <c r="T195" s="36"/>
      <c r="U195" s="36" t="e">
        <f>#REF!</f>
        <v>#REF!</v>
      </c>
      <c r="V195" s="28" t="e">
        <f t="shared" ref="V195:V226" si="244">Q195+(U195/L195)</f>
        <v>#REF!</v>
      </c>
      <c r="W195" s="39" t="e">
        <f t="shared" ref="W195:X195" si="245">#REF!</f>
        <v>#REF!</v>
      </c>
      <c r="X195" s="39" t="e">
        <f t="shared" ref="X195:Y195" si="246">#REF!</f>
        <v>#REF!</v>
      </c>
      <c r="Y195" s="39" t="e">
        <f t="shared" ref="Y195:Y226" si="247">L195-(M195+W195+X195)</f>
        <v>#REF!</v>
      </c>
      <c r="Z195" s="129" t="e">
        <f t="shared" ref="Z195:Z224" si="248">Y195-N195-P195</f>
        <v>#REF!</v>
      </c>
      <c r="AA195" s="123"/>
      <c r="AB195" s="123"/>
      <c r="AC195" s="123"/>
      <c r="AD195" s="123"/>
      <c r="AE195" s="123"/>
      <c r="AF195" s="123"/>
      <c r="AG195" s="123"/>
      <c r="AH195" s="123"/>
      <c r="AI195" s="123"/>
      <c r="AJ195" s="123"/>
      <c r="AK195" s="123"/>
      <c r="AL195" s="123"/>
      <c r="AM195" s="123"/>
      <c r="AN195" s="123"/>
      <c r="AO195" s="123"/>
      <c r="AP195" s="123"/>
      <c r="AQ195" s="123"/>
      <c r="AR195" s="123"/>
      <c r="AS195" s="123"/>
      <c r="AT195" s="25"/>
      <c r="AU195" s="25"/>
      <c r="AV195" s="25"/>
      <c r="AW195" s="25"/>
      <c r="AX195" s="25"/>
      <c r="AY195" s="25"/>
      <c r="AZ195" s="25"/>
      <c r="BA195" s="25"/>
      <c r="BB195" s="25"/>
      <c r="BC195" s="25"/>
      <c r="BD195" s="25"/>
      <c r="BE195" s="25"/>
      <c r="BF195" s="25"/>
      <c r="BG195" s="25"/>
      <c r="BH195" s="25"/>
      <c r="BI195" s="25"/>
      <c r="BJ195" s="25"/>
      <c r="BK195" s="25"/>
    </row>
    <row r="196" spans="1:64" ht="28.5" customHeight="1">
      <c r="A196" s="123"/>
      <c r="B196" s="124"/>
      <c r="C196" s="125">
        <v>45932</v>
      </c>
      <c r="D196" s="126" t="e">
        <f t="shared" si="236"/>
        <v>#REF!</v>
      </c>
      <c r="E196" s="28" t="e">
        <f t="shared" si="237"/>
        <v>#REF!</v>
      </c>
      <c r="F196" s="30" t="e">
        <f t="shared" si="238"/>
        <v>#REF!</v>
      </c>
      <c r="G196" s="36" t="e">
        <f>#REF!</f>
        <v>#REF!</v>
      </c>
      <c r="H196" s="36" t="e">
        <f>#REF!</f>
        <v>#REF!</v>
      </c>
      <c r="I196" s="36" t="e">
        <f t="shared" ref="I196:K196" si="249">#REF!</f>
        <v>#REF!</v>
      </c>
      <c r="J196" s="36" t="e">
        <f t="shared" ref="J196:L196" si="250">#REF!</f>
        <v>#REF!</v>
      </c>
      <c r="K196" s="36" t="e">
        <f t="shared" ref="K196:M196" si="251">#REF!</f>
        <v>#REF!</v>
      </c>
      <c r="L196" s="39" t="e">
        <f t="shared" si="242"/>
        <v>#REF!</v>
      </c>
      <c r="M196" s="36" t="e">
        <f>#REF!</f>
        <v>#REF!</v>
      </c>
      <c r="N196" s="39">
        <f t="shared" si="243"/>
        <v>1605986.8</v>
      </c>
      <c r="O196" s="36">
        <v>1459988</v>
      </c>
      <c r="P196" s="36" t="e">
        <f>#REF!</f>
        <v>#REF!</v>
      </c>
      <c r="Q196" s="128">
        <v>0.09</v>
      </c>
      <c r="R196" s="36"/>
      <c r="S196" s="36"/>
      <c r="T196" s="36"/>
      <c r="U196" s="36" t="e">
        <f>#REF!</f>
        <v>#REF!</v>
      </c>
      <c r="V196" s="28" t="e">
        <f t="shared" si="244"/>
        <v>#REF!</v>
      </c>
      <c r="W196" s="39" t="e">
        <f t="shared" ref="W196:X196" si="252">#REF!</f>
        <v>#REF!</v>
      </c>
      <c r="X196" s="39" t="e">
        <f t="shared" ref="X196:Y196" si="253">#REF!</f>
        <v>#REF!</v>
      </c>
      <c r="Y196" s="39" t="e">
        <f t="shared" si="247"/>
        <v>#REF!</v>
      </c>
      <c r="Z196" s="129" t="e">
        <f t="shared" si="248"/>
        <v>#REF!</v>
      </c>
      <c r="AA196" s="123"/>
      <c r="AB196" s="123"/>
      <c r="AC196" s="123"/>
      <c r="AD196" s="123"/>
      <c r="AE196" s="123"/>
      <c r="AF196" s="123"/>
      <c r="AG196" s="123"/>
      <c r="AH196" s="123"/>
      <c r="AI196" s="123"/>
      <c r="AJ196" s="123"/>
      <c r="AK196" s="123"/>
      <c r="AL196" s="123"/>
      <c r="AM196" s="123"/>
      <c r="AN196" s="123"/>
      <c r="AO196" s="123"/>
      <c r="AP196" s="123"/>
      <c r="AQ196" s="123"/>
      <c r="AR196" s="123"/>
      <c r="AS196" s="123"/>
      <c r="AT196" s="25"/>
      <c r="AU196" s="25"/>
      <c r="AV196" s="25"/>
      <c r="AW196" s="25"/>
      <c r="AX196" s="25"/>
      <c r="AY196" s="25"/>
      <c r="AZ196" s="25"/>
      <c r="BA196" s="25"/>
      <c r="BB196" s="25"/>
      <c r="BC196" s="25"/>
      <c r="BD196" s="25"/>
      <c r="BE196" s="25"/>
      <c r="BF196" s="25"/>
      <c r="BG196" s="25"/>
      <c r="BH196" s="25"/>
      <c r="BI196" s="25"/>
      <c r="BJ196" s="25"/>
      <c r="BK196" s="25"/>
    </row>
    <row r="197" spans="1:64" ht="28.5" customHeight="1">
      <c r="A197" s="123"/>
      <c r="B197" s="124"/>
      <c r="C197" s="125">
        <v>45933</v>
      </c>
      <c r="D197" s="126" t="e">
        <f t="shared" si="236"/>
        <v>#REF!</v>
      </c>
      <c r="E197" s="28" t="e">
        <f t="shared" si="237"/>
        <v>#REF!</v>
      </c>
      <c r="F197" s="30" t="e">
        <f t="shared" si="238"/>
        <v>#REF!</v>
      </c>
      <c r="G197" s="36" t="e">
        <f>#REF!</f>
        <v>#REF!</v>
      </c>
      <c r="H197" s="36" t="e">
        <f>#REF!</f>
        <v>#REF!</v>
      </c>
      <c r="I197" s="36" t="e">
        <f t="shared" ref="I197:K197" si="254">#REF!</f>
        <v>#REF!</v>
      </c>
      <c r="J197" s="36" t="e">
        <f t="shared" ref="J197:L197" si="255">#REF!</f>
        <v>#REF!</v>
      </c>
      <c r="K197" s="36" t="e">
        <f t="shared" ref="K197:M197" si="256">#REF!</f>
        <v>#REF!</v>
      </c>
      <c r="L197" s="39" t="e">
        <f t="shared" si="242"/>
        <v>#REF!</v>
      </c>
      <c r="M197" s="36" t="e">
        <f>#REF!</f>
        <v>#REF!</v>
      </c>
      <c r="N197" s="39">
        <f t="shared" si="243"/>
        <v>1899487.7000000002</v>
      </c>
      <c r="O197" s="36">
        <v>1726807</v>
      </c>
      <c r="P197" s="36" t="e">
        <f>#REF!</f>
        <v>#REF!</v>
      </c>
      <c r="Q197" s="128">
        <v>0.09</v>
      </c>
      <c r="R197" s="36"/>
      <c r="S197" s="36"/>
      <c r="T197" s="36"/>
      <c r="U197" s="36" t="e">
        <f>#REF!</f>
        <v>#REF!</v>
      </c>
      <c r="V197" s="28" t="e">
        <f t="shared" si="244"/>
        <v>#REF!</v>
      </c>
      <c r="W197" s="39" t="e">
        <f t="shared" ref="W197:X197" si="257">#REF!</f>
        <v>#REF!</v>
      </c>
      <c r="X197" s="39" t="e">
        <f t="shared" ref="X197:Y197" si="258">#REF!</f>
        <v>#REF!</v>
      </c>
      <c r="Y197" s="39" t="e">
        <f t="shared" si="247"/>
        <v>#REF!</v>
      </c>
      <c r="Z197" s="129" t="e">
        <f t="shared" si="248"/>
        <v>#REF!</v>
      </c>
      <c r="AA197" s="123"/>
      <c r="AB197" s="123"/>
      <c r="AC197" s="123"/>
      <c r="AD197" s="123"/>
      <c r="AE197" s="123"/>
      <c r="AF197" s="123"/>
      <c r="AG197" s="123"/>
      <c r="AH197" s="123"/>
      <c r="AI197" s="123"/>
      <c r="AJ197" s="123"/>
      <c r="AK197" s="123"/>
      <c r="AL197" s="123"/>
      <c r="AM197" s="123"/>
      <c r="AN197" s="123"/>
      <c r="AO197" s="123"/>
      <c r="AP197" s="123"/>
      <c r="AQ197" s="123"/>
      <c r="AR197" s="123"/>
      <c r="AS197" s="123"/>
      <c r="AT197" s="25"/>
      <c r="AU197" s="25"/>
      <c r="AV197" s="25"/>
      <c r="AW197" s="25"/>
      <c r="AX197" s="25"/>
      <c r="AY197" s="25"/>
      <c r="AZ197" s="25"/>
      <c r="BA197" s="25"/>
      <c r="BB197" s="25"/>
      <c r="BC197" s="25"/>
      <c r="BD197" s="25"/>
      <c r="BE197" s="25"/>
      <c r="BF197" s="25"/>
      <c r="BG197" s="25"/>
      <c r="BH197" s="25"/>
      <c r="BI197" s="25"/>
      <c r="BJ197" s="25"/>
      <c r="BK197" s="25"/>
    </row>
    <row r="198" spans="1:64" ht="28.5" customHeight="1">
      <c r="A198" s="123"/>
      <c r="B198" s="124"/>
      <c r="C198" s="125">
        <v>45934</v>
      </c>
      <c r="D198" s="126" t="e">
        <f t="shared" si="236"/>
        <v>#REF!</v>
      </c>
      <c r="E198" s="28" t="e">
        <f t="shared" si="237"/>
        <v>#REF!</v>
      </c>
      <c r="F198" s="30" t="e">
        <f t="shared" si="238"/>
        <v>#REF!</v>
      </c>
      <c r="G198" s="36" t="e">
        <f>#REF!</f>
        <v>#REF!</v>
      </c>
      <c r="H198" s="36" t="e">
        <f>#REF!</f>
        <v>#REF!</v>
      </c>
      <c r="I198" s="36" t="e">
        <f t="shared" ref="I198:K198" si="259">#REF!</f>
        <v>#REF!</v>
      </c>
      <c r="J198" s="36" t="e">
        <f t="shared" ref="J198:L198" si="260">#REF!</f>
        <v>#REF!</v>
      </c>
      <c r="K198" s="36" t="e">
        <f t="shared" ref="K198:M198" si="261">#REF!</f>
        <v>#REF!</v>
      </c>
      <c r="L198" s="39" t="e">
        <f t="shared" si="242"/>
        <v>#REF!</v>
      </c>
      <c r="M198" s="36" t="e">
        <f>#REF!</f>
        <v>#REF!</v>
      </c>
      <c r="N198" s="39">
        <f t="shared" si="243"/>
        <v>1966753.8</v>
      </c>
      <c r="O198" s="36">
        <v>1787958</v>
      </c>
      <c r="P198" s="36" t="e">
        <f>#REF!</f>
        <v>#REF!</v>
      </c>
      <c r="Q198" s="128">
        <v>0.09</v>
      </c>
      <c r="R198" s="36"/>
      <c r="S198" s="36"/>
      <c r="T198" s="36"/>
      <c r="U198" s="36" t="e">
        <f>#REF!</f>
        <v>#REF!</v>
      </c>
      <c r="V198" s="28" t="e">
        <f t="shared" si="244"/>
        <v>#REF!</v>
      </c>
      <c r="W198" s="39" t="e">
        <f t="shared" ref="W198:X198" si="262">#REF!</f>
        <v>#REF!</v>
      </c>
      <c r="X198" s="39" t="e">
        <f t="shared" ref="X198:Y198" si="263">#REF!</f>
        <v>#REF!</v>
      </c>
      <c r="Y198" s="39" t="e">
        <f t="shared" si="247"/>
        <v>#REF!</v>
      </c>
      <c r="Z198" s="129" t="e">
        <f t="shared" si="248"/>
        <v>#REF!</v>
      </c>
      <c r="AA198" s="123"/>
      <c r="AB198" s="123"/>
      <c r="AC198" s="123"/>
      <c r="AD198" s="123"/>
      <c r="AE198" s="123"/>
      <c r="AF198" s="123"/>
      <c r="AG198" s="123"/>
      <c r="AH198" s="123"/>
      <c r="AI198" s="123"/>
      <c r="AJ198" s="123"/>
      <c r="AK198" s="123"/>
      <c r="AL198" s="123"/>
      <c r="AM198" s="123"/>
      <c r="AN198" s="123"/>
      <c r="AO198" s="123"/>
      <c r="AP198" s="123"/>
      <c r="AQ198" s="123"/>
      <c r="AR198" s="123"/>
      <c r="AS198" s="123"/>
      <c r="AT198" s="25"/>
      <c r="AU198" s="25"/>
      <c r="AV198" s="25"/>
      <c r="AW198" s="25"/>
      <c r="AX198" s="25"/>
      <c r="AY198" s="25"/>
      <c r="AZ198" s="25"/>
      <c r="BA198" s="25"/>
      <c r="BB198" s="25"/>
      <c r="BC198" s="25"/>
      <c r="BD198" s="25"/>
      <c r="BE198" s="25"/>
      <c r="BF198" s="25"/>
      <c r="BG198" s="25"/>
      <c r="BH198" s="25"/>
      <c r="BI198" s="25"/>
      <c r="BJ198" s="25"/>
      <c r="BK198" s="25"/>
    </row>
    <row r="199" spans="1:64" ht="28.5" customHeight="1">
      <c r="A199" s="123"/>
      <c r="B199" s="124"/>
      <c r="C199" s="125">
        <v>45935</v>
      </c>
      <c r="D199" s="126" t="e">
        <f t="shared" si="236"/>
        <v>#REF!</v>
      </c>
      <c r="E199" s="28" t="e">
        <f t="shared" si="237"/>
        <v>#REF!</v>
      </c>
      <c r="F199" s="30" t="e">
        <f t="shared" si="238"/>
        <v>#REF!</v>
      </c>
      <c r="G199" s="36" t="e">
        <f>#REF!</f>
        <v>#REF!</v>
      </c>
      <c r="H199" s="36" t="e">
        <f>#REF!</f>
        <v>#REF!</v>
      </c>
      <c r="I199" s="36" t="e">
        <f t="shared" ref="I199:K199" si="264">#REF!</f>
        <v>#REF!</v>
      </c>
      <c r="J199" s="36" t="e">
        <f t="shared" ref="J199:L199" si="265">#REF!</f>
        <v>#REF!</v>
      </c>
      <c r="K199" s="36" t="e">
        <f t="shared" ref="K199:M199" si="266">#REF!</f>
        <v>#REF!</v>
      </c>
      <c r="L199" s="39" t="e">
        <f t="shared" si="242"/>
        <v>#REF!</v>
      </c>
      <c r="M199" s="36" t="e">
        <f>#REF!</f>
        <v>#REF!</v>
      </c>
      <c r="N199" s="39">
        <f t="shared" si="243"/>
        <v>1993110.9000000001</v>
      </c>
      <c r="O199" s="36">
        <v>1811919</v>
      </c>
      <c r="P199" s="36" t="e">
        <f>#REF!</f>
        <v>#REF!</v>
      </c>
      <c r="Q199" s="128">
        <v>0.09</v>
      </c>
      <c r="R199" s="36"/>
      <c r="S199" s="36"/>
      <c r="T199" s="36"/>
      <c r="U199" s="36" t="e">
        <f>#REF!</f>
        <v>#REF!</v>
      </c>
      <c r="V199" s="28" t="e">
        <f t="shared" si="244"/>
        <v>#REF!</v>
      </c>
      <c r="W199" s="39" t="e">
        <f t="shared" ref="W199:X199" si="267">#REF!</f>
        <v>#REF!</v>
      </c>
      <c r="X199" s="39" t="e">
        <f t="shared" ref="X199:Y199" si="268">#REF!</f>
        <v>#REF!</v>
      </c>
      <c r="Y199" s="39" t="e">
        <f t="shared" si="247"/>
        <v>#REF!</v>
      </c>
      <c r="Z199" s="129" t="e">
        <f t="shared" si="248"/>
        <v>#REF!</v>
      </c>
      <c r="AA199" s="123"/>
      <c r="AB199" s="123"/>
      <c r="AC199" s="123"/>
      <c r="AD199" s="123"/>
      <c r="AE199" s="123"/>
      <c r="AF199" s="123"/>
      <c r="AG199" s="123"/>
      <c r="AH199" s="123"/>
      <c r="AI199" s="123"/>
      <c r="AJ199" s="123"/>
      <c r="AK199" s="123"/>
      <c r="AL199" s="123"/>
      <c r="AM199" s="123"/>
      <c r="AN199" s="123"/>
      <c r="AO199" s="123"/>
      <c r="AP199" s="123"/>
      <c r="AQ199" s="123"/>
      <c r="AR199" s="123"/>
      <c r="AS199" s="123"/>
      <c r="AT199" s="25"/>
      <c r="AU199" s="25"/>
      <c r="AV199" s="25"/>
      <c r="AW199" s="25"/>
      <c r="AX199" s="25"/>
      <c r="AY199" s="25"/>
      <c r="AZ199" s="25"/>
      <c r="BA199" s="25"/>
      <c r="BB199" s="25"/>
      <c r="BC199" s="25"/>
      <c r="BD199" s="25"/>
      <c r="BE199" s="25"/>
      <c r="BF199" s="25"/>
      <c r="BG199" s="25"/>
      <c r="BH199" s="25"/>
      <c r="BI199" s="25"/>
      <c r="BJ199" s="25"/>
      <c r="BK199" s="25"/>
    </row>
    <row r="200" spans="1:64" ht="28.5" customHeight="1">
      <c r="A200" s="123"/>
      <c r="B200" s="124"/>
      <c r="C200" s="125">
        <v>45936</v>
      </c>
      <c r="D200" s="126" t="e">
        <f t="shared" si="236"/>
        <v>#REF!</v>
      </c>
      <c r="E200" s="28" t="e">
        <f t="shared" si="237"/>
        <v>#REF!</v>
      </c>
      <c r="F200" s="30" t="e">
        <f t="shared" si="238"/>
        <v>#REF!</v>
      </c>
      <c r="G200" s="36" t="e">
        <f>#REF!</f>
        <v>#REF!</v>
      </c>
      <c r="H200" s="36" t="e">
        <f>#REF!</f>
        <v>#REF!</v>
      </c>
      <c r="I200" s="36" t="e">
        <f t="shared" ref="I200:K200" si="269">#REF!</f>
        <v>#REF!</v>
      </c>
      <c r="J200" s="36" t="e">
        <f t="shared" ref="J200:L200" si="270">#REF!</f>
        <v>#REF!</v>
      </c>
      <c r="K200" s="36" t="e">
        <f t="shared" ref="K200:M200" si="271">#REF!</f>
        <v>#REF!</v>
      </c>
      <c r="L200" s="39" t="e">
        <f t="shared" si="242"/>
        <v>#REF!</v>
      </c>
      <c r="M200" s="36" t="e">
        <f>#REF!</f>
        <v>#REF!</v>
      </c>
      <c r="N200" s="39">
        <f t="shared" si="243"/>
        <v>2043917.7000000002</v>
      </c>
      <c r="O200" s="36">
        <v>1858107</v>
      </c>
      <c r="P200" s="36" t="e">
        <f>#REF!</f>
        <v>#REF!</v>
      </c>
      <c r="Q200" s="128">
        <v>0.09</v>
      </c>
      <c r="R200" s="36"/>
      <c r="S200" s="36"/>
      <c r="T200" s="36"/>
      <c r="U200" s="36" t="e">
        <f>#REF!</f>
        <v>#REF!</v>
      </c>
      <c r="V200" s="28" t="e">
        <f t="shared" si="244"/>
        <v>#REF!</v>
      </c>
      <c r="W200" s="39" t="e">
        <f t="shared" ref="W200:X200" si="272">#REF!</f>
        <v>#REF!</v>
      </c>
      <c r="X200" s="39" t="e">
        <f t="shared" ref="X200:Y200" si="273">#REF!</f>
        <v>#REF!</v>
      </c>
      <c r="Y200" s="39" t="e">
        <f t="shared" si="247"/>
        <v>#REF!</v>
      </c>
      <c r="Z200" s="129" t="e">
        <f t="shared" si="248"/>
        <v>#REF!</v>
      </c>
      <c r="AA200" s="123"/>
      <c r="AB200" s="123"/>
      <c r="AC200" s="123"/>
      <c r="AD200" s="123"/>
      <c r="AE200" s="123"/>
      <c r="AF200" s="123"/>
      <c r="AG200" s="123"/>
      <c r="AH200" s="123"/>
      <c r="AI200" s="123"/>
      <c r="AJ200" s="123"/>
      <c r="AK200" s="123"/>
      <c r="AL200" s="123"/>
      <c r="AM200" s="123"/>
      <c r="AN200" s="123"/>
      <c r="AO200" s="123"/>
      <c r="AP200" s="123"/>
      <c r="AQ200" s="123"/>
      <c r="AR200" s="123"/>
      <c r="AS200" s="123"/>
      <c r="AT200" s="25"/>
      <c r="AU200" s="25"/>
      <c r="AV200" s="25"/>
      <c r="AW200" s="25"/>
      <c r="AX200" s="25"/>
      <c r="AY200" s="25"/>
      <c r="AZ200" s="25"/>
      <c r="BA200" s="25"/>
      <c r="BB200" s="25"/>
      <c r="BC200" s="25"/>
      <c r="BD200" s="25"/>
      <c r="BE200" s="25"/>
      <c r="BF200" s="25"/>
      <c r="BG200" s="25"/>
      <c r="BH200" s="25"/>
      <c r="BI200" s="25"/>
      <c r="BJ200" s="25"/>
      <c r="BK200" s="25"/>
    </row>
    <row r="201" spans="1:64" ht="28.5" customHeight="1">
      <c r="A201" s="123"/>
      <c r="B201" s="124"/>
      <c r="C201" s="125">
        <v>45937</v>
      </c>
      <c r="D201" s="126" t="e">
        <f t="shared" si="236"/>
        <v>#REF!</v>
      </c>
      <c r="E201" s="28" t="e">
        <f t="shared" si="237"/>
        <v>#REF!</v>
      </c>
      <c r="F201" s="30" t="e">
        <f t="shared" si="238"/>
        <v>#REF!</v>
      </c>
      <c r="G201" s="36" t="e">
        <f>#REF!</f>
        <v>#REF!</v>
      </c>
      <c r="H201" s="36" t="e">
        <f>#REF!</f>
        <v>#REF!</v>
      </c>
      <c r="I201" s="36" t="e">
        <f t="shared" ref="I201:K201" si="274">#REF!</f>
        <v>#REF!</v>
      </c>
      <c r="J201" s="36" t="e">
        <f t="shared" ref="J201:L201" si="275">#REF!</f>
        <v>#REF!</v>
      </c>
      <c r="K201" s="36" t="e">
        <f t="shared" ref="K201:M201" si="276">#REF!</f>
        <v>#REF!</v>
      </c>
      <c r="L201" s="39" t="e">
        <f t="shared" si="242"/>
        <v>#REF!</v>
      </c>
      <c r="M201" s="36" t="e">
        <f>#REF!</f>
        <v>#REF!</v>
      </c>
      <c r="N201" s="39">
        <f t="shared" si="243"/>
        <v>1830747.6</v>
      </c>
      <c r="O201" s="36">
        <v>1664316</v>
      </c>
      <c r="P201" s="36" t="e">
        <f>#REF!</f>
        <v>#REF!</v>
      </c>
      <c r="Q201" s="128">
        <v>0.09</v>
      </c>
      <c r="R201" s="36"/>
      <c r="S201" s="36"/>
      <c r="T201" s="36"/>
      <c r="U201" s="36" t="e">
        <f>#REF!</f>
        <v>#REF!</v>
      </c>
      <c r="V201" s="28" t="e">
        <f t="shared" si="244"/>
        <v>#REF!</v>
      </c>
      <c r="W201" s="39" t="e">
        <f t="shared" ref="W201:X201" si="277">#REF!</f>
        <v>#REF!</v>
      </c>
      <c r="X201" s="39" t="e">
        <f t="shared" ref="X201:Y201" si="278">#REF!</f>
        <v>#REF!</v>
      </c>
      <c r="Y201" s="39" t="e">
        <f t="shared" si="247"/>
        <v>#REF!</v>
      </c>
      <c r="Z201" s="129" t="e">
        <f t="shared" si="248"/>
        <v>#REF!</v>
      </c>
      <c r="AA201" s="123"/>
      <c r="AB201" s="123"/>
      <c r="AC201" s="123"/>
      <c r="AD201" s="123"/>
      <c r="AE201" s="123"/>
      <c r="AF201" s="123"/>
      <c r="AG201" s="123"/>
      <c r="AH201" s="123"/>
      <c r="AI201" s="123"/>
      <c r="AJ201" s="123"/>
      <c r="AK201" s="123"/>
      <c r="AL201" s="123"/>
      <c r="AM201" s="123"/>
      <c r="AN201" s="123"/>
      <c r="AO201" s="123"/>
      <c r="AP201" s="123"/>
      <c r="AQ201" s="123"/>
      <c r="AR201" s="123"/>
      <c r="AS201" s="123"/>
      <c r="AT201" s="25"/>
      <c r="AU201" s="25"/>
      <c r="AV201" s="25"/>
      <c r="AW201" s="25"/>
      <c r="AX201" s="25"/>
      <c r="AY201" s="25"/>
      <c r="AZ201" s="25"/>
      <c r="BA201" s="25"/>
      <c r="BB201" s="25"/>
      <c r="BC201" s="25"/>
      <c r="BD201" s="25"/>
      <c r="BE201" s="25"/>
      <c r="BF201" s="25"/>
      <c r="BG201" s="25"/>
      <c r="BH201" s="25"/>
      <c r="BI201" s="25"/>
      <c r="BJ201" s="25"/>
      <c r="BK201" s="25"/>
    </row>
    <row r="202" spans="1:64" ht="28.5" customHeight="1">
      <c r="A202" s="123"/>
      <c r="B202" s="124"/>
      <c r="C202" s="125">
        <v>45938</v>
      </c>
      <c r="D202" s="126" t="e">
        <f t="shared" si="236"/>
        <v>#REF!</v>
      </c>
      <c r="E202" s="28" t="e">
        <f t="shared" si="237"/>
        <v>#REF!</v>
      </c>
      <c r="F202" s="30" t="e">
        <f t="shared" si="238"/>
        <v>#REF!</v>
      </c>
      <c r="G202" s="36" t="e">
        <f>#REF!</f>
        <v>#REF!</v>
      </c>
      <c r="H202" s="36" t="e">
        <f>#REF!</f>
        <v>#REF!</v>
      </c>
      <c r="I202" s="36" t="e">
        <f t="shared" ref="I202:K202" si="279">#REF!</f>
        <v>#REF!</v>
      </c>
      <c r="J202" s="36" t="e">
        <f t="shared" ref="J202:L202" si="280">#REF!</f>
        <v>#REF!</v>
      </c>
      <c r="K202" s="36" t="e">
        <f t="shared" ref="K202:M202" si="281">#REF!</f>
        <v>#REF!</v>
      </c>
      <c r="L202" s="39" t="e">
        <f t="shared" si="242"/>
        <v>#REF!</v>
      </c>
      <c r="M202" s="36" t="e">
        <f>#REF!</f>
        <v>#REF!</v>
      </c>
      <c r="N202" s="39">
        <f t="shared" si="243"/>
        <v>1966302.8</v>
      </c>
      <c r="O202" s="36">
        <v>1787548</v>
      </c>
      <c r="P202" s="36" t="e">
        <f>#REF!</f>
        <v>#REF!</v>
      </c>
      <c r="Q202" s="128">
        <v>0.09</v>
      </c>
      <c r="R202" s="36"/>
      <c r="S202" s="36"/>
      <c r="T202" s="36"/>
      <c r="U202" s="36" t="e">
        <f>#REF!</f>
        <v>#REF!</v>
      </c>
      <c r="V202" s="28" t="e">
        <f t="shared" si="244"/>
        <v>#REF!</v>
      </c>
      <c r="W202" s="39" t="e">
        <f t="shared" ref="W202:X202" si="282">#REF!</f>
        <v>#REF!</v>
      </c>
      <c r="X202" s="39" t="e">
        <f t="shared" ref="X202:Y202" si="283">#REF!</f>
        <v>#REF!</v>
      </c>
      <c r="Y202" s="39" t="e">
        <f t="shared" si="247"/>
        <v>#REF!</v>
      </c>
      <c r="Z202" s="129" t="e">
        <f t="shared" si="248"/>
        <v>#REF!</v>
      </c>
      <c r="AA202" s="123"/>
      <c r="AB202" s="123"/>
      <c r="AC202" s="123"/>
      <c r="AD202" s="123"/>
      <c r="AE202" s="123"/>
      <c r="AF202" s="123"/>
      <c r="AG202" s="123"/>
      <c r="AH202" s="123"/>
      <c r="AI202" s="123"/>
      <c r="AJ202" s="123"/>
      <c r="AK202" s="123"/>
      <c r="AL202" s="123"/>
      <c r="AM202" s="123"/>
      <c r="AN202" s="123"/>
      <c r="AO202" s="123"/>
      <c r="AP202" s="123"/>
      <c r="AQ202" s="123"/>
      <c r="AR202" s="123"/>
      <c r="AS202" s="123"/>
      <c r="AT202" s="25"/>
      <c r="AU202" s="25"/>
      <c r="AV202" s="25"/>
      <c r="AW202" s="25"/>
      <c r="AX202" s="25"/>
      <c r="AY202" s="25"/>
      <c r="AZ202" s="25"/>
      <c r="BA202" s="25"/>
      <c r="BB202" s="25"/>
      <c r="BC202" s="25"/>
      <c r="BD202" s="25"/>
      <c r="BE202" s="25"/>
      <c r="BF202" s="25"/>
      <c r="BG202" s="25"/>
      <c r="BH202" s="25"/>
      <c r="BI202" s="25"/>
      <c r="BJ202" s="25"/>
      <c r="BK202" s="25"/>
    </row>
    <row r="203" spans="1:64" ht="28.5" customHeight="1">
      <c r="A203" s="123"/>
      <c r="B203" s="124"/>
      <c r="C203" s="125">
        <v>45939</v>
      </c>
      <c r="D203" s="126" t="e">
        <f t="shared" si="236"/>
        <v>#REF!</v>
      </c>
      <c r="E203" s="28" t="e">
        <f t="shared" si="237"/>
        <v>#REF!</v>
      </c>
      <c r="F203" s="30" t="e">
        <f t="shared" si="238"/>
        <v>#REF!</v>
      </c>
      <c r="G203" s="36" t="e">
        <f>#REF!</f>
        <v>#REF!</v>
      </c>
      <c r="H203" s="36" t="e">
        <f>#REF!</f>
        <v>#REF!</v>
      </c>
      <c r="I203" s="36" t="e">
        <f t="shared" ref="I203:K203" si="284">#REF!</f>
        <v>#REF!</v>
      </c>
      <c r="J203" s="36" t="e">
        <f t="shared" ref="J203:L203" si="285">#REF!</f>
        <v>#REF!</v>
      </c>
      <c r="K203" s="36" t="e">
        <f t="shared" ref="K203:M203" si="286">#REF!</f>
        <v>#REF!</v>
      </c>
      <c r="L203" s="39" t="e">
        <f t="shared" si="242"/>
        <v>#REF!</v>
      </c>
      <c r="M203" s="36" t="e">
        <f>#REF!</f>
        <v>#REF!</v>
      </c>
      <c r="N203" s="39">
        <f t="shared" si="243"/>
        <v>1943869.4000000001</v>
      </c>
      <c r="O203" s="36">
        <v>1767154</v>
      </c>
      <c r="P203" s="36" t="e">
        <f>#REF!</f>
        <v>#REF!</v>
      </c>
      <c r="Q203" s="128">
        <v>0.09</v>
      </c>
      <c r="R203" s="36"/>
      <c r="S203" s="36"/>
      <c r="T203" s="36"/>
      <c r="U203" s="36" t="e">
        <f>#REF!</f>
        <v>#REF!</v>
      </c>
      <c r="V203" s="28" t="e">
        <f t="shared" si="244"/>
        <v>#REF!</v>
      </c>
      <c r="W203" s="39" t="e">
        <f t="shared" ref="W203:X203" si="287">#REF!</f>
        <v>#REF!</v>
      </c>
      <c r="X203" s="39" t="e">
        <f t="shared" ref="X203:Y203" si="288">#REF!</f>
        <v>#REF!</v>
      </c>
      <c r="Y203" s="39" t="e">
        <f t="shared" si="247"/>
        <v>#REF!</v>
      </c>
      <c r="Z203" s="129" t="e">
        <f t="shared" si="248"/>
        <v>#REF!</v>
      </c>
      <c r="AA203" s="123"/>
      <c r="AB203" s="123"/>
      <c r="AC203" s="123"/>
      <c r="AD203" s="123"/>
      <c r="AE203" s="123"/>
      <c r="AF203" s="123"/>
      <c r="AG203" s="123"/>
      <c r="AH203" s="123"/>
      <c r="AI203" s="123"/>
      <c r="AJ203" s="123"/>
      <c r="AK203" s="123"/>
      <c r="AL203" s="123"/>
      <c r="AM203" s="123"/>
      <c r="AN203" s="123"/>
      <c r="AO203" s="123"/>
      <c r="AP203" s="123"/>
      <c r="AQ203" s="123"/>
      <c r="AR203" s="123"/>
      <c r="AS203" s="123"/>
      <c r="AT203" s="25"/>
      <c r="AU203" s="25"/>
      <c r="AV203" s="25"/>
      <c r="AW203" s="25"/>
      <c r="AX203" s="25"/>
      <c r="AY203" s="25"/>
      <c r="AZ203" s="25"/>
      <c r="BA203" s="25"/>
      <c r="BB203" s="25"/>
      <c r="BC203" s="25"/>
      <c r="BD203" s="25"/>
      <c r="BE203" s="25"/>
      <c r="BF203" s="25"/>
      <c r="BG203" s="25"/>
      <c r="BH203" s="25"/>
      <c r="BI203" s="25"/>
      <c r="BJ203" s="25"/>
      <c r="BK203" s="25"/>
    </row>
    <row r="204" spans="1:64" ht="28.5" customHeight="1">
      <c r="A204" s="123"/>
      <c r="B204" s="124"/>
      <c r="C204" s="125"/>
      <c r="D204" s="126" t="e">
        <f t="shared" si="236"/>
        <v>#DIV/0!</v>
      </c>
      <c r="E204" s="28" t="e">
        <f t="shared" si="237"/>
        <v>#DIV/0!</v>
      </c>
      <c r="F204" s="30" t="e">
        <f t="shared" si="238"/>
        <v>#DIV/0!</v>
      </c>
      <c r="G204" s="36"/>
      <c r="H204" s="36"/>
      <c r="I204" s="36"/>
      <c r="J204" s="36"/>
      <c r="K204" s="36"/>
      <c r="L204" s="39">
        <f t="shared" si="242"/>
        <v>0</v>
      </c>
      <c r="M204" s="36"/>
      <c r="N204" s="39">
        <f t="shared" si="243"/>
        <v>0</v>
      </c>
      <c r="O204" s="36"/>
      <c r="P204" s="36"/>
      <c r="Q204" s="128">
        <v>0.09</v>
      </c>
      <c r="R204" s="36"/>
      <c r="S204" s="36"/>
      <c r="T204" s="36"/>
      <c r="U204" s="36"/>
      <c r="V204" s="28" t="e">
        <f t="shared" si="244"/>
        <v>#DIV/0!</v>
      </c>
      <c r="W204" s="39"/>
      <c r="X204" s="36"/>
      <c r="Y204" s="39">
        <f t="shared" si="247"/>
        <v>0</v>
      </c>
      <c r="Z204" s="129">
        <f t="shared" si="248"/>
        <v>0</v>
      </c>
      <c r="AA204" s="123"/>
      <c r="AB204" s="123"/>
      <c r="AC204" s="123"/>
      <c r="AD204" s="123"/>
      <c r="AE204" s="123"/>
      <c r="AF204" s="123"/>
      <c r="AG204" s="123"/>
      <c r="AH204" s="123"/>
      <c r="AI204" s="123"/>
      <c r="AJ204" s="123"/>
      <c r="AK204" s="123"/>
      <c r="AL204" s="123"/>
      <c r="AM204" s="123"/>
      <c r="AN204" s="123"/>
      <c r="AO204" s="123"/>
      <c r="AP204" s="123"/>
      <c r="AQ204" s="123"/>
      <c r="AR204" s="123"/>
      <c r="AS204" s="123"/>
      <c r="AT204" s="25"/>
      <c r="AU204" s="25"/>
      <c r="AV204" s="25"/>
      <c r="AW204" s="25"/>
      <c r="AX204" s="25"/>
      <c r="AY204" s="25"/>
      <c r="AZ204" s="25"/>
      <c r="BA204" s="25"/>
      <c r="BB204" s="25"/>
      <c r="BC204" s="25"/>
      <c r="BD204" s="25"/>
      <c r="BE204" s="25"/>
      <c r="BF204" s="25"/>
      <c r="BG204" s="25"/>
      <c r="BH204" s="25"/>
      <c r="BI204" s="25"/>
      <c r="BJ204" s="25"/>
      <c r="BK204" s="25"/>
    </row>
    <row r="205" spans="1:64" ht="28.5" customHeight="1">
      <c r="A205" s="123"/>
      <c r="B205" s="124"/>
      <c r="C205" s="125"/>
      <c r="D205" s="126" t="e">
        <f t="shared" si="236"/>
        <v>#DIV/0!</v>
      </c>
      <c r="E205" s="28" t="e">
        <f t="shared" si="237"/>
        <v>#DIV/0!</v>
      </c>
      <c r="F205" s="30" t="e">
        <f t="shared" si="238"/>
        <v>#DIV/0!</v>
      </c>
      <c r="G205" s="36"/>
      <c r="H205" s="36"/>
      <c r="I205" s="36"/>
      <c r="J205" s="36"/>
      <c r="K205" s="36"/>
      <c r="L205" s="39">
        <f t="shared" si="242"/>
        <v>0</v>
      </c>
      <c r="M205" s="36"/>
      <c r="N205" s="39">
        <f t="shared" si="243"/>
        <v>0</v>
      </c>
      <c r="O205" s="36"/>
      <c r="P205" s="36"/>
      <c r="Q205" s="128">
        <v>0.09</v>
      </c>
      <c r="R205" s="36"/>
      <c r="S205" s="36"/>
      <c r="T205" s="36"/>
      <c r="U205" s="36"/>
      <c r="V205" s="28" t="e">
        <f t="shared" si="244"/>
        <v>#DIV/0!</v>
      </c>
      <c r="W205" s="39"/>
      <c r="X205" s="36"/>
      <c r="Y205" s="39">
        <f t="shared" si="247"/>
        <v>0</v>
      </c>
      <c r="Z205" s="129">
        <f t="shared" si="248"/>
        <v>0</v>
      </c>
      <c r="AA205" s="123"/>
      <c r="AB205" s="123"/>
      <c r="AC205" s="123"/>
      <c r="AD205" s="123"/>
      <c r="AE205" s="123"/>
      <c r="AF205" s="123"/>
      <c r="AG205" s="123"/>
      <c r="AH205" s="123"/>
      <c r="AI205" s="123"/>
      <c r="AJ205" s="123"/>
      <c r="AK205" s="123"/>
      <c r="AL205" s="123"/>
      <c r="AM205" s="123"/>
      <c r="AN205" s="123"/>
      <c r="AO205" s="123"/>
      <c r="AP205" s="123"/>
      <c r="AQ205" s="123"/>
      <c r="AR205" s="123"/>
      <c r="AS205" s="123"/>
      <c r="AT205" s="25"/>
      <c r="AU205" s="25"/>
      <c r="AV205" s="25"/>
      <c r="AW205" s="25"/>
      <c r="AX205" s="25"/>
      <c r="AY205" s="25"/>
      <c r="AZ205" s="25"/>
      <c r="BA205" s="25"/>
      <c r="BB205" s="25"/>
      <c r="BC205" s="25"/>
      <c r="BD205" s="25"/>
      <c r="BE205" s="25"/>
      <c r="BF205" s="25"/>
      <c r="BG205" s="25"/>
      <c r="BH205" s="25"/>
      <c r="BI205" s="25"/>
      <c r="BJ205" s="25"/>
      <c r="BK205" s="25"/>
    </row>
    <row r="206" spans="1:64" ht="28.5" customHeight="1">
      <c r="A206" s="123"/>
      <c r="B206" s="124"/>
      <c r="C206" s="130" t="s">
        <v>75</v>
      </c>
      <c r="D206" s="126" t="e">
        <f t="shared" si="236"/>
        <v>#REF!</v>
      </c>
      <c r="E206" s="28" t="e">
        <f t="shared" si="237"/>
        <v>#REF!</v>
      </c>
      <c r="F206" s="30" t="e">
        <f t="shared" si="238"/>
        <v>#REF!</v>
      </c>
      <c r="G206" s="127" t="e">
        <f>#REF!</f>
        <v>#REF!</v>
      </c>
      <c r="H206" s="127" t="e">
        <f>#REF!</f>
        <v>#REF!</v>
      </c>
      <c r="I206" s="127" t="e">
        <f t="shared" ref="I206:K206" si="289">#REF!</f>
        <v>#REF!</v>
      </c>
      <c r="J206" s="36" t="e">
        <f t="shared" ref="J206:L206" si="290">#REF!</f>
        <v>#REF!</v>
      </c>
      <c r="K206" s="36" t="e">
        <f t="shared" ref="K206:M206" si="291">#REF!</f>
        <v>#REF!</v>
      </c>
      <c r="L206" s="39" t="e">
        <f t="shared" si="242"/>
        <v>#REF!</v>
      </c>
      <c r="M206" s="36" t="e">
        <f>#REF!</f>
        <v>#REF!</v>
      </c>
      <c r="N206" s="39">
        <f t="shared" si="243"/>
        <v>5615410.9000000004</v>
      </c>
      <c r="O206" s="127">
        <v>5104919</v>
      </c>
      <c r="P206" s="36" t="e">
        <f>#REF!</f>
        <v>#REF!</v>
      </c>
      <c r="Q206" s="128">
        <v>0.09</v>
      </c>
      <c r="R206" s="36"/>
      <c r="S206" s="36"/>
      <c r="T206" s="36"/>
      <c r="U206" s="36" t="e">
        <f>#REF!</f>
        <v>#REF!</v>
      </c>
      <c r="V206" s="28" t="e">
        <f t="shared" si="244"/>
        <v>#REF!</v>
      </c>
      <c r="W206" s="39" t="e">
        <f t="shared" ref="W206:X206" si="292">#REF!</f>
        <v>#REF!</v>
      </c>
      <c r="X206" s="39" t="e">
        <f t="shared" ref="X206:Y206" si="293">#REF!</f>
        <v>#REF!</v>
      </c>
      <c r="Y206" s="39" t="e">
        <f t="shared" si="247"/>
        <v>#REF!</v>
      </c>
      <c r="Z206" s="129" t="e">
        <f t="shared" si="248"/>
        <v>#REF!</v>
      </c>
      <c r="AA206" s="123"/>
      <c r="AB206" s="123"/>
      <c r="AC206" s="123"/>
      <c r="AD206" s="123"/>
      <c r="AE206" s="123"/>
      <c r="AF206" s="123"/>
      <c r="AG206" s="123"/>
      <c r="AH206" s="123"/>
      <c r="AI206" s="123"/>
      <c r="AJ206" s="123"/>
      <c r="AK206" s="123"/>
      <c r="AL206" s="123"/>
      <c r="AM206" s="123"/>
      <c r="AN206" s="123"/>
      <c r="AO206" s="123"/>
      <c r="AP206" s="123"/>
      <c r="AQ206" s="123"/>
      <c r="AR206" s="123"/>
      <c r="AS206" s="123"/>
      <c r="AT206" s="25"/>
      <c r="AU206" s="25"/>
      <c r="AV206" s="25"/>
      <c r="AW206" s="25"/>
      <c r="AX206" s="25"/>
      <c r="AY206" s="25"/>
      <c r="AZ206" s="25"/>
      <c r="BA206" s="25"/>
      <c r="BB206" s="25"/>
      <c r="BC206" s="25"/>
      <c r="BD206" s="25"/>
      <c r="BE206" s="25"/>
      <c r="BF206" s="25"/>
      <c r="BG206" s="25"/>
      <c r="BH206" s="25"/>
      <c r="BI206" s="25"/>
      <c r="BJ206" s="25"/>
      <c r="BK206" s="25"/>
    </row>
    <row r="207" spans="1:64" ht="28.5" customHeight="1">
      <c r="A207" s="123"/>
      <c r="B207" s="124"/>
      <c r="C207" s="125">
        <v>45943</v>
      </c>
      <c r="D207" s="126" t="e">
        <f t="shared" si="236"/>
        <v>#REF!</v>
      </c>
      <c r="E207" s="28" t="e">
        <f t="shared" si="237"/>
        <v>#REF!</v>
      </c>
      <c r="F207" s="30" t="e">
        <f t="shared" si="238"/>
        <v>#REF!</v>
      </c>
      <c r="G207" s="127" t="e">
        <f>#REF!</f>
        <v>#REF!</v>
      </c>
      <c r="H207" s="127" t="e">
        <f>#REF!</f>
        <v>#REF!</v>
      </c>
      <c r="I207" s="127" t="e">
        <f t="shared" ref="I207:K207" si="294">#REF!</f>
        <v>#REF!</v>
      </c>
      <c r="J207" s="36" t="e">
        <f t="shared" ref="J207:L207" si="295">#REF!</f>
        <v>#REF!</v>
      </c>
      <c r="K207" s="36" t="e">
        <f t="shared" ref="K207:M207" si="296">#REF!</f>
        <v>#REF!</v>
      </c>
      <c r="L207" s="39" t="e">
        <f t="shared" si="242"/>
        <v>#REF!</v>
      </c>
      <c r="M207" s="36" t="e">
        <f>#REF!</f>
        <v>#REF!</v>
      </c>
      <c r="N207" s="39">
        <f t="shared" si="243"/>
        <v>1889848.4000000001</v>
      </c>
      <c r="O207" s="127">
        <v>1718044</v>
      </c>
      <c r="P207" s="36" t="e">
        <f>#REF!</f>
        <v>#REF!</v>
      </c>
      <c r="Q207" s="128">
        <v>0.09</v>
      </c>
      <c r="R207" s="36"/>
      <c r="S207" s="36"/>
      <c r="T207" s="36"/>
      <c r="U207" s="36" t="e">
        <f>#REF!</f>
        <v>#REF!</v>
      </c>
      <c r="V207" s="28" t="e">
        <f t="shared" si="244"/>
        <v>#REF!</v>
      </c>
      <c r="W207" s="39" t="e">
        <f t="shared" ref="W207:X207" si="297">#REF!</f>
        <v>#REF!</v>
      </c>
      <c r="X207" s="39" t="e">
        <f t="shared" ref="X207:Y207" si="298">#REF!</f>
        <v>#REF!</v>
      </c>
      <c r="Y207" s="39" t="e">
        <f t="shared" si="247"/>
        <v>#REF!</v>
      </c>
      <c r="Z207" s="129" t="e">
        <f t="shared" si="248"/>
        <v>#REF!</v>
      </c>
      <c r="AA207" s="123"/>
      <c r="AB207" s="123"/>
      <c r="AC207" s="123"/>
      <c r="AD207" s="123"/>
      <c r="AE207" s="123"/>
      <c r="AF207" s="123"/>
      <c r="AG207" s="123"/>
      <c r="AH207" s="123"/>
      <c r="AI207" s="123"/>
      <c r="AJ207" s="123"/>
      <c r="AK207" s="123"/>
      <c r="AL207" s="123"/>
      <c r="AM207" s="123"/>
      <c r="AN207" s="123"/>
      <c r="AO207" s="123"/>
      <c r="AP207" s="123"/>
      <c r="AQ207" s="123"/>
      <c r="AR207" s="123"/>
      <c r="AS207" s="123"/>
      <c r="AT207" s="25"/>
      <c r="AU207" s="25"/>
      <c r="AV207" s="25"/>
      <c r="AW207" s="25"/>
      <c r="AX207" s="25"/>
      <c r="AY207" s="25"/>
      <c r="AZ207" s="25"/>
      <c r="BA207" s="25"/>
      <c r="BB207" s="25"/>
      <c r="BC207" s="25"/>
      <c r="BD207" s="25"/>
      <c r="BE207" s="25"/>
      <c r="BF207" s="25"/>
      <c r="BG207" s="25"/>
      <c r="BH207" s="25"/>
      <c r="BI207" s="25"/>
      <c r="BJ207" s="25"/>
      <c r="BK207" s="25"/>
    </row>
    <row r="208" spans="1:64" ht="28.5" customHeight="1">
      <c r="A208" s="123"/>
      <c r="B208" s="124"/>
      <c r="C208" s="125">
        <v>45944</v>
      </c>
      <c r="D208" s="126" t="e">
        <f t="shared" si="236"/>
        <v>#REF!</v>
      </c>
      <c r="E208" s="28" t="e">
        <f t="shared" si="237"/>
        <v>#REF!</v>
      </c>
      <c r="F208" s="30" t="e">
        <f t="shared" si="238"/>
        <v>#REF!</v>
      </c>
      <c r="G208" s="127" t="e">
        <f>#REF!</f>
        <v>#REF!</v>
      </c>
      <c r="H208" s="127" t="e">
        <f>#REF!</f>
        <v>#REF!</v>
      </c>
      <c r="I208" s="127" t="e">
        <f t="shared" ref="I208:K208" si="299">#REF!</f>
        <v>#REF!</v>
      </c>
      <c r="J208" s="36" t="e">
        <f t="shared" ref="J208:L208" si="300">#REF!</f>
        <v>#REF!</v>
      </c>
      <c r="K208" s="36" t="e">
        <f t="shared" ref="K208:M208" si="301">#REF!</f>
        <v>#REF!</v>
      </c>
      <c r="L208" s="39" t="e">
        <f t="shared" si="242"/>
        <v>#REF!</v>
      </c>
      <c r="M208" s="36" t="e">
        <f>#REF!</f>
        <v>#REF!</v>
      </c>
      <c r="N208" s="39">
        <f t="shared" si="243"/>
        <v>2021057.5000000002</v>
      </c>
      <c r="O208" s="127">
        <v>1837325</v>
      </c>
      <c r="P208" s="36" t="e">
        <f>#REF!</f>
        <v>#REF!</v>
      </c>
      <c r="Q208" s="128">
        <v>0.09</v>
      </c>
      <c r="R208" s="36"/>
      <c r="S208" s="36"/>
      <c r="T208" s="36"/>
      <c r="U208" s="36" t="e">
        <f>#REF!</f>
        <v>#REF!</v>
      </c>
      <c r="V208" s="28" t="e">
        <f t="shared" si="244"/>
        <v>#REF!</v>
      </c>
      <c r="W208" s="39" t="e">
        <f t="shared" ref="W208:X208" si="302">#REF!</f>
        <v>#REF!</v>
      </c>
      <c r="X208" s="39" t="e">
        <f t="shared" ref="X208:Y208" si="303">#REF!</f>
        <v>#REF!</v>
      </c>
      <c r="Y208" s="39" t="e">
        <f t="shared" si="247"/>
        <v>#REF!</v>
      </c>
      <c r="Z208" s="129" t="e">
        <f t="shared" si="248"/>
        <v>#REF!</v>
      </c>
      <c r="AA208" s="123"/>
      <c r="AB208" s="123"/>
      <c r="AC208" s="123"/>
      <c r="AD208" s="123"/>
      <c r="AE208" s="123"/>
      <c r="AF208" s="123"/>
      <c r="AG208" s="123"/>
      <c r="AH208" s="123"/>
      <c r="AI208" s="123"/>
      <c r="AJ208" s="123"/>
      <c r="AK208" s="123"/>
      <c r="AL208" s="123"/>
      <c r="AM208" s="123"/>
      <c r="AN208" s="123"/>
      <c r="AO208" s="123"/>
      <c r="AP208" s="123"/>
      <c r="AQ208" s="123"/>
      <c r="AR208" s="123"/>
      <c r="AS208" s="123"/>
      <c r="AT208" s="25"/>
      <c r="AU208" s="25"/>
      <c r="AV208" s="25"/>
      <c r="AW208" s="25"/>
      <c r="AX208" s="25"/>
      <c r="AY208" s="25"/>
      <c r="AZ208" s="25"/>
      <c r="BA208" s="25"/>
      <c r="BB208" s="25"/>
      <c r="BC208" s="25"/>
      <c r="BD208" s="25"/>
      <c r="BE208" s="25"/>
      <c r="BF208" s="25"/>
      <c r="BG208" s="25"/>
      <c r="BH208" s="25"/>
      <c r="BI208" s="25"/>
      <c r="BJ208" s="25"/>
      <c r="BK208" s="25"/>
    </row>
    <row r="209" spans="1:63" ht="28.5" customHeight="1">
      <c r="A209" s="123"/>
      <c r="B209" s="124"/>
      <c r="C209" s="125">
        <v>45945</v>
      </c>
      <c r="D209" s="126">
        <f t="shared" si="236"/>
        <v>0.15296932376285255</v>
      </c>
      <c r="E209" s="28">
        <f t="shared" si="237"/>
        <v>0.41236854653607402</v>
      </c>
      <c r="F209" s="30">
        <f t="shared" si="238"/>
        <v>0.25939922277322147</v>
      </c>
      <c r="G209" s="127">
        <f>O19</f>
        <v>307</v>
      </c>
      <c r="H209" s="127">
        <f>Q19</f>
        <v>37</v>
      </c>
      <c r="I209" s="127">
        <f t="shared" ref="I209:K209" si="304">S19</f>
        <v>10</v>
      </c>
      <c r="J209" s="36">
        <f t="shared" si="304"/>
        <v>8586800</v>
      </c>
      <c r="K209" s="36">
        <f t="shared" si="304"/>
        <v>198000</v>
      </c>
      <c r="L209" s="39">
        <f t="shared" si="242"/>
        <v>8388800</v>
      </c>
      <c r="M209" s="36">
        <f>Y19</f>
        <v>2885195</v>
      </c>
      <c r="N209" s="39">
        <f t="shared" si="243"/>
        <v>2071203.2000000002</v>
      </c>
      <c r="O209" s="127">
        <v>1882912</v>
      </c>
      <c r="P209" s="36">
        <f>AB19</f>
        <v>104845</v>
      </c>
      <c r="Q209" s="128">
        <v>0.09</v>
      </c>
      <c r="R209" s="36"/>
      <c r="S209" s="36"/>
      <c r="T209" s="36"/>
      <c r="U209" s="36">
        <f>AE19</f>
        <v>944650</v>
      </c>
      <c r="V209" s="28">
        <f t="shared" si="244"/>
        <v>0.2026084779706275</v>
      </c>
      <c r="W209" s="39">
        <f t="shared" ref="W209:X209" si="305">AG19</f>
        <v>1747373.9500000002</v>
      </c>
      <c r="X209" s="39">
        <f t="shared" si="305"/>
        <v>296953.78681818175</v>
      </c>
      <c r="Y209" s="39">
        <f t="shared" si="247"/>
        <v>3459277.2631818177</v>
      </c>
      <c r="Z209" s="129">
        <f t="shared" si="248"/>
        <v>1283229.0631818175</v>
      </c>
      <c r="AA209" s="123"/>
      <c r="AB209" s="123"/>
      <c r="AC209" s="123"/>
      <c r="AD209" s="123"/>
      <c r="AE209" s="123"/>
      <c r="AF209" s="123"/>
      <c r="AG209" s="123"/>
      <c r="AH209" s="123"/>
      <c r="AI209" s="123"/>
      <c r="AJ209" s="123"/>
      <c r="AK209" s="123"/>
      <c r="AL209" s="123"/>
      <c r="AM209" s="123"/>
      <c r="AN209" s="123"/>
      <c r="AO209" s="123"/>
      <c r="AP209" s="123"/>
      <c r="AQ209" s="123"/>
      <c r="AR209" s="123"/>
      <c r="AS209" s="123"/>
      <c r="AT209" s="25"/>
      <c r="AU209" s="25"/>
      <c r="AV209" s="25"/>
      <c r="AW209" s="25"/>
      <c r="AX209" s="25"/>
      <c r="AY209" s="25"/>
      <c r="AZ209" s="25"/>
      <c r="BA209" s="25"/>
      <c r="BB209" s="25"/>
      <c r="BC209" s="25"/>
      <c r="BD209" s="25"/>
      <c r="BE209" s="25"/>
      <c r="BF209" s="25"/>
      <c r="BG209" s="25"/>
      <c r="BH209" s="25"/>
      <c r="BI209" s="25"/>
      <c r="BJ209" s="25"/>
      <c r="BK209" s="25"/>
    </row>
    <row r="210" spans="1:63" ht="28.5" customHeight="1">
      <c r="A210" s="123"/>
      <c r="B210" s="124"/>
      <c r="C210" s="125">
        <v>45946</v>
      </c>
      <c r="D210" s="126">
        <f t="shared" si="236"/>
        <v>0.15494528083813658</v>
      </c>
      <c r="E210" s="28">
        <f t="shared" si="237"/>
        <v>0.41371349426205012</v>
      </c>
      <c r="F210" s="30">
        <f t="shared" si="238"/>
        <v>0.25876821342391354</v>
      </c>
      <c r="G210" s="127">
        <f>O39</f>
        <v>346</v>
      </c>
      <c r="H210" s="127">
        <f>Q39</f>
        <v>33</v>
      </c>
      <c r="I210" s="127">
        <f t="shared" ref="I210:K210" si="306">S39</f>
        <v>10</v>
      </c>
      <c r="J210" s="36">
        <f t="shared" si="306"/>
        <v>9712960</v>
      </c>
      <c r="K210" s="36">
        <f t="shared" si="306"/>
        <v>198000</v>
      </c>
      <c r="L210" s="39">
        <f t="shared" si="242"/>
        <v>9514960</v>
      </c>
      <c r="M210" s="36">
        <f>Y39</f>
        <v>3268534</v>
      </c>
      <c r="N210" s="39">
        <f t="shared" si="243"/>
        <v>2357324.2000000002</v>
      </c>
      <c r="O210" s="127">
        <v>2143022</v>
      </c>
      <c r="P210" s="36">
        <f>AB39</f>
        <v>104845</v>
      </c>
      <c r="Q210" s="128">
        <v>0.09</v>
      </c>
      <c r="R210" s="36"/>
      <c r="S210" s="36"/>
      <c r="T210" s="36"/>
      <c r="U210" s="36">
        <f>AE39</f>
        <v>1074625</v>
      </c>
      <c r="V210" s="28">
        <f t="shared" si="244"/>
        <v>0.20294056937706517</v>
      </c>
      <c r="W210" s="39">
        <f t="shared" ref="W210:X210" si="307">AG39</f>
        <v>1971636.4300000004</v>
      </c>
      <c r="X210" s="39">
        <f t="shared" si="307"/>
        <v>338322.22063636355</v>
      </c>
      <c r="Y210" s="39">
        <f t="shared" si="247"/>
        <v>3936467.3493636362</v>
      </c>
      <c r="Z210" s="129">
        <f t="shared" si="248"/>
        <v>1474298.149363636</v>
      </c>
      <c r="AA210" s="123"/>
      <c r="AB210" s="123"/>
      <c r="AC210" s="123"/>
      <c r="AD210" s="123"/>
      <c r="AE210" s="123"/>
      <c r="AF210" s="123"/>
      <c r="AG210" s="123"/>
      <c r="AH210" s="123"/>
      <c r="AI210" s="123"/>
      <c r="AJ210" s="123"/>
      <c r="AK210" s="123"/>
      <c r="AL210" s="123"/>
      <c r="AM210" s="123"/>
      <c r="AN210" s="123"/>
      <c r="AO210" s="123"/>
      <c r="AP210" s="123"/>
      <c r="AQ210" s="123"/>
      <c r="AR210" s="123"/>
      <c r="AS210" s="123"/>
      <c r="AT210" s="25"/>
      <c r="AU210" s="25"/>
      <c r="AV210" s="25"/>
      <c r="AW210" s="25"/>
      <c r="AX210" s="25"/>
      <c r="AY210" s="25"/>
      <c r="AZ210" s="25"/>
      <c r="BA210" s="25"/>
      <c r="BB210" s="25"/>
      <c r="BC210" s="25"/>
      <c r="BD210" s="25"/>
      <c r="BE210" s="25"/>
      <c r="BF210" s="25"/>
      <c r="BG210" s="25"/>
      <c r="BH210" s="25"/>
      <c r="BI210" s="25"/>
      <c r="BJ210" s="25"/>
      <c r="BK210" s="25"/>
    </row>
    <row r="211" spans="1:63" ht="28.5" customHeight="1">
      <c r="A211" s="123"/>
      <c r="B211" s="124"/>
      <c r="C211" s="125">
        <v>45947</v>
      </c>
      <c r="D211" s="126">
        <f t="shared" si="236"/>
        <v>0.13474583816006944</v>
      </c>
      <c r="E211" s="28">
        <f t="shared" si="237"/>
        <v>0.41467657561382254</v>
      </c>
      <c r="F211" s="30">
        <f t="shared" si="238"/>
        <v>0.27993073745375313</v>
      </c>
      <c r="G211" s="127">
        <f>O59</f>
        <v>323</v>
      </c>
      <c r="H211" s="127">
        <f>Q59</f>
        <v>34</v>
      </c>
      <c r="I211" s="127">
        <f t="shared" ref="I211:K211" si="308">S59</f>
        <v>0</v>
      </c>
      <c r="J211" s="36">
        <f t="shared" si="308"/>
        <v>8811400</v>
      </c>
      <c r="K211" s="36">
        <f t="shared" si="308"/>
        <v>0</v>
      </c>
      <c r="L211" s="39">
        <f t="shared" si="242"/>
        <v>8811400</v>
      </c>
      <c r="M211" s="36">
        <f>Y59</f>
        <v>2988025</v>
      </c>
      <c r="N211" s="39">
        <f t="shared" si="243"/>
        <v>2466581.7000000002</v>
      </c>
      <c r="O211" s="127">
        <v>2242347</v>
      </c>
      <c r="P211" s="36">
        <f>AB59</f>
        <v>0</v>
      </c>
      <c r="Q211" s="128">
        <v>0.09</v>
      </c>
      <c r="R211" s="36"/>
      <c r="S211" s="36"/>
      <c r="T211" s="36"/>
      <c r="U211" s="36">
        <f>AE59</f>
        <v>1018725</v>
      </c>
      <c r="V211" s="28">
        <f t="shared" si="244"/>
        <v>0.20561443130490048</v>
      </c>
      <c r="W211" s="39">
        <f t="shared" ref="W211:X211" si="309">AG59</f>
        <v>1855096.6200000003</v>
      </c>
      <c r="X211" s="39">
        <f t="shared" si="309"/>
        <v>314397.20163636364</v>
      </c>
      <c r="Y211" s="39">
        <f t="shared" si="247"/>
        <v>3653881.1783636361</v>
      </c>
      <c r="Z211" s="129">
        <f t="shared" si="248"/>
        <v>1187299.4783636359</v>
      </c>
      <c r="AA211" s="123"/>
      <c r="AB211" s="123"/>
      <c r="AC211" s="123"/>
      <c r="AD211" s="123"/>
      <c r="AE211" s="123"/>
      <c r="AF211" s="123"/>
      <c r="AG211" s="123"/>
      <c r="AH211" s="123"/>
      <c r="AI211" s="123"/>
      <c r="AJ211" s="123"/>
      <c r="AK211" s="123"/>
      <c r="AL211" s="123"/>
      <c r="AM211" s="123"/>
      <c r="AN211" s="123"/>
      <c r="AO211" s="123"/>
      <c r="AP211" s="123"/>
      <c r="AQ211" s="123"/>
      <c r="AR211" s="123"/>
      <c r="AS211" s="123"/>
      <c r="AT211" s="25"/>
      <c r="AU211" s="25"/>
      <c r="AV211" s="25"/>
      <c r="AW211" s="25"/>
      <c r="AX211" s="25"/>
      <c r="AY211" s="25"/>
      <c r="AZ211" s="25"/>
      <c r="BA211" s="25"/>
      <c r="BB211" s="25"/>
      <c r="BC211" s="25"/>
      <c r="BD211" s="25"/>
      <c r="BE211" s="25"/>
      <c r="BF211" s="25"/>
      <c r="BG211" s="25"/>
      <c r="BH211" s="25"/>
      <c r="BI211" s="25"/>
      <c r="BJ211" s="25"/>
      <c r="BK211" s="25"/>
    </row>
    <row r="212" spans="1:63" ht="28.5" customHeight="1">
      <c r="A212" s="123"/>
      <c r="B212" s="124"/>
      <c r="C212" s="125">
        <v>45948</v>
      </c>
      <c r="D212" s="126">
        <f t="shared" si="236"/>
        <v>0.14519279729609566</v>
      </c>
      <c r="E212" s="28">
        <f t="shared" si="237"/>
        <v>0.41595153866392043</v>
      </c>
      <c r="F212" s="30">
        <f t="shared" si="238"/>
        <v>0.27075874136782474</v>
      </c>
      <c r="G212" s="127">
        <f>O79</f>
        <v>399</v>
      </c>
      <c r="H212" s="127">
        <f>Q79</f>
        <v>26</v>
      </c>
      <c r="I212" s="127">
        <f t="shared" ref="I212:K212" si="310">S79</f>
        <v>0</v>
      </c>
      <c r="J212" s="36">
        <f t="shared" si="310"/>
        <v>10898180</v>
      </c>
      <c r="K212" s="36">
        <f t="shared" si="310"/>
        <v>0</v>
      </c>
      <c r="L212" s="39">
        <f t="shared" si="242"/>
        <v>10898180</v>
      </c>
      <c r="M212" s="36">
        <f>Y79</f>
        <v>3669854</v>
      </c>
      <c r="N212" s="39">
        <f t="shared" si="243"/>
        <v>2950777.5000000005</v>
      </c>
      <c r="O212" s="127">
        <v>2682525</v>
      </c>
      <c r="P212" s="36">
        <f>AB79</f>
        <v>0</v>
      </c>
      <c r="Q212" s="128">
        <v>0.09</v>
      </c>
      <c r="R212" s="36"/>
      <c r="S212" s="36"/>
      <c r="T212" s="36"/>
      <c r="U212" s="36">
        <f>AE79</f>
        <v>1252525</v>
      </c>
      <c r="V212" s="28">
        <f t="shared" si="244"/>
        <v>0.2049297405621856</v>
      </c>
      <c r="W212" s="39">
        <f t="shared" ref="W212:X212" si="311">AG79</f>
        <v>2304659.36</v>
      </c>
      <c r="X212" s="39">
        <f t="shared" si="311"/>
        <v>390551.90036363644</v>
      </c>
      <c r="Y212" s="39">
        <f t="shared" si="247"/>
        <v>4533114.7396363644</v>
      </c>
      <c r="Z212" s="129">
        <f t="shared" si="248"/>
        <v>1582337.2396363639</v>
      </c>
      <c r="AA212" s="123"/>
      <c r="AB212" s="123"/>
      <c r="AC212" s="123"/>
      <c r="AD212" s="123"/>
      <c r="AE212" s="123"/>
      <c r="AF212" s="123"/>
      <c r="AG212" s="123"/>
      <c r="AH212" s="123"/>
      <c r="AI212" s="123"/>
      <c r="AJ212" s="123"/>
      <c r="AK212" s="123"/>
      <c r="AL212" s="123"/>
      <c r="AM212" s="123"/>
      <c r="AN212" s="123"/>
      <c r="AO212" s="123"/>
      <c r="AP212" s="123"/>
      <c r="AQ212" s="123"/>
      <c r="AR212" s="123"/>
      <c r="AS212" s="123"/>
      <c r="AT212" s="25"/>
      <c r="AU212" s="25"/>
      <c r="AV212" s="25"/>
      <c r="AW212" s="25"/>
      <c r="AX212" s="25"/>
      <c r="AY212" s="25"/>
      <c r="AZ212" s="25"/>
      <c r="BA212" s="25"/>
      <c r="BB212" s="25"/>
      <c r="BC212" s="25"/>
      <c r="BD212" s="25"/>
      <c r="BE212" s="25"/>
      <c r="BF212" s="25"/>
      <c r="BG212" s="25"/>
      <c r="BH212" s="25"/>
      <c r="BI212" s="25"/>
      <c r="BJ212" s="25"/>
      <c r="BK212" s="25"/>
    </row>
    <row r="213" spans="1:63" ht="28.5" customHeight="1">
      <c r="A213" s="123"/>
      <c r="B213" s="124"/>
      <c r="C213" s="125">
        <v>45949</v>
      </c>
      <c r="D213" s="126">
        <f t="shared" si="236"/>
        <v>0.11755799177026183</v>
      </c>
      <c r="E213" s="28">
        <f t="shared" si="237"/>
        <v>0.41744725691075063</v>
      </c>
      <c r="F213" s="30">
        <f t="shared" si="238"/>
        <v>0.2998892651404888</v>
      </c>
      <c r="G213" s="127">
        <f>O99</f>
        <v>340</v>
      </c>
      <c r="H213" s="127">
        <f>Q99</f>
        <v>42</v>
      </c>
      <c r="I213" s="127">
        <f t="shared" ref="I213:K213" si="312">S99</f>
        <v>0</v>
      </c>
      <c r="J213" s="36">
        <f t="shared" si="312"/>
        <v>9467660</v>
      </c>
      <c r="K213" s="36">
        <f t="shared" si="312"/>
        <v>0</v>
      </c>
      <c r="L213" s="39">
        <f t="shared" si="242"/>
        <v>9467660</v>
      </c>
      <c r="M213" s="36">
        <f>Y99</f>
        <v>3193339</v>
      </c>
      <c r="N213" s="39">
        <f t="shared" si="243"/>
        <v>2839249.6</v>
      </c>
      <c r="O213" s="127">
        <v>2581136</v>
      </c>
      <c r="P213" s="36">
        <f>AB99</f>
        <v>0</v>
      </c>
      <c r="Q213" s="128">
        <v>0.09</v>
      </c>
      <c r="R213" s="36"/>
      <c r="S213" s="36"/>
      <c r="T213" s="36"/>
      <c r="U213" s="36">
        <f>AE99</f>
        <v>1058725</v>
      </c>
      <c r="V213" s="28">
        <f t="shared" si="244"/>
        <v>0.20182541409387325</v>
      </c>
      <c r="W213" s="39">
        <f t="shared" ref="W213:X213" si="313">AG99</f>
        <v>1981314.6</v>
      </c>
      <c r="X213" s="39">
        <f t="shared" si="313"/>
        <v>340757.70363636344</v>
      </c>
      <c r="Y213" s="39">
        <f t="shared" si="247"/>
        <v>3952248.6963636372</v>
      </c>
      <c r="Z213" s="129">
        <f t="shared" si="248"/>
        <v>1112999.0963636371</v>
      </c>
      <c r="AA213" s="123"/>
      <c r="AB213" s="123"/>
      <c r="AC213" s="123"/>
      <c r="AD213" s="123"/>
      <c r="AE213" s="123"/>
      <c r="AF213" s="123"/>
      <c r="AG213" s="123"/>
      <c r="AH213" s="123"/>
      <c r="AI213" s="123"/>
      <c r="AJ213" s="123"/>
      <c r="AK213" s="123"/>
      <c r="AL213" s="123"/>
      <c r="AM213" s="123"/>
      <c r="AN213" s="123"/>
      <c r="AO213" s="123"/>
      <c r="AP213" s="123"/>
      <c r="AQ213" s="123"/>
      <c r="AR213" s="123"/>
      <c r="AS213" s="123"/>
      <c r="AT213" s="25"/>
      <c r="AU213" s="25"/>
      <c r="AV213" s="25"/>
      <c r="AW213" s="25"/>
      <c r="AX213" s="25"/>
      <c r="AY213" s="25"/>
      <c r="AZ213" s="25"/>
      <c r="BA213" s="25"/>
      <c r="BB213" s="25"/>
      <c r="BC213" s="25"/>
      <c r="BD213" s="25"/>
      <c r="BE213" s="25"/>
      <c r="BF213" s="25"/>
      <c r="BG213" s="25"/>
      <c r="BH213" s="25"/>
      <c r="BI213" s="25"/>
      <c r="BJ213" s="25"/>
      <c r="BK213" s="25"/>
    </row>
    <row r="214" spans="1:63" ht="28.5" customHeight="1">
      <c r="A214" s="123"/>
      <c r="B214" s="124"/>
      <c r="C214" s="125">
        <v>45950</v>
      </c>
      <c r="D214" s="126">
        <f t="shared" si="236"/>
        <v>0.14392767177241214</v>
      </c>
      <c r="E214" s="28">
        <f t="shared" si="237"/>
        <v>0.41292056386547238</v>
      </c>
      <c r="F214" s="30">
        <f t="shared" si="238"/>
        <v>0.26899289209306021</v>
      </c>
      <c r="G214" s="127">
        <f>O119</f>
        <v>331</v>
      </c>
      <c r="H214" s="127">
        <f>Q119</f>
        <v>52</v>
      </c>
      <c r="I214" s="127">
        <f t="shared" ref="I214:K214" si="314">S119</f>
        <v>4</v>
      </c>
      <c r="J214" s="36">
        <f t="shared" si="314"/>
        <v>9105560</v>
      </c>
      <c r="K214" s="36">
        <f t="shared" si="314"/>
        <v>39600</v>
      </c>
      <c r="L214" s="39">
        <f t="shared" si="242"/>
        <v>9065960</v>
      </c>
      <c r="M214" s="36">
        <f>Y119</f>
        <v>3081502</v>
      </c>
      <c r="N214" s="39">
        <f t="shared" si="243"/>
        <v>2418160.8000000003</v>
      </c>
      <c r="O214" s="127">
        <v>2198328</v>
      </c>
      <c r="P214" s="36">
        <f>AB119</f>
        <v>20518</v>
      </c>
      <c r="Q214" s="128">
        <v>0.09</v>
      </c>
      <c r="R214" s="36"/>
      <c r="S214" s="36"/>
      <c r="T214" s="36"/>
      <c r="U214" s="36">
        <f>AE119</f>
        <v>1052450</v>
      </c>
      <c r="V214" s="28">
        <f t="shared" si="244"/>
        <v>0.20608809216012425</v>
      </c>
      <c r="W214" s="39">
        <f t="shared" ref="W214:X214" si="315">AG119</f>
        <v>1919195.6699999997</v>
      </c>
      <c r="X214" s="39">
        <f t="shared" si="315"/>
        <v>321741.01481818175</v>
      </c>
      <c r="Y214" s="39">
        <f t="shared" si="247"/>
        <v>3743521.3151818179</v>
      </c>
      <c r="Z214" s="129">
        <f t="shared" si="248"/>
        <v>1304842.5151818176</v>
      </c>
      <c r="AA214" s="123"/>
      <c r="AB214" s="123"/>
      <c r="AC214" s="123"/>
      <c r="AD214" s="123"/>
      <c r="AE214" s="123"/>
      <c r="AF214" s="123"/>
      <c r="AG214" s="123"/>
      <c r="AH214" s="123"/>
      <c r="AI214" s="123"/>
      <c r="AJ214" s="123"/>
      <c r="AK214" s="123"/>
      <c r="AL214" s="123"/>
      <c r="AM214" s="123"/>
      <c r="AN214" s="123"/>
      <c r="AO214" s="123"/>
      <c r="AP214" s="123"/>
      <c r="AQ214" s="123"/>
      <c r="AR214" s="123"/>
      <c r="AS214" s="123"/>
      <c r="AT214" s="25"/>
      <c r="AU214" s="25"/>
      <c r="AV214" s="25"/>
      <c r="AW214" s="25"/>
      <c r="AX214" s="25"/>
      <c r="AY214" s="25"/>
      <c r="AZ214" s="25"/>
      <c r="BA214" s="25"/>
      <c r="BB214" s="25"/>
      <c r="BC214" s="25"/>
      <c r="BD214" s="25"/>
      <c r="BE214" s="25"/>
      <c r="BF214" s="25"/>
      <c r="BG214" s="25"/>
      <c r="BH214" s="25"/>
      <c r="BI214" s="25"/>
      <c r="BJ214" s="25"/>
      <c r="BK214" s="25"/>
    </row>
    <row r="215" spans="1:63" ht="28.5" customHeight="1">
      <c r="A215" s="123"/>
      <c r="B215" s="124"/>
      <c r="C215" s="125">
        <v>45951</v>
      </c>
      <c r="D215" s="126">
        <f t="shared" si="236"/>
        <v>0.14449361864120311</v>
      </c>
      <c r="E215" s="28">
        <f t="shared" si="237"/>
        <v>0.41642435285696255</v>
      </c>
      <c r="F215" s="30">
        <f t="shared" si="238"/>
        <v>0.27193073421575936</v>
      </c>
      <c r="G215" s="127">
        <f>O139</f>
        <v>283</v>
      </c>
      <c r="H215" s="127">
        <f>Q139</f>
        <v>43</v>
      </c>
      <c r="I215" s="127">
        <f t="shared" ref="I215:K215" si="316">S139</f>
        <v>4</v>
      </c>
      <c r="J215" s="36">
        <f t="shared" si="316"/>
        <v>7763760</v>
      </c>
      <c r="K215" s="36">
        <f t="shared" si="316"/>
        <v>39600</v>
      </c>
      <c r="L215" s="39">
        <f t="shared" si="242"/>
        <v>7724160</v>
      </c>
      <c r="M215" s="36">
        <f>Y139</f>
        <v>2588580</v>
      </c>
      <c r="N215" s="39">
        <f t="shared" si="243"/>
        <v>2079467.5000000002</v>
      </c>
      <c r="O215" s="127">
        <v>1890425</v>
      </c>
      <c r="P215" s="36">
        <f>AB139</f>
        <v>20969</v>
      </c>
      <c r="Q215" s="128">
        <v>0.09</v>
      </c>
      <c r="R215" s="36"/>
      <c r="S215" s="36"/>
      <c r="T215" s="36"/>
      <c r="U215" s="36">
        <f>AE139</f>
        <v>895650</v>
      </c>
      <c r="V215" s="28">
        <f t="shared" si="244"/>
        <v>0.20595435620183944</v>
      </c>
      <c r="W215" s="39">
        <f t="shared" ref="W215:X215" si="317">AG139</f>
        <v>1641944.2300000002</v>
      </c>
      <c r="X215" s="39">
        <f t="shared" si="317"/>
        <v>277107.44063636358</v>
      </c>
      <c r="Y215" s="39">
        <f t="shared" si="247"/>
        <v>3216528.3293636357</v>
      </c>
      <c r="Z215" s="129">
        <f t="shared" si="248"/>
        <v>1116091.8293636355</v>
      </c>
      <c r="AA215" s="123"/>
      <c r="AB215" s="123"/>
      <c r="AC215" s="123"/>
      <c r="AD215" s="123"/>
      <c r="AE215" s="123"/>
      <c r="AF215" s="123"/>
      <c r="AG215" s="123"/>
      <c r="AH215" s="123"/>
      <c r="AI215" s="123"/>
      <c r="AJ215" s="123"/>
      <c r="AK215" s="123"/>
      <c r="AL215" s="123"/>
      <c r="AM215" s="123"/>
      <c r="AN215" s="123"/>
      <c r="AO215" s="123"/>
      <c r="AP215" s="123"/>
      <c r="AQ215" s="123"/>
      <c r="AR215" s="123"/>
      <c r="AS215" s="123"/>
      <c r="AT215" s="25"/>
      <c r="AU215" s="25"/>
      <c r="AV215" s="25"/>
      <c r="AW215" s="25"/>
      <c r="AX215" s="25"/>
      <c r="AY215" s="25"/>
      <c r="AZ215" s="25"/>
      <c r="BA215" s="25"/>
      <c r="BB215" s="25"/>
      <c r="BC215" s="25"/>
      <c r="BD215" s="25"/>
      <c r="BE215" s="25"/>
      <c r="BF215" s="25"/>
      <c r="BG215" s="25"/>
      <c r="BH215" s="25"/>
      <c r="BI215" s="25"/>
      <c r="BJ215" s="25"/>
      <c r="BK215" s="25"/>
    </row>
    <row r="216" spans="1:63" ht="28.5" customHeight="1">
      <c r="A216" s="123"/>
      <c r="B216" s="131"/>
      <c r="C216" s="125">
        <v>45952</v>
      </c>
      <c r="D216" s="126">
        <f t="shared" si="236"/>
        <v>0.15427832973495559</v>
      </c>
      <c r="E216" s="28">
        <f t="shared" si="237"/>
        <v>0.41237817496986912</v>
      </c>
      <c r="F216" s="30">
        <f t="shared" si="238"/>
        <v>0.25809984523491353</v>
      </c>
      <c r="G216" s="127">
        <f>O159</f>
        <v>291</v>
      </c>
      <c r="H216" s="127">
        <f>Q159</f>
        <v>43</v>
      </c>
      <c r="I216" s="127">
        <f t="shared" ref="I216:K216" si="318">S159</f>
        <v>9</v>
      </c>
      <c r="J216" s="36">
        <f t="shared" si="318"/>
        <v>8283610</v>
      </c>
      <c r="K216" s="36">
        <f t="shared" si="318"/>
        <v>239160</v>
      </c>
      <c r="L216" s="39">
        <f t="shared" si="242"/>
        <v>8044450</v>
      </c>
      <c r="M216" s="36">
        <f>Y159</f>
        <v>2756176</v>
      </c>
      <c r="N216" s="39">
        <f t="shared" si="243"/>
        <v>1988682.3</v>
      </c>
      <c r="O216" s="127">
        <v>1807893</v>
      </c>
      <c r="P216" s="36">
        <f>AB159</f>
        <v>87589</v>
      </c>
      <c r="Q216" s="128">
        <v>0.09</v>
      </c>
      <c r="R216" s="36"/>
      <c r="S216" s="36"/>
      <c r="T216" s="36"/>
      <c r="U216" s="36">
        <f>AE159</f>
        <v>905050</v>
      </c>
      <c r="V216" s="28">
        <f t="shared" si="244"/>
        <v>0.2025061377720043</v>
      </c>
      <c r="W216" s="39">
        <f t="shared" ref="W216:X216" si="319">AG159</f>
        <v>1685845.0600000003</v>
      </c>
      <c r="X216" s="39">
        <f t="shared" si="319"/>
        <v>285073.33036363625</v>
      </c>
      <c r="Y216" s="39">
        <f t="shared" si="247"/>
        <v>3317355.6096363636</v>
      </c>
      <c r="Z216" s="129">
        <f t="shared" si="248"/>
        <v>1241084.3096363635</v>
      </c>
      <c r="AA216" s="123"/>
      <c r="AB216" s="123"/>
      <c r="AC216" s="123"/>
      <c r="AD216" s="123"/>
      <c r="AE216" s="123"/>
      <c r="AF216" s="123"/>
      <c r="AG216" s="123"/>
      <c r="AH216" s="123"/>
      <c r="AI216" s="123"/>
      <c r="AJ216" s="123"/>
      <c r="AK216" s="123"/>
      <c r="AL216" s="123"/>
      <c r="AM216" s="123"/>
      <c r="AN216" s="123"/>
      <c r="AO216" s="123"/>
      <c r="AP216" s="123"/>
      <c r="AQ216" s="123"/>
      <c r="AR216" s="123"/>
      <c r="AS216" s="123"/>
      <c r="AT216" s="25"/>
      <c r="AU216" s="25"/>
      <c r="AV216" s="25"/>
      <c r="AW216" s="25"/>
      <c r="AX216" s="25"/>
      <c r="AY216" s="25"/>
      <c r="AZ216" s="25"/>
      <c r="BA216" s="25"/>
      <c r="BB216" s="25"/>
      <c r="BC216" s="25"/>
      <c r="BD216" s="25"/>
      <c r="BE216" s="25"/>
      <c r="BF216" s="25"/>
      <c r="BG216" s="25"/>
      <c r="BH216" s="25"/>
      <c r="BI216" s="25"/>
      <c r="BJ216" s="25"/>
      <c r="BK216" s="25"/>
    </row>
    <row r="217" spans="1:63" ht="28.5" customHeight="1">
      <c r="A217" s="123"/>
      <c r="B217" s="124"/>
      <c r="C217" s="125">
        <v>45953</v>
      </c>
      <c r="D217" s="126">
        <f t="shared" si="236"/>
        <v>0.18000782390099668</v>
      </c>
      <c r="E217" s="28">
        <f t="shared" si="237"/>
        <v>0.41261710685892083</v>
      </c>
      <c r="F217" s="30">
        <f t="shared" si="238"/>
        <v>0.23260928295792416</v>
      </c>
      <c r="G217" s="127">
        <f>O179</f>
        <v>283</v>
      </c>
      <c r="H217" s="127">
        <f>Q179</f>
        <v>46</v>
      </c>
      <c r="I217" s="127">
        <f t="shared" ref="I217:K217" si="320">S179</f>
        <v>3</v>
      </c>
      <c r="J217" s="36">
        <f t="shared" si="320"/>
        <v>8136270</v>
      </c>
      <c r="K217" s="36">
        <f t="shared" si="320"/>
        <v>74400</v>
      </c>
      <c r="L217" s="39">
        <f t="shared" si="242"/>
        <v>8061870</v>
      </c>
      <c r="M217" s="36">
        <f>Y179</f>
        <v>2773408</v>
      </c>
      <c r="N217" s="39">
        <f t="shared" si="243"/>
        <v>1809987.3</v>
      </c>
      <c r="O217" s="127">
        <v>1645443</v>
      </c>
      <c r="P217" s="36">
        <f>AB179</f>
        <v>65278.5</v>
      </c>
      <c r="Q217" s="128">
        <v>0.09</v>
      </c>
      <c r="R217" s="36"/>
      <c r="S217" s="36"/>
      <c r="T217" s="36"/>
      <c r="U217" s="36">
        <f>AE179</f>
        <v>906675</v>
      </c>
      <c r="V217" s="28">
        <f t="shared" si="244"/>
        <v>0.20246460188517057</v>
      </c>
      <c r="W217" s="39">
        <f t="shared" ref="W217:X217" si="321">AG179</f>
        <v>1676162.2799999998</v>
      </c>
      <c r="X217" s="39">
        <f t="shared" si="321"/>
        <v>285834.24472727266</v>
      </c>
      <c r="Y217" s="39">
        <f t="shared" si="247"/>
        <v>3326465.4752727281</v>
      </c>
      <c r="Z217" s="129">
        <f t="shared" si="248"/>
        <v>1451199.6752727281</v>
      </c>
      <c r="AA217" s="123"/>
      <c r="AB217" s="123"/>
      <c r="AC217" s="123"/>
      <c r="AD217" s="123"/>
      <c r="AE217" s="123"/>
      <c r="AF217" s="123"/>
      <c r="AG217" s="123"/>
      <c r="AH217" s="123"/>
      <c r="AI217" s="123"/>
      <c r="AJ217" s="123"/>
      <c r="AK217" s="123"/>
      <c r="AL217" s="123"/>
      <c r="AM217" s="123"/>
      <c r="AN217" s="123"/>
      <c r="AO217" s="123"/>
      <c r="AP217" s="123"/>
      <c r="AQ217" s="123"/>
      <c r="AR217" s="123"/>
      <c r="AS217" s="123"/>
      <c r="AT217" s="25"/>
      <c r="AU217" s="25"/>
      <c r="AV217" s="25"/>
      <c r="AW217" s="25"/>
      <c r="AX217" s="25"/>
      <c r="AY217" s="25"/>
      <c r="AZ217" s="25"/>
      <c r="BA217" s="25"/>
      <c r="BB217" s="25"/>
      <c r="BC217" s="25"/>
      <c r="BD217" s="25"/>
      <c r="BE217" s="25"/>
      <c r="BF217" s="25"/>
      <c r="BG217" s="25"/>
      <c r="BH217" s="25"/>
      <c r="BI217" s="25"/>
      <c r="BJ217" s="25"/>
      <c r="BK217" s="25"/>
    </row>
    <row r="218" spans="1:63" ht="28.5" customHeight="1">
      <c r="A218" s="123"/>
      <c r="B218" s="124"/>
      <c r="C218" s="125">
        <v>45954</v>
      </c>
      <c r="D218" s="126" t="e">
        <f t="shared" si="236"/>
        <v>#DIV/0!</v>
      </c>
      <c r="E218" s="28" t="e">
        <f t="shared" si="237"/>
        <v>#DIV/0!</v>
      </c>
      <c r="F218" s="30" t="e">
        <f t="shared" si="238"/>
        <v>#DIV/0!</v>
      </c>
      <c r="G218" s="127"/>
      <c r="H218" s="127"/>
      <c r="I218" s="127"/>
      <c r="J218" s="127"/>
      <c r="K218" s="127"/>
      <c r="L218" s="39">
        <f t="shared" si="242"/>
        <v>0</v>
      </c>
      <c r="M218" s="127"/>
      <c r="N218" s="39">
        <f t="shared" si="243"/>
        <v>0</v>
      </c>
      <c r="O218" s="127"/>
      <c r="P218" s="127"/>
      <c r="Q218" s="128">
        <v>0.09</v>
      </c>
      <c r="R218" s="36"/>
      <c r="S218" s="36"/>
      <c r="T218" s="36"/>
      <c r="U218" s="127"/>
      <c r="V218" s="28" t="e">
        <f t="shared" si="244"/>
        <v>#DIV/0!</v>
      </c>
      <c r="W218" s="127"/>
      <c r="X218" s="127"/>
      <c r="Y218" s="39">
        <f t="shared" si="247"/>
        <v>0</v>
      </c>
      <c r="Z218" s="129">
        <f t="shared" si="248"/>
        <v>0</v>
      </c>
      <c r="AA218" s="123"/>
      <c r="AB218" s="123"/>
      <c r="AC218" s="123"/>
      <c r="AD218" s="123"/>
      <c r="AE218" s="123"/>
      <c r="AF218" s="123"/>
      <c r="AG218" s="123"/>
      <c r="AH218" s="123"/>
      <c r="AI218" s="123"/>
      <c r="AJ218" s="123"/>
      <c r="AK218" s="123"/>
      <c r="AL218" s="123"/>
      <c r="AM218" s="123"/>
      <c r="AN218" s="123"/>
      <c r="AO218" s="123"/>
      <c r="AP218" s="123"/>
      <c r="AQ218" s="123"/>
      <c r="AR218" s="123"/>
      <c r="AS218" s="123"/>
      <c r="AT218" s="25"/>
      <c r="AU218" s="25"/>
      <c r="AV218" s="25"/>
      <c r="AW218" s="25"/>
      <c r="AX218" s="25"/>
      <c r="AY218" s="25"/>
      <c r="AZ218" s="25"/>
      <c r="BA218" s="25"/>
      <c r="BB218" s="25"/>
      <c r="BC218" s="25"/>
      <c r="BD218" s="25"/>
      <c r="BE218" s="25"/>
      <c r="BF218" s="25"/>
      <c r="BG218" s="25"/>
      <c r="BH218" s="25"/>
      <c r="BI218" s="25"/>
      <c r="BJ218" s="25"/>
      <c r="BK218" s="25"/>
    </row>
    <row r="219" spans="1:63" ht="28.5" customHeight="1">
      <c r="A219" s="123"/>
      <c r="B219" s="124"/>
      <c r="C219" s="125">
        <v>45955</v>
      </c>
      <c r="D219" s="126" t="e">
        <f t="shared" si="236"/>
        <v>#DIV/0!</v>
      </c>
      <c r="E219" s="28" t="e">
        <f t="shared" si="237"/>
        <v>#DIV/0!</v>
      </c>
      <c r="F219" s="30" t="e">
        <f t="shared" si="238"/>
        <v>#DIV/0!</v>
      </c>
      <c r="G219" s="127"/>
      <c r="H219" s="127"/>
      <c r="I219" s="127"/>
      <c r="J219" s="127"/>
      <c r="K219" s="127"/>
      <c r="L219" s="39">
        <f t="shared" si="242"/>
        <v>0</v>
      </c>
      <c r="M219" s="127"/>
      <c r="N219" s="39">
        <f t="shared" si="243"/>
        <v>0</v>
      </c>
      <c r="O219" s="127"/>
      <c r="P219" s="127"/>
      <c r="Q219" s="128">
        <v>0.09</v>
      </c>
      <c r="R219" s="36"/>
      <c r="S219" s="36"/>
      <c r="T219" s="36"/>
      <c r="U219" s="127"/>
      <c r="V219" s="28" t="e">
        <f t="shared" si="244"/>
        <v>#DIV/0!</v>
      </c>
      <c r="W219" s="127"/>
      <c r="X219" s="127"/>
      <c r="Y219" s="39">
        <f t="shared" si="247"/>
        <v>0</v>
      </c>
      <c r="Z219" s="129">
        <f t="shared" si="248"/>
        <v>0</v>
      </c>
      <c r="AA219" s="123"/>
      <c r="AB219" s="123"/>
      <c r="AC219" s="123"/>
      <c r="AD219" s="123"/>
      <c r="AE219" s="123"/>
      <c r="AF219" s="123"/>
      <c r="AG219" s="123"/>
      <c r="AH219" s="123"/>
      <c r="AI219" s="123"/>
      <c r="AJ219" s="123"/>
      <c r="AK219" s="123"/>
      <c r="AL219" s="123"/>
      <c r="AM219" s="123"/>
      <c r="AN219" s="123"/>
      <c r="AO219" s="123"/>
      <c r="AP219" s="123"/>
      <c r="AQ219" s="123"/>
      <c r="AR219" s="123"/>
      <c r="AS219" s="123"/>
      <c r="AT219" s="25"/>
      <c r="AU219" s="25"/>
      <c r="AV219" s="25"/>
      <c r="AW219" s="25"/>
      <c r="AX219" s="25"/>
      <c r="AY219" s="25"/>
      <c r="AZ219" s="25"/>
      <c r="BA219" s="25"/>
      <c r="BB219" s="25"/>
      <c r="BC219" s="25"/>
      <c r="BD219" s="25"/>
      <c r="BE219" s="25"/>
      <c r="BF219" s="25"/>
      <c r="BG219" s="25"/>
      <c r="BH219" s="25"/>
      <c r="BI219" s="25"/>
      <c r="BJ219" s="25"/>
      <c r="BK219" s="25"/>
    </row>
    <row r="220" spans="1:63" ht="28.5" customHeight="1">
      <c r="A220" s="123"/>
      <c r="B220" s="124"/>
      <c r="C220" s="125">
        <v>45956</v>
      </c>
      <c r="D220" s="126" t="e">
        <f t="shared" si="236"/>
        <v>#DIV/0!</v>
      </c>
      <c r="E220" s="28" t="e">
        <f t="shared" si="237"/>
        <v>#DIV/0!</v>
      </c>
      <c r="F220" s="30" t="e">
        <f t="shared" si="238"/>
        <v>#DIV/0!</v>
      </c>
      <c r="G220" s="36"/>
      <c r="H220" s="36"/>
      <c r="I220" s="36"/>
      <c r="J220" s="36"/>
      <c r="K220" s="36"/>
      <c r="L220" s="39">
        <f t="shared" si="242"/>
        <v>0</v>
      </c>
      <c r="M220" s="36"/>
      <c r="N220" s="39">
        <f t="shared" si="243"/>
        <v>0</v>
      </c>
      <c r="O220" s="36"/>
      <c r="P220" s="36"/>
      <c r="Q220" s="128">
        <v>0.09</v>
      </c>
      <c r="R220" s="36"/>
      <c r="S220" s="36"/>
      <c r="T220" s="36"/>
      <c r="U220" s="36"/>
      <c r="V220" s="28" t="e">
        <f t="shared" si="244"/>
        <v>#DIV/0!</v>
      </c>
      <c r="W220" s="36"/>
      <c r="X220" s="36"/>
      <c r="Y220" s="39">
        <f t="shared" si="247"/>
        <v>0</v>
      </c>
      <c r="Z220" s="129">
        <f t="shared" si="248"/>
        <v>0</v>
      </c>
      <c r="AA220" s="123"/>
      <c r="AB220" s="123"/>
      <c r="AC220" s="123"/>
      <c r="AD220" s="123"/>
      <c r="AE220" s="123"/>
      <c r="AF220" s="123"/>
      <c r="AG220" s="123"/>
      <c r="AH220" s="123"/>
      <c r="AI220" s="123"/>
      <c r="AJ220" s="123"/>
      <c r="AK220" s="123"/>
      <c r="AL220" s="123"/>
      <c r="AM220" s="123"/>
      <c r="AN220" s="123"/>
      <c r="AO220" s="123"/>
      <c r="AP220" s="123"/>
      <c r="AQ220" s="123"/>
      <c r="AR220" s="123"/>
      <c r="AS220" s="123"/>
      <c r="AT220" s="25"/>
      <c r="AU220" s="25"/>
      <c r="AV220" s="25"/>
      <c r="AW220" s="25"/>
      <c r="AX220" s="25"/>
      <c r="AY220" s="25"/>
      <c r="AZ220" s="25"/>
      <c r="BA220" s="25"/>
      <c r="BB220" s="25"/>
      <c r="BC220" s="25"/>
      <c r="BD220" s="25"/>
      <c r="BE220" s="25"/>
      <c r="BF220" s="25"/>
      <c r="BG220" s="25"/>
      <c r="BH220" s="25"/>
      <c r="BI220" s="25"/>
      <c r="BJ220" s="25"/>
      <c r="BK220" s="25"/>
    </row>
    <row r="221" spans="1:63" ht="28.5" customHeight="1">
      <c r="A221" s="123"/>
      <c r="B221" s="124"/>
      <c r="C221" s="125">
        <v>45957</v>
      </c>
      <c r="D221" s="126" t="e">
        <f t="shared" si="236"/>
        <v>#DIV/0!</v>
      </c>
      <c r="E221" s="28" t="e">
        <f t="shared" si="237"/>
        <v>#DIV/0!</v>
      </c>
      <c r="F221" s="30" t="e">
        <f t="shared" si="238"/>
        <v>#DIV/0!</v>
      </c>
      <c r="G221" s="36"/>
      <c r="H221" s="36"/>
      <c r="I221" s="36"/>
      <c r="J221" s="36"/>
      <c r="K221" s="36"/>
      <c r="L221" s="39">
        <f t="shared" si="242"/>
        <v>0</v>
      </c>
      <c r="M221" s="36"/>
      <c r="N221" s="39">
        <f t="shared" si="243"/>
        <v>0</v>
      </c>
      <c r="O221" s="36"/>
      <c r="P221" s="36"/>
      <c r="Q221" s="128">
        <v>0.09</v>
      </c>
      <c r="R221" s="36"/>
      <c r="S221" s="36"/>
      <c r="T221" s="36"/>
      <c r="U221" s="36"/>
      <c r="V221" s="28" t="e">
        <f t="shared" si="244"/>
        <v>#DIV/0!</v>
      </c>
      <c r="W221" s="36"/>
      <c r="X221" s="36"/>
      <c r="Y221" s="39">
        <f t="shared" si="247"/>
        <v>0</v>
      </c>
      <c r="Z221" s="129">
        <f t="shared" si="248"/>
        <v>0</v>
      </c>
      <c r="AA221" s="123"/>
      <c r="AB221" s="123"/>
      <c r="AC221" s="123"/>
      <c r="AD221" s="123"/>
      <c r="AE221" s="123"/>
      <c r="AF221" s="123"/>
      <c r="AG221" s="123"/>
      <c r="AH221" s="123"/>
      <c r="AI221" s="123"/>
      <c r="AJ221" s="123"/>
      <c r="AK221" s="123"/>
      <c r="AL221" s="123"/>
      <c r="AM221" s="123"/>
      <c r="AN221" s="123"/>
      <c r="AO221" s="123"/>
      <c r="AP221" s="123"/>
      <c r="AQ221" s="123"/>
      <c r="AR221" s="123"/>
      <c r="AS221" s="123"/>
      <c r="AT221" s="25"/>
      <c r="AU221" s="25"/>
      <c r="AV221" s="25"/>
      <c r="AW221" s="25"/>
      <c r="AX221" s="25"/>
      <c r="AY221" s="25"/>
      <c r="AZ221" s="25"/>
      <c r="BA221" s="25"/>
      <c r="BB221" s="25"/>
      <c r="BC221" s="25"/>
      <c r="BD221" s="25"/>
      <c r="BE221" s="25"/>
      <c r="BF221" s="25"/>
      <c r="BG221" s="25"/>
      <c r="BH221" s="25"/>
      <c r="BI221" s="25"/>
      <c r="BJ221" s="25"/>
      <c r="BK221" s="25"/>
    </row>
    <row r="222" spans="1:63" ht="28.5" customHeight="1">
      <c r="A222" s="123"/>
      <c r="B222" s="124"/>
      <c r="C222" s="125">
        <v>45958</v>
      </c>
      <c r="D222" s="126" t="e">
        <f t="shared" si="236"/>
        <v>#DIV/0!</v>
      </c>
      <c r="E222" s="28" t="e">
        <f t="shared" si="237"/>
        <v>#DIV/0!</v>
      </c>
      <c r="F222" s="30" t="e">
        <f t="shared" si="238"/>
        <v>#DIV/0!</v>
      </c>
      <c r="G222" s="36"/>
      <c r="H222" s="36"/>
      <c r="I222" s="36"/>
      <c r="J222" s="36"/>
      <c r="K222" s="36"/>
      <c r="L222" s="39">
        <f t="shared" si="242"/>
        <v>0</v>
      </c>
      <c r="M222" s="36"/>
      <c r="N222" s="39">
        <f t="shared" si="243"/>
        <v>0</v>
      </c>
      <c r="O222" s="36"/>
      <c r="P222" s="36"/>
      <c r="Q222" s="128">
        <v>0.09</v>
      </c>
      <c r="R222" s="36"/>
      <c r="S222" s="36"/>
      <c r="T222" s="36"/>
      <c r="U222" s="36"/>
      <c r="V222" s="28" t="e">
        <f t="shared" si="244"/>
        <v>#DIV/0!</v>
      </c>
      <c r="W222" s="36"/>
      <c r="X222" s="36"/>
      <c r="Y222" s="39">
        <f t="shared" si="247"/>
        <v>0</v>
      </c>
      <c r="Z222" s="129">
        <f t="shared" si="248"/>
        <v>0</v>
      </c>
      <c r="AA222" s="123"/>
      <c r="AB222" s="123"/>
      <c r="AC222" s="123"/>
      <c r="AD222" s="123"/>
      <c r="AE222" s="123"/>
      <c r="AF222" s="123"/>
      <c r="AG222" s="123"/>
      <c r="AH222" s="123"/>
      <c r="AI222" s="123"/>
      <c r="AJ222" s="123"/>
      <c r="AK222" s="123"/>
      <c r="AL222" s="123"/>
      <c r="AM222" s="123"/>
      <c r="AN222" s="123"/>
      <c r="AO222" s="123"/>
      <c r="AP222" s="123"/>
      <c r="AQ222" s="123"/>
      <c r="AR222" s="123"/>
      <c r="AS222" s="123"/>
      <c r="AT222" s="25"/>
      <c r="AU222" s="25"/>
      <c r="AV222" s="25"/>
      <c r="AW222" s="25"/>
      <c r="AX222" s="25"/>
      <c r="AY222" s="25"/>
      <c r="AZ222" s="25"/>
      <c r="BA222" s="25"/>
      <c r="BB222" s="25"/>
      <c r="BC222" s="25"/>
      <c r="BD222" s="25"/>
      <c r="BE222" s="25"/>
      <c r="BF222" s="25"/>
      <c r="BG222" s="25"/>
      <c r="BH222" s="25"/>
      <c r="BI222" s="25"/>
      <c r="BJ222" s="25"/>
      <c r="BK222" s="25"/>
    </row>
    <row r="223" spans="1:63" ht="28.5" customHeight="1">
      <c r="A223" s="123"/>
      <c r="B223" s="124"/>
      <c r="C223" s="125">
        <v>45959</v>
      </c>
      <c r="D223" s="126" t="e">
        <f t="shared" si="236"/>
        <v>#DIV/0!</v>
      </c>
      <c r="E223" s="28" t="e">
        <f t="shared" si="237"/>
        <v>#DIV/0!</v>
      </c>
      <c r="F223" s="30" t="e">
        <f t="shared" si="238"/>
        <v>#DIV/0!</v>
      </c>
      <c r="G223" s="36"/>
      <c r="H223" s="36"/>
      <c r="I223" s="36"/>
      <c r="J223" s="36"/>
      <c r="K223" s="36"/>
      <c r="L223" s="39">
        <f t="shared" si="242"/>
        <v>0</v>
      </c>
      <c r="M223" s="36"/>
      <c r="N223" s="39">
        <f t="shared" si="243"/>
        <v>0</v>
      </c>
      <c r="O223" s="36"/>
      <c r="P223" s="36"/>
      <c r="Q223" s="128">
        <v>0.09</v>
      </c>
      <c r="R223" s="36"/>
      <c r="S223" s="36"/>
      <c r="T223" s="36"/>
      <c r="U223" s="36"/>
      <c r="V223" s="28" t="e">
        <f t="shared" si="244"/>
        <v>#DIV/0!</v>
      </c>
      <c r="W223" s="36"/>
      <c r="X223" s="36"/>
      <c r="Y223" s="39">
        <f t="shared" si="247"/>
        <v>0</v>
      </c>
      <c r="Z223" s="129">
        <f t="shared" si="248"/>
        <v>0</v>
      </c>
      <c r="AA223" s="123"/>
      <c r="AB223" s="123"/>
      <c r="AC223" s="123"/>
      <c r="AD223" s="123"/>
      <c r="AE223" s="123"/>
      <c r="AF223" s="123"/>
      <c r="AG223" s="123"/>
      <c r="AH223" s="123"/>
      <c r="AI223" s="123"/>
      <c r="AJ223" s="123"/>
      <c r="AK223" s="123"/>
      <c r="AL223" s="123"/>
      <c r="AM223" s="123"/>
      <c r="AN223" s="123"/>
      <c r="AO223" s="123"/>
      <c r="AP223" s="123"/>
      <c r="AQ223" s="123"/>
      <c r="AR223" s="123"/>
      <c r="AS223" s="123"/>
      <c r="AT223" s="25"/>
      <c r="AU223" s="25"/>
      <c r="AV223" s="25"/>
      <c r="AW223" s="25"/>
      <c r="AX223" s="25"/>
      <c r="AY223" s="25"/>
      <c r="AZ223" s="25"/>
      <c r="BA223" s="25"/>
      <c r="BB223" s="25"/>
      <c r="BC223" s="25"/>
      <c r="BD223" s="25"/>
      <c r="BE223" s="25"/>
      <c r="BF223" s="25"/>
      <c r="BG223" s="25"/>
      <c r="BH223" s="25"/>
      <c r="BI223" s="25"/>
      <c r="BJ223" s="25"/>
      <c r="BK223" s="25"/>
    </row>
    <row r="224" spans="1:63" ht="28.5" customHeight="1">
      <c r="A224" s="123"/>
      <c r="B224" s="124"/>
      <c r="C224" s="125">
        <v>45960</v>
      </c>
      <c r="D224" s="126" t="e">
        <f t="shared" si="236"/>
        <v>#DIV/0!</v>
      </c>
      <c r="E224" s="28" t="e">
        <f t="shared" si="237"/>
        <v>#DIV/0!</v>
      </c>
      <c r="F224" s="30" t="e">
        <f t="shared" si="238"/>
        <v>#DIV/0!</v>
      </c>
      <c r="G224" s="36"/>
      <c r="H224" s="36"/>
      <c r="I224" s="36"/>
      <c r="J224" s="36"/>
      <c r="K224" s="36"/>
      <c r="L224" s="39">
        <f t="shared" si="242"/>
        <v>0</v>
      </c>
      <c r="M224" s="36"/>
      <c r="N224" s="39">
        <f t="shared" si="243"/>
        <v>0</v>
      </c>
      <c r="O224" s="36"/>
      <c r="P224" s="36"/>
      <c r="Q224" s="128">
        <v>0.09</v>
      </c>
      <c r="R224" s="36"/>
      <c r="S224" s="36"/>
      <c r="T224" s="36"/>
      <c r="U224" s="36"/>
      <c r="V224" s="28" t="e">
        <f t="shared" si="244"/>
        <v>#DIV/0!</v>
      </c>
      <c r="W224" s="39"/>
      <c r="X224" s="39"/>
      <c r="Y224" s="39">
        <f t="shared" si="247"/>
        <v>0</v>
      </c>
      <c r="Z224" s="129">
        <f t="shared" si="248"/>
        <v>0</v>
      </c>
      <c r="AA224" s="123"/>
      <c r="AB224" s="123"/>
      <c r="AC224" s="123"/>
      <c r="AD224" s="123"/>
      <c r="AE224" s="123"/>
      <c r="AF224" s="123"/>
      <c r="AG224" s="123"/>
      <c r="AH224" s="123"/>
      <c r="AI224" s="123"/>
      <c r="AJ224" s="123"/>
      <c r="AK224" s="123"/>
      <c r="AL224" s="123"/>
      <c r="AM224" s="123"/>
      <c r="AN224" s="123"/>
      <c r="AO224" s="123"/>
      <c r="AP224" s="123"/>
      <c r="AQ224" s="123"/>
      <c r="AR224" s="123"/>
      <c r="AS224" s="123"/>
      <c r="AT224" s="25"/>
      <c r="AU224" s="25"/>
      <c r="AV224" s="25"/>
      <c r="AW224" s="25"/>
      <c r="AX224" s="25"/>
      <c r="AY224" s="25"/>
      <c r="AZ224" s="25"/>
      <c r="BA224" s="25"/>
      <c r="BB224" s="25"/>
      <c r="BC224" s="25"/>
      <c r="BD224" s="25"/>
      <c r="BE224" s="25"/>
      <c r="BF224" s="25"/>
      <c r="BG224" s="25"/>
      <c r="BH224" s="25"/>
      <c r="BI224" s="25"/>
      <c r="BJ224" s="25"/>
      <c r="BK224" s="25"/>
    </row>
    <row r="225" spans="1:63" ht="28.5" customHeight="1">
      <c r="A225" s="123"/>
      <c r="B225" s="124"/>
      <c r="C225" s="132" t="s">
        <v>76</v>
      </c>
      <c r="D225" s="65" t="e">
        <f t="shared" si="236"/>
        <v>#REF!</v>
      </c>
      <c r="E225" s="28" t="e">
        <f t="shared" si="237"/>
        <v>#REF!</v>
      </c>
      <c r="F225" s="30" t="e">
        <f t="shared" si="238"/>
        <v>#REF!</v>
      </c>
      <c r="G225" s="127" t="e">
        <f t="shared" ref="G225:P225" si="322">SUM(G195:G224)</f>
        <v>#REF!</v>
      </c>
      <c r="H225" s="127" t="e">
        <f t="shared" si="322"/>
        <v>#REF!</v>
      </c>
      <c r="I225" s="127" t="e">
        <f t="shared" si="322"/>
        <v>#REF!</v>
      </c>
      <c r="J225" s="127" t="e">
        <f t="shared" si="322"/>
        <v>#REF!</v>
      </c>
      <c r="K225" s="127" t="e">
        <f t="shared" si="322"/>
        <v>#REF!</v>
      </c>
      <c r="L225" s="127" t="e">
        <f t="shared" si="322"/>
        <v>#REF!</v>
      </c>
      <c r="M225" s="127" t="e">
        <f t="shared" si="322"/>
        <v>#REF!</v>
      </c>
      <c r="N225" s="127">
        <f t="shared" si="322"/>
        <v>47092871.099999994</v>
      </c>
      <c r="O225" s="127">
        <f t="shared" si="322"/>
        <v>42811701</v>
      </c>
      <c r="P225" s="127" t="e">
        <f t="shared" si="322"/>
        <v>#REF!</v>
      </c>
      <c r="Q225" s="128">
        <v>0.09</v>
      </c>
      <c r="R225" s="127"/>
      <c r="S225" s="127"/>
      <c r="T225" s="127"/>
      <c r="U225" s="127" t="e">
        <f>SUM(U195:U224)</f>
        <v>#REF!</v>
      </c>
      <c r="V225" s="28" t="e">
        <f t="shared" si="244"/>
        <v>#REF!</v>
      </c>
      <c r="W225" s="39" t="e">
        <f t="shared" ref="W225:W226" si="323">L225*V225+3%</f>
        <v>#REF!</v>
      </c>
      <c r="X225" s="39" t="e">
        <f>SUM(X195:X224)</f>
        <v>#REF!</v>
      </c>
      <c r="Y225" s="39" t="e">
        <f t="shared" si="247"/>
        <v>#REF!</v>
      </c>
      <c r="Z225" s="133" t="e">
        <f>(Y225+T225)-(N225+P225+R225+S225+108900+71605+275000)</f>
        <v>#REF!</v>
      </c>
      <c r="AA225" s="123"/>
      <c r="AB225" s="123"/>
      <c r="AC225" s="123"/>
      <c r="AD225" s="123"/>
      <c r="AE225" s="123"/>
      <c r="AF225" s="123"/>
      <c r="AG225" s="123"/>
      <c r="AH225" s="123"/>
      <c r="AI225" s="123"/>
      <c r="AJ225" s="123"/>
      <c r="AK225" s="123"/>
      <c r="AL225" s="123"/>
      <c r="AM225" s="123"/>
      <c r="AN225" s="123"/>
      <c r="AO225" s="123"/>
      <c r="AP225" s="123"/>
      <c r="AQ225" s="123"/>
      <c r="AR225" s="123"/>
      <c r="AS225" s="123"/>
      <c r="AT225" s="25"/>
      <c r="AU225" s="25"/>
      <c r="AV225" s="25"/>
      <c r="AW225" s="25"/>
      <c r="AX225" s="25"/>
      <c r="AY225" s="25"/>
      <c r="AZ225" s="25"/>
      <c r="BA225" s="25"/>
      <c r="BB225" s="25"/>
      <c r="BC225" s="25"/>
      <c r="BD225" s="25"/>
      <c r="BE225" s="25"/>
      <c r="BF225" s="25"/>
      <c r="BG225" s="25"/>
      <c r="BH225" s="25"/>
      <c r="BI225" s="25"/>
      <c r="BJ225" s="25"/>
      <c r="BK225" s="25"/>
    </row>
    <row r="226" spans="1:63" ht="28.5" customHeight="1" thickBot="1">
      <c r="A226" s="123"/>
      <c r="B226" s="134"/>
      <c r="C226" s="135" t="s">
        <v>77</v>
      </c>
      <c r="D226" s="136" t="e">
        <f t="shared" si="236"/>
        <v>#REF!</v>
      </c>
      <c r="E226" s="73" t="e">
        <f>Y226/J226</f>
        <v>#REF!</v>
      </c>
      <c r="F226" s="75" t="e">
        <f>(N226)/J226</f>
        <v>#REF!</v>
      </c>
      <c r="G226" s="78" t="e">
        <f t="shared" ref="G226:K226" si="324">G225</f>
        <v>#REF!</v>
      </c>
      <c r="H226" s="78" t="e">
        <f t="shared" si="324"/>
        <v>#REF!</v>
      </c>
      <c r="I226" s="78" t="e">
        <f t="shared" si="324"/>
        <v>#REF!</v>
      </c>
      <c r="J226" s="78" t="e">
        <f t="shared" si="324"/>
        <v>#REF!</v>
      </c>
      <c r="K226" s="78" t="e">
        <f t="shared" si="324"/>
        <v>#REF!</v>
      </c>
      <c r="L226" s="78" t="e">
        <f>J226</f>
        <v>#REF!</v>
      </c>
      <c r="M226" s="78" t="e">
        <f t="shared" ref="M226:P226" si="325">M225</f>
        <v>#REF!</v>
      </c>
      <c r="N226" s="78">
        <f t="shared" si="325"/>
        <v>47092871.099999994</v>
      </c>
      <c r="O226" s="78">
        <f t="shared" si="325"/>
        <v>42811701</v>
      </c>
      <c r="P226" s="78" t="e">
        <f t="shared" si="325"/>
        <v>#REF!</v>
      </c>
      <c r="Q226" s="137">
        <v>0.09</v>
      </c>
      <c r="R226" s="78"/>
      <c r="S226" s="78"/>
      <c r="T226" s="78"/>
      <c r="U226" s="78" t="e">
        <f>U225</f>
        <v>#REF!</v>
      </c>
      <c r="V226" s="73" t="e">
        <f t="shared" si="244"/>
        <v>#REF!</v>
      </c>
      <c r="W226" s="81" t="e">
        <f t="shared" si="323"/>
        <v>#REF!</v>
      </c>
      <c r="X226" s="81" t="e">
        <f>X225</f>
        <v>#REF!</v>
      </c>
      <c r="Y226" s="81" t="e">
        <f t="shared" si="247"/>
        <v>#REF!</v>
      </c>
      <c r="Z226" s="138" t="e">
        <f>(Y226+T226)-(N226+R226+S226+108900+71605+275000)</f>
        <v>#REF!</v>
      </c>
      <c r="AA226" s="123"/>
      <c r="AB226" s="139"/>
      <c r="AC226" s="140"/>
      <c r="AD226" s="141"/>
      <c r="AE226" s="123"/>
      <c r="AF226" s="123"/>
      <c r="AG226" s="123"/>
      <c r="AH226" s="123"/>
      <c r="AI226" s="123"/>
      <c r="AJ226" s="123"/>
      <c r="AK226" s="123"/>
      <c r="AL226" s="123"/>
      <c r="AM226" s="123"/>
      <c r="AN226" s="123"/>
      <c r="AO226" s="123"/>
      <c r="AP226" s="123"/>
      <c r="AQ226" s="123"/>
      <c r="AR226" s="123"/>
      <c r="AS226" s="123"/>
      <c r="AT226" s="123"/>
      <c r="AU226" s="123"/>
      <c r="AV226" s="123"/>
      <c r="AW226" s="123"/>
      <c r="AX226" s="123"/>
      <c r="AY226" s="123"/>
      <c r="AZ226" s="123"/>
      <c r="BA226" s="123"/>
      <c r="BB226" s="123"/>
      <c r="BC226" s="25"/>
      <c r="BD226" s="25"/>
      <c r="BE226" s="25"/>
      <c r="BF226" s="25"/>
      <c r="BG226" s="25"/>
      <c r="BH226" s="25"/>
      <c r="BI226" s="25"/>
      <c r="BJ226" s="25"/>
      <c r="BK226" s="25"/>
    </row>
  </sheetData>
  <mergeCells count="56">
    <mergeCell ref="B164:B165"/>
    <mergeCell ref="A172:A173"/>
    <mergeCell ref="B172:B173"/>
    <mergeCell ref="K172:K173"/>
    <mergeCell ref="B124:B125"/>
    <mergeCell ref="A132:A133"/>
    <mergeCell ref="B132:B133"/>
    <mergeCell ref="K132:K133"/>
    <mergeCell ref="B144:B145"/>
    <mergeCell ref="A152:A153"/>
    <mergeCell ref="B152:B153"/>
    <mergeCell ref="K152:K153"/>
    <mergeCell ref="B84:B85"/>
    <mergeCell ref="A92:A93"/>
    <mergeCell ref="B92:B93"/>
    <mergeCell ref="K92:K93"/>
    <mergeCell ref="B104:B105"/>
    <mergeCell ref="A112:A113"/>
    <mergeCell ref="B112:B113"/>
    <mergeCell ref="K112:K113"/>
    <mergeCell ref="A52:A53"/>
    <mergeCell ref="B52:B53"/>
    <mergeCell ref="K52:K53"/>
    <mergeCell ref="B64:B65"/>
    <mergeCell ref="A72:A73"/>
    <mergeCell ref="B72:B73"/>
    <mergeCell ref="K72:K73"/>
    <mergeCell ref="A32:A33"/>
    <mergeCell ref="B32:B33"/>
    <mergeCell ref="K32:K33"/>
    <mergeCell ref="A37:A38"/>
    <mergeCell ref="K37:K38"/>
    <mergeCell ref="B44:B45"/>
    <mergeCell ref="B26:B27"/>
    <mergeCell ref="K26:K27"/>
    <mergeCell ref="A29:A30"/>
    <mergeCell ref="B29:B30"/>
    <mergeCell ref="H29:H30"/>
    <mergeCell ref="K29:K30"/>
    <mergeCell ref="A12:A13"/>
    <mergeCell ref="B12:B13"/>
    <mergeCell ref="K12:K13"/>
    <mergeCell ref="A17:A18"/>
    <mergeCell ref="K17:K18"/>
    <mergeCell ref="A24:A25"/>
    <mergeCell ref="B24:B25"/>
    <mergeCell ref="K24:K25"/>
    <mergeCell ref="A4:A5"/>
    <mergeCell ref="B4:B5"/>
    <mergeCell ref="K4:K5"/>
    <mergeCell ref="B6:B7"/>
    <mergeCell ref="K6:K7"/>
    <mergeCell ref="A9:A10"/>
    <mergeCell ref="B9:B10"/>
    <mergeCell ref="H9:H10"/>
    <mergeCell ref="K9:K10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2025-10-24T04:36:47Z</dcterms:created>
  <dcterms:modified xsi:type="dcterms:W3CDTF">2025-10-24T04:37:54Z</dcterms:modified>
</cp:coreProperties>
</file>